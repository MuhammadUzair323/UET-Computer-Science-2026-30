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Rana Uzair\Desktop\UNI Syllabus and Work etc\SEM1\AICTL\project\"/>
    </mc:Choice>
  </mc:AlternateContent>
  <xr:revisionPtr revIDLastSave="0" documentId="13_ncr:1_{EB3D5113-251C-4AB8-9173-3CEC2E1BFEE9}" xr6:coauthVersionLast="47" xr6:coauthVersionMax="47" xr10:uidLastSave="{00000000-0000-0000-0000-000000000000}"/>
  <bookViews>
    <workbookView xWindow="-108" yWindow="-108" windowWidth="23256" windowHeight="12456" tabRatio="500" activeTab="1" xr2:uid="{00000000-000D-0000-FFFF-FFFF00000000}"/>
  </bookViews>
  <sheets>
    <sheet name="Raw data" sheetId="1" r:id="rId1"/>
    <sheet name="Cleaned data" sheetId="2" r:id="rId2"/>
    <sheet name="Functions" sheetId="3" r:id="rId3"/>
    <sheet name="Pivot charts and tables" sheetId="4" r:id="rId4"/>
    <sheet name="Dashboard" sheetId="6" r:id="rId5"/>
  </sheets>
  <definedNames>
    <definedName name="mydata">'Cleaned data'!$A$1:$Z$1201</definedName>
    <definedName name="Slicer_Adopter_Type">#N/A</definedName>
    <definedName name="Slicer_City">#N/A</definedName>
    <definedName name="Slicer_Color">#N/A</definedName>
    <definedName name="Slicer_Health_Status">#N/A</definedName>
    <definedName name="Slicer_Payment_Method">#N/A</definedName>
    <definedName name="Slicer_Species">#N/A</definedName>
  </definedNames>
  <calcPr calcId="191029" iterateDelta="1E-4"/>
  <pivotCaches>
    <pivotCache cacheId="11"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W10" i="6" l="1"/>
  <c r="I7" i="3"/>
  <c r="T10" i="6"/>
  <c r="I6" i="3"/>
  <c r="Q10" i="6"/>
  <c r="I5" i="3"/>
  <c r="N10" i="6"/>
  <c r="I4" i="3"/>
  <c r="E3" i="3" l="1"/>
  <c r="B3" i="3"/>
  <c r="I9" i="3" l="1"/>
  <c r="I10" i="3"/>
  <c r="I8" i="3"/>
  <c r="E4" i="3"/>
  <c r="E5" i="3"/>
  <c r="E6" i="3"/>
  <c r="E7" i="3"/>
  <c r="E8" i="3"/>
  <c r="E9" i="3"/>
  <c r="E10" i="3"/>
  <c r="E11" i="3"/>
  <c r="E12" i="3"/>
  <c r="E13" i="3"/>
  <c r="E14" i="3"/>
  <c r="E15" i="3"/>
  <c r="E16" i="3"/>
  <c r="E17" i="3"/>
  <c r="E18" i="3"/>
  <c r="E19" i="3"/>
  <c r="D4" i="3"/>
  <c r="D5" i="3"/>
  <c r="D6" i="3"/>
  <c r="D7" i="3"/>
  <c r="D8" i="3"/>
  <c r="D9" i="3"/>
  <c r="D10" i="3"/>
  <c r="D11" i="3"/>
  <c r="D12" i="3"/>
  <c r="D13" i="3"/>
  <c r="D14" i="3"/>
  <c r="D15" i="3"/>
  <c r="D16" i="3"/>
  <c r="D17" i="3"/>
  <c r="D18" i="3"/>
  <c r="D19" i="3"/>
  <c r="C4" i="3"/>
  <c r="C5" i="3"/>
  <c r="C6" i="3"/>
  <c r="C7" i="3"/>
  <c r="C8" i="3"/>
  <c r="C9" i="3"/>
  <c r="C10" i="3"/>
  <c r="C11" i="3"/>
  <c r="C12" i="3"/>
  <c r="C13" i="3"/>
  <c r="C14" i="3"/>
  <c r="C15" i="3"/>
  <c r="C16" i="3"/>
  <c r="C17" i="3"/>
  <c r="C18" i="3"/>
  <c r="C19" i="3"/>
  <c r="B4" i="3"/>
  <c r="B5" i="3"/>
  <c r="B6" i="3"/>
  <c r="B7" i="3"/>
  <c r="B8" i="3"/>
  <c r="B9" i="3"/>
  <c r="B10" i="3"/>
  <c r="B11" i="3"/>
  <c r="B12" i="3"/>
  <c r="B13" i="3"/>
  <c r="B14" i="3"/>
  <c r="B15" i="3"/>
  <c r="B16" i="3"/>
  <c r="B17" i="3"/>
  <c r="B18" i="3"/>
  <c r="B19" i="3"/>
  <c r="D3" i="3"/>
  <c r="C3" i="3"/>
</calcChain>
</file>

<file path=xl/sharedStrings.xml><?xml version="1.0" encoding="utf-8"?>
<sst xmlns="http://schemas.openxmlformats.org/spreadsheetml/2006/main" count="46772" uniqueCount="2298">
  <si>
    <t>Animal_ID</t>
  </si>
  <si>
    <t>Shelter_Name</t>
  </si>
  <si>
    <t>City</t>
  </si>
  <si>
    <t>Species</t>
  </si>
  <si>
    <t>Breed</t>
  </si>
  <si>
    <t>Color</t>
  </si>
  <si>
    <t>Gender</t>
  </si>
  <si>
    <t>Age_Years</t>
  </si>
  <si>
    <t>Weight_KG</t>
  </si>
  <si>
    <t>Health_Status</t>
  </si>
  <si>
    <t>Intake_Date</t>
  </si>
  <si>
    <t>Intake_Reason</t>
  </si>
  <si>
    <t>Outcome_Date</t>
  </si>
  <si>
    <t>Outcome_Type</t>
  </si>
  <si>
    <t>Days_In_Shelter</t>
  </si>
  <si>
    <t>Adopter_Type</t>
  </si>
  <si>
    <t>Adoption_Fee_PKR</t>
  </si>
  <si>
    <t>Donation_Amount_PKR</t>
  </si>
  <si>
    <t>Payment_Method</t>
  </si>
  <si>
    <t>Source_of_Inquiry</t>
  </si>
  <si>
    <t>Vaccinated</t>
  </si>
  <si>
    <t>Neutered_Spayed</t>
  </si>
  <si>
    <t>Microchipped</t>
  </si>
  <si>
    <t>Year</t>
  </si>
  <si>
    <t>Month</t>
  </si>
  <si>
    <t>Quarter</t>
  </si>
  <si>
    <t>A0001</t>
  </si>
  <si>
    <t>Paws &amp; Claws Rescue</t>
  </si>
  <si>
    <t>Lahore</t>
  </si>
  <si>
    <t>Cat</t>
  </si>
  <si>
    <t>Persian</t>
  </si>
  <si>
    <t>Spotted</t>
  </si>
  <si>
    <t>Female</t>
  </si>
  <si>
    <t>Healthy</t>
  </si>
  <si>
    <t>2023-07-18</t>
  </si>
  <si>
    <t>Stray</t>
  </si>
  <si>
    <t>2023-09-19</t>
  </si>
  <si>
    <t>Returned to Owner</t>
  </si>
  <si>
    <t>Walk-in</t>
  </si>
  <si>
    <t>Yes</t>
  </si>
  <si>
    <t>July</t>
  </si>
  <si>
    <t>Q3</t>
  </si>
  <si>
    <t>A0002</t>
  </si>
  <si>
    <t>Second Chance Rescue</t>
  </si>
  <si>
    <t>Faisalabad</t>
  </si>
  <si>
    <t>Siamese</t>
  </si>
  <si>
    <t>Black &amp; White</t>
  </si>
  <si>
    <t>2024-05-09</t>
  </si>
  <si>
    <t>Owner Surrender</t>
  </si>
  <si>
    <t>2024-07-05</t>
  </si>
  <si>
    <t>Fostered</t>
  </si>
  <si>
    <t>Social Media</t>
  </si>
  <si>
    <t>No</t>
  </si>
  <si>
    <t>May</t>
  </si>
  <si>
    <t>Q2</t>
  </si>
  <si>
    <t>A0003</t>
  </si>
  <si>
    <t>Bengal</t>
  </si>
  <si>
    <t>Tan</t>
  </si>
  <si>
    <t>Male</t>
  </si>
  <si>
    <t>2023-12-06</t>
  </si>
  <si>
    <t>Abandoned</t>
  </si>
  <si>
    <t>Transferred</t>
  </si>
  <si>
    <t>Event</t>
  </si>
  <si>
    <t>December</t>
  </si>
  <si>
    <t>Q4</t>
  </si>
  <si>
    <t>A0004</t>
  </si>
  <si>
    <t>Hope Animal Shelter</t>
  </si>
  <si>
    <t>Multan</t>
  </si>
  <si>
    <t>Brown</t>
  </si>
  <si>
    <t>2023-04-12</t>
  </si>
  <si>
    <t>2023-06-26</t>
  </si>
  <si>
    <t>Adopted</t>
  </si>
  <si>
    <t>Senior</t>
  </si>
  <si>
    <t>Cash</t>
  </si>
  <si>
    <t>April</t>
  </si>
  <si>
    <t>A0005</t>
  </si>
  <si>
    <t>Islamabad</t>
  </si>
  <si>
    <t>Dog</t>
  </si>
  <si>
    <t>Husky</t>
  </si>
  <si>
    <t>2024-02-17</t>
  </si>
  <si>
    <t>2024-04-27</t>
  </si>
  <si>
    <t>Website</t>
  </si>
  <si>
    <t>February</t>
  </si>
  <si>
    <t>Q1</t>
  </si>
  <si>
    <t>A0006</t>
  </si>
  <si>
    <t>Bird</t>
  </si>
  <si>
    <t>Lovebird</t>
  </si>
  <si>
    <t>2022-10-20</t>
  </si>
  <si>
    <t>2022-12-27</t>
  </si>
  <si>
    <t>Family</t>
  </si>
  <si>
    <t>Bank Deposit</t>
  </si>
  <si>
    <t>October</t>
  </si>
  <si>
    <t>A0007</t>
  </si>
  <si>
    <t>City Animal Shelter</t>
  </si>
  <si>
    <t>Mixed Breed</t>
  </si>
  <si>
    <t>White</t>
  </si>
  <si>
    <t>Recovering</t>
  </si>
  <si>
    <t>2022-05-11</t>
  </si>
  <si>
    <t>Confiscated</t>
  </si>
  <si>
    <t>2022-08-18</t>
  </si>
  <si>
    <t>Still in Shelter</t>
  </si>
  <si>
    <t>A0008</t>
  </si>
  <si>
    <t>Peshawar</t>
  </si>
  <si>
    <t>2022-01-07</t>
  </si>
  <si>
    <t>2022-03-16</t>
  </si>
  <si>
    <t>Couple</t>
  </si>
  <si>
    <t>January</t>
  </si>
  <si>
    <t>A0009</t>
  </si>
  <si>
    <t>Furever Home</t>
  </si>
  <si>
    <t>Cream</t>
  </si>
  <si>
    <t>2023-09-22</t>
  </si>
  <si>
    <t>2023-11-23</t>
  </si>
  <si>
    <t>Single Adult</t>
  </si>
  <si>
    <t>Card</t>
  </si>
  <si>
    <t>September</t>
  </si>
  <si>
    <t>A0010</t>
  </si>
  <si>
    <t>Happy Paws Shelter</t>
  </si>
  <si>
    <t>Domestic Shorthair</t>
  </si>
  <si>
    <t>2024-02-04</t>
  </si>
  <si>
    <t>2024-05-27</t>
  </si>
  <si>
    <t>A0011</t>
  </si>
  <si>
    <t>Rawalpindi</t>
  </si>
  <si>
    <t>Rabbit</t>
  </si>
  <si>
    <t>Holland Lop</t>
  </si>
  <si>
    <t>Golden</t>
  </si>
  <si>
    <t>2024-11-18</t>
  </si>
  <si>
    <t>Transfer from Another Shelter</t>
  </si>
  <si>
    <t>2024-12-31</t>
  </si>
  <si>
    <t>November</t>
  </si>
  <si>
    <t>A0012</t>
  </si>
  <si>
    <t>Dutch</t>
  </si>
  <si>
    <t>2024-04-21</t>
  </si>
  <si>
    <t>2024-08-19</t>
  </si>
  <si>
    <t>A0013</t>
  </si>
  <si>
    <t>2022-07-20</t>
  </si>
  <si>
    <t>2022-08-02</t>
  </si>
  <si>
    <t>Referral</t>
  </si>
  <si>
    <t>A0014</t>
  </si>
  <si>
    <t>Finch</t>
  </si>
  <si>
    <t>2024-09-23</t>
  </si>
  <si>
    <t>Born in Shelter</t>
  </si>
  <si>
    <t>2024-11-02</t>
  </si>
  <si>
    <t>A0015</t>
  </si>
  <si>
    <t>German Shepherd</t>
  </si>
  <si>
    <t>Minor Treatment Needed</t>
  </si>
  <si>
    <t>2022-05-20</t>
  </si>
  <si>
    <t>2022-11-09</t>
  </si>
  <si>
    <t>A0016</t>
  </si>
  <si>
    <t>Mini Rex</t>
  </si>
  <si>
    <t>Orange</t>
  </si>
  <si>
    <t>2023-06-28</t>
  </si>
  <si>
    <t>2023-10-08</t>
  </si>
  <si>
    <t>Online Transfer</t>
  </si>
  <si>
    <t>June</t>
  </si>
  <si>
    <t>A0017</t>
  </si>
  <si>
    <t>Flemish Giant</t>
  </si>
  <si>
    <t>Neutered/Spayed</t>
  </si>
  <si>
    <t>2022-11-20</t>
  </si>
  <si>
    <t>2023-03-13</t>
  </si>
  <si>
    <t>A0018</t>
  </si>
  <si>
    <t>Gray</t>
  </si>
  <si>
    <t>2023-07-12</t>
  </si>
  <si>
    <t>2023-09-23</t>
  </si>
  <si>
    <t>A0019</t>
  </si>
  <si>
    <t>Karachi</t>
  </si>
  <si>
    <t>2023-06-21</t>
  </si>
  <si>
    <t>2023-08-02</t>
  </si>
  <si>
    <t>A0020</t>
  </si>
  <si>
    <t>Bulldog</t>
  </si>
  <si>
    <t>2024-01-17</t>
  </si>
  <si>
    <t>2024-01-28</t>
  </si>
  <si>
    <t>Euthanized</t>
  </si>
  <si>
    <t>A0021</t>
  </si>
  <si>
    <t>Quetta</t>
  </si>
  <si>
    <t>Parakeet</t>
  </si>
  <si>
    <t>2023-01-03</t>
  </si>
  <si>
    <t>2023-03-30</t>
  </si>
  <si>
    <t>A0022</t>
  </si>
  <si>
    <t>2023-06-09</t>
  </si>
  <si>
    <t>A0023</t>
  </si>
  <si>
    <t>2024-06-08</t>
  </si>
  <si>
    <t>2024-09-05</t>
  </si>
  <si>
    <t>A0024</t>
  </si>
  <si>
    <t>2022-05-24</t>
  </si>
  <si>
    <t>2022-11-11</t>
  </si>
  <si>
    <t>A0025</t>
  </si>
  <si>
    <t>2023-01-28</t>
  </si>
  <si>
    <t>2023-05-16</t>
  </si>
  <si>
    <t>A0026</t>
  </si>
  <si>
    <t>2024-06-24</t>
  </si>
  <si>
    <t>2024-12-14</t>
  </si>
  <si>
    <t>A0027</t>
  </si>
  <si>
    <t>2023-02-12</t>
  </si>
  <si>
    <t>2023-03-22</t>
  </si>
  <si>
    <t>A0028</t>
  </si>
  <si>
    <t>Ragdoll</t>
  </si>
  <si>
    <t>2024-05-20</t>
  </si>
  <si>
    <t>2024-07-16</t>
  </si>
  <si>
    <t>A0029</t>
  </si>
  <si>
    <t>2024-07-10</t>
  </si>
  <si>
    <t>2024-09-15</t>
  </si>
  <si>
    <t>A0030</t>
  </si>
  <si>
    <t>Lionhead</t>
  </si>
  <si>
    <t>2022-06-15</t>
  </si>
  <si>
    <t>2022-07-21</t>
  </si>
  <si>
    <t>A0031</t>
  </si>
  <si>
    <t>2024-09-03</t>
  </si>
  <si>
    <t>A0032</t>
  </si>
  <si>
    <t>Cockatiel</t>
  </si>
  <si>
    <t>2024-08-15</t>
  </si>
  <si>
    <t>2024-09-17</t>
  </si>
  <si>
    <t>August</t>
  </si>
  <si>
    <t>A0033</t>
  </si>
  <si>
    <t>2023-07-24</t>
  </si>
  <si>
    <t>2023-11-09</t>
  </si>
  <si>
    <t>A0034</t>
  </si>
  <si>
    <t>Golden Retriever</t>
  </si>
  <si>
    <t>2023-05-04</t>
  </si>
  <si>
    <t>2023-06-06</t>
  </si>
  <si>
    <t>A0035</t>
  </si>
  <si>
    <t>Labrador</t>
  </si>
  <si>
    <t>2023-10-01</t>
  </si>
  <si>
    <t>2024-02-26</t>
  </si>
  <si>
    <t>A0036</t>
  </si>
  <si>
    <t>2024-11-13</t>
  </si>
  <si>
    <t>A0037</t>
  </si>
  <si>
    <t>2023-07-08</t>
  </si>
  <si>
    <t>2023-12-13</t>
  </si>
  <si>
    <t>A0038</t>
  </si>
  <si>
    <t>2024-10-09</t>
  </si>
  <si>
    <t>Individual</t>
  </si>
  <si>
    <t>A0039</t>
  </si>
  <si>
    <t>2024-07-06</t>
  </si>
  <si>
    <t>2024-07-11</t>
  </si>
  <si>
    <t>A0040</t>
  </si>
  <si>
    <t>2022-09-05</t>
  </si>
  <si>
    <t>2022-10-25</t>
  </si>
  <si>
    <t>A0041</t>
  </si>
  <si>
    <t>Black</t>
  </si>
  <si>
    <t>2024-01-10</t>
  </si>
  <si>
    <t>2024-02-25</t>
  </si>
  <si>
    <t>A0042</t>
  </si>
  <si>
    <t>2024-06-21</t>
  </si>
  <si>
    <t>A0043</t>
  </si>
  <si>
    <t>Maine Coon</t>
  </si>
  <si>
    <t>2024-05-02</t>
  </si>
  <si>
    <t>2024-10-05</t>
  </si>
  <si>
    <t>A0044</t>
  </si>
  <si>
    <t>2022-06-16</t>
  </si>
  <si>
    <t>2022-07-27</t>
  </si>
  <si>
    <t>A0045</t>
  </si>
  <si>
    <t>2023-04-24</t>
  </si>
  <si>
    <t>2023-07-01</t>
  </si>
  <si>
    <t>A0046</t>
  </si>
  <si>
    <t>2024-04-04</t>
  </si>
  <si>
    <t>2024-06-13</t>
  </si>
  <si>
    <t>A0047</t>
  </si>
  <si>
    <t>2022-12-25</t>
  </si>
  <si>
    <t>2023-04-25</t>
  </si>
  <si>
    <t>A0048</t>
  </si>
  <si>
    <t>Beagle</t>
  </si>
  <si>
    <t>2024-04-23</t>
  </si>
  <si>
    <t>2024-10-18</t>
  </si>
  <si>
    <t>A0049</t>
  </si>
  <si>
    <t>2024-04-26</t>
  </si>
  <si>
    <t>2024-05-10</t>
  </si>
  <si>
    <t>A0050</t>
  </si>
  <si>
    <t>2023-05-06</t>
  </si>
  <si>
    <t>2023-06-16</t>
  </si>
  <si>
    <t>A0051</t>
  </si>
  <si>
    <t>2023-07-14</t>
  </si>
  <si>
    <t>2023-10-29</t>
  </si>
  <si>
    <t>A0052</t>
  </si>
  <si>
    <t>2023-09-04</t>
  </si>
  <si>
    <t>2024-02-02</t>
  </si>
  <si>
    <t>A0053</t>
  </si>
  <si>
    <t>2024-08-26</t>
  </si>
  <si>
    <t>2024-12-02</t>
  </si>
  <si>
    <t>A0054</t>
  </si>
  <si>
    <t>2024-07-24</t>
  </si>
  <si>
    <t>2024-07-28</t>
  </si>
  <si>
    <t>A0055</t>
  </si>
  <si>
    <t>2023-04-26</t>
  </si>
  <si>
    <t>2023-10-05</t>
  </si>
  <si>
    <t>A0056</t>
  </si>
  <si>
    <t>2024-01-05</t>
  </si>
  <si>
    <t>2024-04-10</t>
  </si>
  <si>
    <t>A0057</t>
  </si>
  <si>
    <t>2023-06-05</t>
  </si>
  <si>
    <t>A0058</t>
  </si>
  <si>
    <t>2023-09-11</t>
  </si>
  <si>
    <t>2023-11-01</t>
  </si>
  <si>
    <t>A0059</t>
  </si>
  <si>
    <t>2024-10-14</t>
  </si>
  <si>
    <t>2024-12-27</t>
  </si>
  <si>
    <t>A0060</t>
  </si>
  <si>
    <t>2024-02-16</t>
  </si>
  <si>
    <t>A0061</t>
  </si>
  <si>
    <t>2024-01-20</t>
  </si>
  <si>
    <t>2024-02-13</t>
  </si>
  <si>
    <t>A0062</t>
  </si>
  <si>
    <t>2023-11-03</t>
  </si>
  <si>
    <t>2024-04-08</t>
  </si>
  <si>
    <t>A0063</t>
  </si>
  <si>
    <t>2022-10-05</t>
  </si>
  <si>
    <t>2023-01-13</t>
  </si>
  <si>
    <t>A0064</t>
  </si>
  <si>
    <t>2024-01-29</t>
  </si>
  <si>
    <t>2024-03-25</t>
  </si>
  <si>
    <t>A0065</t>
  </si>
  <si>
    <t>2023-03-11</t>
  </si>
  <si>
    <t>2023-08-23</t>
  </si>
  <si>
    <t>March</t>
  </si>
  <si>
    <t>A0066</t>
  </si>
  <si>
    <t>2022-12-24</t>
  </si>
  <si>
    <t>2023-01-22</t>
  </si>
  <si>
    <t>A0067</t>
  </si>
  <si>
    <t>2024-01-12</t>
  </si>
  <si>
    <t>2024-05-23</t>
  </si>
  <si>
    <t>A0068</t>
  </si>
  <si>
    <t>2023-10-22</t>
  </si>
  <si>
    <t>2024-03-26</t>
  </si>
  <si>
    <t>A0069</t>
  </si>
  <si>
    <t>2023-04-13</t>
  </si>
  <si>
    <t>2023-07-28</t>
  </si>
  <si>
    <t>A0070</t>
  </si>
  <si>
    <t>2022-06-24</t>
  </si>
  <si>
    <t>2022-07-18</t>
  </si>
  <si>
    <t>A0071</t>
  </si>
  <si>
    <t>2023-10-02</t>
  </si>
  <si>
    <t>2024-01-01</t>
  </si>
  <si>
    <t>A0072</t>
  </si>
  <si>
    <t>A0073</t>
  </si>
  <si>
    <t>2024-07-18</t>
  </si>
  <si>
    <t>A0074</t>
  </si>
  <si>
    <t>2024-04-28</t>
  </si>
  <si>
    <t>2024-07-07</t>
  </si>
  <si>
    <t>A0075</t>
  </si>
  <si>
    <t>2022-10-09</t>
  </si>
  <si>
    <t>2022-12-14</t>
  </si>
  <si>
    <t>A0076</t>
  </si>
  <si>
    <t>2022-02-08</t>
  </si>
  <si>
    <t>2022-06-06</t>
  </si>
  <si>
    <t>A0077</t>
  </si>
  <si>
    <t>2022-08-05</t>
  </si>
  <si>
    <t>2022-10-07</t>
  </si>
  <si>
    <t>A0078</t>
  </si>
  <si>
    <t>2022-10-30</t>
  </si>
  <si>
    <t>2022-12-30</t>
  </si>
  <si>
    <t>A0079</t>
  </si>
  <si>
    <t>2022-09-18</t>
  </si>
  <si>
    <t>A0080</t>
  </si>
  <si>
    <t>2024-11-04</t>
  </si>
  <si>
    <t>A0081</t>
  </si>
  <si>
    <t>2022-12-20</t>
  </si>
  <si>
    <t>2022-12-31</t>
  </si>
  <si>
    <t>A0082</t>
  </si>
  <si>
    <t>2023-11-07</t>
  </si>
  <si>
    <t>2023-12-02</t>
  </si>
  <si>
    <t>A0083</t>
  </si>
  <si>
    <t>2023-09-27</t>
  </si>
  <si>
    <t>2024-02-18</t>
  </si>
  <si>
    <t>A0084</t>
  </si>
  <si>
    <t>Poodle</t>
  </si>
  <si>
    <t>2023-04-09</t>
  </si>
  <si>
    <t>2023-05-15</t>
  </si>
  <si>
    <t>A0085</t>
  </si>
  <si>
    <t>2024-07-09</t>
  </si>
  <si>
    <t>A0086</t>
  </si>
  <si>
    <t>2024-02-22</t>
  </si>
  <si>
    <t>2024-06-30</t>
  </si>
  <si>
    <t>A0087</t>
  </si>
  <si>
    <t>2022-11-25</t>
  </si>
  <si>
    <t>2023-02-03</t>
  </si>
  <si>
    <t>A0088</t>
  </si>
  <si>
    <t>2023-04-05</t>
  </si>
  <si>
    <t>A0089</t>
  </si>
  <si>
    <t>2022-06-12</t>
  </si>
  <si>
    <t>2022-06-17</t>
  </si>
  <si>
    <t>A0090</t>
  </si>
  <si>
    <t>2022-05-09</t>
  </si>
  <si>
    <t>2022-06-07</t>
  </si>
  <si>
    <t>A0091</t>
  </si>
  <si>
    <t>2024-12-08</t>
  </si>
  <si>
    <t>A0092</t>
  </si>
  <si>
    <t>2022-08-01</t>
  </si>
  <si>
    <t>2022-12-28</t>
  </si>
  <si>
    <t>A0093</t>
  </si>
  <si>
    <t>2023-02-17</t>
  </si>
  <si>
    <t>2023-03-01</t>
  </si>
  <si>
    <t>A0094</t>
  </si>
  <si>
    <t>2022-09-12</t>
  </si>
  <si>
    <t>2022-12-16</t>
  </si>
  <si>
    <t>A0095</t>
  </si>
  <si>
    <t>2023-01-05</t>
  </si>
  <si>
    <t>2023-05-25</t>
  </si>
  <si>
    <t>A0096</t>
  </si>
  <si>
    <t>2022-03-28</t>
  </si>
  <si>
    <t>2022-06-27</t>
  </si>
  <si>
    <t>A0097</t>
  </si>
  <si>
    <t>2022-05-18</t>
  </si>
  <si>
    <t>A0098</t>
  </si>
  <si>
    <t>Canary</t>
  </si>
  <si>
    <t>2023-07-25</t>
  </si>
  <si>
    <t>A0099</t>
  </si>
  <si>
    <t>A0100</t>
  </si>
  <si>
    <t>2024-10-08</t>
  </si>
  <si>
    <t>2024-10-15</t>
  </si>
  <si>
    <t>A0101</t>
  </si>
  <si>
    <t>2022-06-01</t>
  </si>
  <si>
    <t>2022-07-04</t>
  </si>
  <si>
    <t>A0102</t>
  </si>
  <si>
    <t>2022-11-28</t>
  </si>
  <si>
    <t>2023-02-19</t>
  </si>
  <si>
    <t>A0103</t>
  </si>
  <si>
    <t>2024-10-26</t>
  </si>
  <si>
    <t>A0104</t>
  </si>
  <si>
    <t>2022-03-04</t>
  </si>
  <si>
    <t>2022-07-10</t>
  </si>
  <si>
    <t>A0105</t>
  </si>
  <si>
    <t>2023-02-22</t>
  </si>
  <si>
    <t>2023-05-21</t>
  </si>
  <si>
    <t>A0106</t>
  </si>
  <si>
    <t>2022-10-16</t>
  </si>
  <si>
    <t>2022-11-10</t>
  </si>
  <si>
    <t>A0107</t>
  </si>
  <si>
    <t>2024-11-01</t>
  </si>
  <si>
    <t>A0108</t>
  </si>
  <si>
    <t>2024-05-03</t>
  </si>
  <si>
    <t>A0109</t>
  </si>
  <si>
    <t>2022-09-21</t>
  </si>
  <si>
    <t>A0110</t>
  </si>
  <si>
    <t>2024-08-28</t>
  </si>
  <si>
    <t>A0111</t>
  </si>
  <si>
    <t>2024-08-30</t>
  </si>
  <si>
    <t>2024-09-04</t>
  </si>
  <si>
    <t>A0112</t>
  </si>
  <si>
    <t>2023-04-30</t>
  </si>
  <si>
    <t>A0113</t>
  </si>
  <si>
    <t>2024-08-23</t>
  </si>
  <si>
    <t>2024-09-08</t>
  </si>
  <si>
    <t>A0114</t>
  </si>
  <si>
    <t>A0115</t>
  </si>
  <si>
    <t>2022-10-27</t>
  </si>
  <si>
    <t>2023-01-10</t>
  </si>
  <si>
    <t>A0116</t>
  </si>
  <si>
    <t>2024-12-23</t>
  </si>
  <si>
    <t>A0117</t>
  </si>
  <si>
    <t>2023-08-08</t>
  </si>
  <si>
    <t>2024-01-21</t>
  </si>
  <si>
    <t>A0118</t>
  </si>
  <si>
    <t>A0119</t>
  </si>
  <si>
    <t>2023-11-22</t>
  </si>
  <si>
    <t>2024-02-06</t>
  </si>
  <si>
    <t>A0120</t>
  </si>
  <si>
    <t>2022-01-14</t>
  </si>
  <si>
    <t>2022-03-22</t>
  </si>
  <si>
    <t>A0121</t>
  </si>
  <si>
    <t>2022-11-24</t>
  </si>
  <si>
    <t>2023-03-08</t>
  </si>
  <si>
    <t>A0122</t>
  </si>
  <si>
    <t>2024-08-22</t>
  </si>
  <si>
    <t>A0123</t>
  </si>
  <si>
    <t>2022-12-03</t>
  </si>
  <si>
    <t>2023-02-25</t>
  </si>
  <si>
    <t>A0124</t>
  </si>
  <si>
    <t>2024-08-04</t>
  </si>
  <si>
    <t>A0125</t>
  </si>
  <si>
    <t>2022-03-06</t>
  </si>
  <si>
    <t>2022-05-19</t>
  </si>
  <si>
    <t>A0126</t>
  </si>
  <si>
    <t>2023-01-01</t>
  </si>
  <si>
    <t>2023-05-19</t>
  </si>
  <si>
    <t>A0127</t>
  </si>
  <si>
    <t>2024-08-01</t>
  </si>
  <si>
    <t>2024-10-29</t>
  </si>
  <si>
    <t>A0128</t>
  </si>
  <si>
    <t>2024-04-03</t>
  </si>
  <si>
    <t>2024-07-25</t>
  </si>
  <si>
    <t>A0129</t>
  </si>
  <si>
    <t>2024-07-12</t>
  </si>
  <si>
    <t>A0130</t>
  </si>
  <si>
    <t>2023-09-07</t>
  </si>
  <si>
    <t>A0131</t>
  </si>
  <si>
    <t>2024-10-13</t>
  </si>
  <si>
    <t>A0132</t>
  </si>
  <si>
    <t>2023-01-25</t>
  </si>
  <si>
    <t>A0133</t>
  </si>
  <si>
    <t>2024-01-07</t>
  </si>
  <si>
    <t>2024-05-18</t>
  </si>
  <si>
    <t>A0134</t>
  </si>
  <si>
    <t>2024-05-05</t>
  </si>
  <si>
    <t>2024-07-20</t>
  </si>
  <si>
    <t>A0135</t>
  </si>
  <si>
    <t>2023-01-12</t>
  </si>
  <si>
    <t>2023-05-31</t>
  </si>
  <si>
    <t>A0136</t>
  </si>
  <si>
    <t>2024-09-16</t>
  </si>
  <si>
    <t>A0137</t>
  </si>
  <si>
    <t>2022-11-01</t>
  </si>
  <si>
    <t>2023-01-02</t>
  </si>
  <si>
    <t>A0138</t>
  </si>
  <si>
    <t>2024-07-17</t>
  </si>
  <si>
    <t>A0139</t>
  </si>
  <si>
    <t>2024-08-31</t>
  </si>
  <si>
    <t>2024-11-09</t>
  </si>
  <si>
    <t>A0140</t>
  </si>
  <si>
    <t>2024-03-07</t>
  </si>
  <si>
    <t>A0141</t>
  </si>
  <si>
    <t>2023-10-31</t>
  </si>
  <si>
    <t>2023-11-08</t>
  </si>
  <si>
    <t>A0142</t>
  </si>
  <si>
    <t>2022-06-18</t>
  </si>
  <si>
    <t>2022-08-26</t>
  </si>
  <si>
    <t>A0143</t>
  </si>
  <si>
    <t>2024-06-01</t>
  </si>
  <si>
    <t>2024-09-24</t>
  </si>
  <si>
    <t>A0144</t>
  </si>
  <si>
    <t>2023-05-13</t>
  </si>
  <si>
    <t>2023-10-07</t>
  </si>
  <si>
    <t>A0145</t>
  </si>
  <si>
    <t>2024-10-12</t>
  </si>
  <si>
    <t>A0146</t>
  </si>
  <si>
    <t>2023-02-16</t>
  </si>
  <si>
    <t>2023-06-19</t>
  </si>
  <si>
    <t>A0147</t>
  </si>
  <si>
    <t>2023-01-04</t>
  </si>
  <si>
    <t>A0148</t>
  </si>
  <si>
    <t>2024-07-08</t>
  </si>
  <si>
    <t>2024-12-09</t>
  </si>
  <si>
    <t>A0149</t>
  </si>
  <si>
    <t>2022-04-01</t>
  </si>
  <si>
    <t>2022-08-24</t>
  </si>
  <si>
    <t>A0150</t>
  </si>
  <si>
    <t>2024-10-21</t>
  </si>
  <si>
    <t>2024-11-29</t>
  </si>
  <si>
    <t>A0151</t>
  </si>
  <si>
    <t>2024-12-03</t>
  </si>
  <si>
    <t>A0152</t>
  </si>
  <si>
    <t>2024-11-22</t>
  </si>
  <si>
    <t>A0153</t>
  </si>
  <si>
    <t>2023-08-11</t>
  </si>
  <si>
    <t>A0154</t>
  </si>
  <si>
    <t>2023-09-02</t>
  </si>
  <si>
    <t>2024-02-07</t>
  </si>
  <si>
    <t>A0155</t>
  </si>
  <si>
    <t>2024-09-29</t>
  </si>
  <si>
    <t>2024-12-12</t>
  </si>
  <si>
    <t>A0156</t>
  </si>
  <si>
    <t>2022-06-19</t>
  </si>
  <si>
    <t>A0157</t>
  </si>
  <si>
    <t>2024-06-16</t>
  </si>
  <si>
    <t>A0158</t>
  </si>
  <si>
    <t>2022-12-06</t>
  </si>
  <si>
    <t>A0159</t>
  </si>
  <si>
    <t>2022-05-02</t>
  </si>
  <si>
    <t>2022-07-12</t>
  </si>
  <si>
    <t>A0160</t>
  </si>
  <si>
    <t>2024-01-18</t>
  </si>
  <si>
    <t>A0161</t>
  </si>
  <si>
    <t>2023-03-10</t>
  </si>
  <si>
    <t>2023-07-15</t>
  </si>
  <si>
    <t>A0162</t>
  </si>
  <si>
    <t>A0163</t>
  </si>
  <si>
    <t>2022-04-17</t>
  </si>
  <si>
    <t>2022-07-28</t>
  </si>
  <si>
    <t>A0164</t>
  </si>
  <si>
    <t>2024-07-03</t>
  </si>
  <si>
    <t>A0165</t>
  </si>
  <si>
    <t>2022-09-30</t>
  </si>
  <si>
    <t>2023-03-14</t>
  </si>
  <si>
    <t>A0166</t>
  </si>
  <si>
    <t>2022-09-10</t>
  </si>
  <si>
    <t>2023-02-08</t>
  </si>
  <si>
    <t>A0167</t>
  </si>
  <si>
    <t>2024-11-26</t>
  </si>
  <si>
    <t>A0168</t>
  </si>
  <si>
    <t>2022-09-28</t>
  </si>
  <si>
    <t>2023-01-06</t>
  </si>
  <si>
    <t>A0169</t>
  </si>
  <si>
    <t>2024-10-23</t>
  </si>
  <si>
    <t>A0170</t>
  </si>
  <si>
    <t>2022-05-16</t>
  </si>
  <si>
    <t>2022-08-04</t>
  </si>
  <si>
    <t>A0171</t>
  </si>
  <si>
    <t>2023-04-07</t>
  </si>
  <si>
    <t>A0172</t>
  </si>
  <si>
    <t>2023-06-23</t>
  </si>
  <si>
    <t>2023-11-18</t>
  </si>
  <si>
    <t>A0173</t>
  </si>
  <si>
    <t>2024-08-24</t>
  </si>
  <si>
    <t>A0174</t>
  </si>
  <si>
    <t>2022-04-18</t>
  </si>
  <si>
    <t>2022-06-03</t>
  </si>
  <si>
    <t>A0175</t>
  </si>
  <si>
    <t>2023-09-15</t>
  </si>
  <si>
    <t>A0176</t>
  </si>
  <si>
    <t>2024-02-10</t>
  </si>
  <si>
    <t>2024-04-29</t>
  </si>
  <si>
    <t>A0177</t>
  </si>
  <si>
    <t>2024-12-06</t>
  </si>
  <si>
    <t>A0178</t>
  </si>
  <si>
    <t>2022-06-02</t>
  </si>
  <si>
    <t>2022-07-24</t>
  </si>
  <si>
    <t>A0179</t>
  </si>
  <si>
    <t>2022-09-03</t>
  </si>
  <si>
    <t>2022-09-27</t>
  </si>
  <si>
    <t>A0180</t>
  </si>
  <si>
    <t>2022-12-23</t>
  </si>
  <si>
    <t>A0181</t>
  </si>
  <si>
    <t>2024-03-31</t>
  </si>
  <si>
    <t>A0182</t>
  </si>
  <si>
    <t>2024-03-19</t>
  </si>
  <si>
    <t>A0183</t>
  </si>
  <si>
    <t>2023-07-27</t>
  </si>
  <si>
    <t>A0184</t>
  </si>
  <si>
    <t>2023-10-16</t>
  </si>
  <si>
    <t>2024-03-17</t>
  </si>
  <si>
    <t>A0185</t>
  </si>
  <si>
    <t>2024-12-28</t>
  </si>
  <si>
    <t>A0186</t>
  </si>
  <si>
    <t>2023-01-21</t>
  </si>
  <si>
    <t>2023-05-28</t>
  </si>
  <si>
    <t>A0187</t>
  </si>
  <si>
    <t>2023-03-23</t>
  </si>
  <si>
    <t>A0188</t>
  </si>
  <si>
    <t>A0189</t>
  </si>
  <si>
    <t>2022-03-08</t>
  </si>
  <si>
    <t>2022-04-24</t>
  </si>
  <si>
    <t>A0190</t>
  </si>
  <si>
    <t>2023-11-19</t>
  </si>
  <si>
    <t>2024-03-13</t>
  </si>
  <si>
    <t>A0191</t>
  </si>
  <si>
    <t>2022-11-27</t>
  </si>
  <si>
    <t>A0192</t>
  </si>
  <si>
    <t>A0193</t>
  </si>
  <si>
    <t>2023-05-02</t>
  </si>
  <si>
    <t>2023-05-27</t>
  </si>
  <si>
    <t>A0194</t>
  </si>
  <si>
    <t>2022-10-17</t>
  </si>
  <si>
    <t>A0195</t>
  </si>
  <si>
    <t>2023-06-24</t>
  </si>
  <si>
    <t>2023-08-21</t>
  </si>
  <si>
    <t>A0196</t>
  </si>
  <si>
    <t>2024-05-07</t>
  </si>
  <si>
    <t>2024-09-22</t>
  </si>
  <si>
    <t>A0197</t>
  </si>
  <si>
    <t>2024-05-17</t>
  </si>
  <si>
    <t>2024-06-07</t>
  </si>
  <si>
    <t>A0198</t>
  </si>
  <si>
    <t>2024-07-27</t>
  </si>
  <si>
    <t>2024-07-31</t>
  </si>
  <si>
    <t>A0199</t>
  </si>
  <si>
    <t>A0200</t>
  </si>
  <si>
    <t>2023-09-29</t>
  </si>
  <si>
    <t>2023-12-10</t>
  </si>
  <si>
    <t>A0201</t>
  </si>
  <si>
    <t>2024-09-19</t>
  </si>
  <si>
    <t>A0202</t>
  </si>
  <si>
    <t>2023-05-26</t>
  </si>
  <si>
    <t>2023-06-04</t>
  </si>
  <si>
    <t>A0203</t>
  </si>
  <si>
    <t>2023-05-01</t>
  </si>
  <si>
    <t>A0204</t>
  </si>
  <si>
    <t>2024-04-18</t>
  </si>
  <si>
    <t>A0205</t>
  </si>
  <si>
    <t>2024-03-03</t>
  </si>
  <si>
    <t>A0206</t>
  </si>
  <si>
    <t>2023-10-28</t>
  </si>
  <si>
    <t>A0207</t>
  </si>
  <si>
    <t>2024-12-30</t>
  </si>
  <si>
    <t>A0208</t>
  </si>
  <si>
    <t>2022-12-15</t>
  </si>
  <si>
    <t>2023-06-02</t>
  </si>
  <si>
    <t>A0209</t>
  </si>
  <si>
    <t>2024-08-07</t>
  </si>
  <si>
    <t>2024-09-07</t>
  </si>
  <si>
    <t>A0210</t>
  </si>
  <si>
    <t>2023-02-15</t>
  </si>
  <si>
    <t>2023-05-14</t>
  </si>
  <si>
    <t>A0211</t>
  </si>
  <si>
    <t>2022-01-10</t>
  </si>
  <si>
    <t>2022-05-06</t>
  </si>
  <si>
    <t>A0212</t>
  </si>
  <si>
    <t>2022-01-20</t>
  </si>
  <si>
    <t>A0213</t>
  </si>
  <si>
    <t>2022-07-30</t>
  </si>
  <si>
    <t>2022-11-06</t>
  </si>
  <si>
    <t>A0214</t>
  </si>
  <si>
    <t>2024-04-06</t>
  </si>
  <si>
    <t>2024-04-11</t>
  </si>
  <si>
    <t>A0215</t>
  </si>
  <si>
    <t>2022-04-10</t>
  </si>
  <si>
    <t>A0216</t>
  </si>
  <si>
    <t>2022-07-26</t>
  </si>
  <si>
    <t>A0217</t>
  </si>
  <si>
    <t>2024-12-07</t>
  </si>
  <si>
    <t>A0218</t>
  </si>
  <si>
    <t>2024-11-16</t>
  </si>
  <si>
    <t>A0219</t>
  </si>
  <si>
    <t>2022-09-20</t>
  </si>
  <si>
    <t>A0220</t>
  </si>
  <si>
    <t>2024-02-29</t>
  </si>
  <si>
    <t>A0221</t>
  </si>
  <si>
    <t>2024-06-10</t>
  </si>
  <si>
    <t>A0222</t>
  </si>
  <si>
    <t>2022-07-15</t>
  </si>
  <si>
    <t>2022-11-03</t>
  </si>
  <si>
    <t>A0223</t>
  </si>
  <si>
    <t>2024-10-03</t>
  </si>
  <si>
    <t>2024-12-25</t>
  </si>
  <si>
    <t>A0224</t>
  </si>
  <si>
    <t>2022-09-01</t>
  </si>
  <si>
    <t>2023-01-07</t>
  </si>
  <si>
    <t>A0225</t>
  </si>
  <si>
    <t>A0226</t>
  </si>
  <si>
    <t>2024-11-10</t>
  </si>
  <si>
    <t>A0227</t>
  </si>
  <si>
    <t>2024-11-06</t>
  </si>
  <si>
    <t>A0228</t>
  </si>
  <si>
    <t>2024-10-10</t>
  </si>
  <si>
    <t>A0229</t>
  </si>
  <si>
    <t>A0230</t>
  </si>
  <si>
    <t>2024-05-15</t>
  </si>
  <si>
    <t>2024-05-19</t>
  </si>
  <si>
    <t>A0231</t>
  </si>
  <si>
    <t>2022-07-29</t>
  </si>
  <si>
    <t>A0232</t>
  </si>
  <si>
    <t>2023-09-17</t>
  </si>
  <si>
    <t>A0233</t>
  </si>
  <si>
    <t>A0234</t>
  </si>
  <si>
    <t>2024-10-01</t>
  </si>
  <si>
    <t>A0235</t>
  </si>
  <si>
    <t>2023-05-24</t>
  </si>
  <si>
    <t>A0236</t>
  </si>
  <si>
    <t>2024-02-21</t>
  </si>
  <si>
    <t>2024-03-22</t>
  </si>
  <si>
    <t>A0237</t>
  </si>
  <si>
    <t>A0238</t>
  </si>
  <si>
    <t>2022-05-31</t>
  </si>
  <si>
    <t>2022-06-14</t>
  </si>
  <si>
    <t>A0239</t>
  </si>
  <si>
    <t>2022-05-10</t>
  </si>
  <si>
    <t>A0240</t>
  </si>
  <si>
    <t>2023-08-28</t>
  </si>
  <si>
    <t>A0241</t>
  </si>
  <si>
    <t>2024-04-25</t>
  </si>
  <si>
    <t>A0242</t>
  </si>
  <si>
    <t>2024-02-09</t>
  </si>
  <si>
    <t>A0243</t>
  </si>
  <si>
    <t>2023-10-04</t>
  </si>
  <si>
    <t>2023-12-07</t>
  </si>
  <si>
    <t>A0244</t>
  </si>
  <si>
    <t>2023-07-29</t>
  </si>
  <si>
    <t>2023-09-03</t>
  </si>
  <si>
    <t>A0245</t>
  </si>
  <si>
    <t>A0246</t>
  </si>
  <si>
    <t>2024-12-24</t>
  </si>
  <si>
    <t>A0247</t>
  </si>
  <si>
    <t>2022-03-29</t>
  </si>
  <si>
    <t>2022-09-17</t>
  </si>
  <si>
    <t>A0248</t>
  </si>
  <si>
    <t>2024-01-19</t>
  </si>
  <si>
    <t>2024-06-18</t>
  </si>
  <si>
    <t>A0249</t>
  </si>
  <si>
    <t>2024-11-19</t>
  </si>
  <si>
    <t>A0250</t>
  </si>
  <si>
    <t>2023-05-12</t>
  </si>
  <si>
    <t>A0251</t>
  </si>
  <si>
    <t>A0252</t>
  </si>
  <si>
    <t>2022-12-10</t>
  </si>
  <si>
    <t>A0253</t>
  </si>
  <si>
    <t>A0254</t>
  </si>
  <si>
    <t>2024-02-20</t>
  </si>
  <si>
    <t>A0255</t>
  </si>
  <si>
    <t>2023-10-09</t>
  </si>
  <si>
    <t>2024-01-22</t>
  </si>
  <si>
    <t>A0256</t>
  </si>
  <si>
    <t>2024-10-31</t>
  </si>
  <si>
    <t>A0257</t>
  </si>
  <si>
    <t>2024-11-07</t>
  </si>
  <si>
    <t>A0258</t>
  </si>
  <si>
    <t>2023-08-19</t>
  </si>
  <si>
    <t>A0259</t>
  </si>
  <si>
    <t>2023-02-18</t>
  </si>
  <si>
    <t>2023-08-06</t>
  </si>
  <si>
    <t>A0260</t>
  </si>
  <si>
    <t>2023-07-20</t>
  </si>
  <si>
    <t>A0261</t>
  </si>
  <si>
    <t>A0262</t>
  </si>
  <si>
    <t>A0263</t>
  </si>
  <si>
    <t>2022-10-21</t>
  </si>
  <si>
    <t>A0264</t>
  </si>
  <si>
    <t>2023-08-20</t>
  </si>
  <si>
    <t>A0265</t>
  </si>
  <si>
    <t>2024-02-12</t>
  </si>
  <si>
    <t>A0266</t>
  </si>
  <si>
    <t>A0267</t>
  </si>
  <si>
    <t>2022-10-18</t>
  </si>
  <si>
    <t>A0268</t>
  </si>
  <si>
    <t>2024-05-08</t>
  </si>
  <si>
    <t>A0269</t>
  </si>
  <si>
    <t>A0270</t>
  </si>
  <si>
    <t>2023-03-18</t>
  </si>
  <si>
    <t>2023-05-23</t>
  </si>
  <si>
    <t>A0271</t>
  </si>
  <si>
    <t>2023-11-05</t>
  </si>
  <si>
    <t>A0272</t>
  </si>
  <si>
    <t>A0273</t>
  </si>
  <si>
    <t>2023-11-27</t>
  </si>
  <si>
    <t>A0274</t>
  </si>
  <si>
    <t>2023-05-22</t>
  </si>
  <si>
    <t>2023-08-03</t>
  </si>
  <si>
    <t>A0275</t>
  </si>
  <si>
    <t>A0276</t>
  </si>
  <si>
    <t>2023-09-14</t>
  </si>
  <si>
    <t>A0277</t>
  </si>
  <si>
    <t>2023-05-08</t>
  </si>
  <si>
    <t>A0278</t>
  </si>
  <si>
    <t>A0279</t>
  </si>
  <si>
    <t>2022-04-12</t>
  </si>
  <si>
    <t>2022-08-27</t>
  </si>
  <si>
    <t>A0280</t>
  </si>
  <si>
    <t>2022-05-30</t>
  </si>
  <si>
    <t>A0281</t>
  </si>
  <si>
    <t>2023-06-10</t>
  </si>
  <si>
    <t>A0282</t>
  </si>
  <si>
    <t>A0283</t>
  </si>
  <si>
    <t>2024-01-31</t>
  </si>
  <si>
    <t>2024-02-23</t>
  </si>
  <si>
    <t>A0284</t>
  </si>
  <si>
    <t>A0285</t>
  </si>
  <si>
    <t>2023-12-14</t>
  </si>
  <si>
    <t>2024-03-06</t>
  </si>
  <si>
    <t>A0286</t>
  </si>
  <si>
    <t>2023-01-15</t>
  </si>
  <si>
    <t>2023-01-20</t>
  </si>
  <si>
    <t>A0287</t>
  </si>
  <si>
    <t>2023-11-20</t>
  </si>
  <si>
    <t>A0288</t>
  </si>
  <si>
    <t>2023-06-22</t>
  </si>
  <si>
    <t>A0289</t>
  </si>
  <si>
    <t>2023-06-29</t>
  </si>
  <si>
    <t>2023-11-12</t>
  </si>
  <si>
    <t>A0290</t>
  </si>
  <si>
    <t>2024-04-30</t>
  </si>
  <si>
    <t>2024-05-28</t>
  </si>
  <si>
    <t>A0291</t>
  </si>
  <si>
    <t>2024-06-26</t>
  </si>
  <si>
    <t>2024-09-25</t>
  </si>
  <si>
    <t>A0292</t>
  </si>
  <si>
    <t>A0293</t>
  </si>
  <si>
    <t>2022-11-16</t>
  </si>
  <si>
    <t>2022-12-22</t>
  </si>
  <si>
    <t>A0294</t>
  </si>
  <si>
    <t>2022-12-21</t>
  </si>
  <si>
    <t>A0295</t>
  </si>
  <si>
    <t>2024-01-30</t>
  </si>
  <si>
    <t>A0296</t>
  </si>
  <si>
    <t>2024-03-18</t>
  </si>
  <si>
    <t>A0297</t>
  </si>
  <si>
    <t>2023-02-06</t>
  </si>
  <si>
    <t>2023-06-30</t>
  </si>
  <si>
    <t>A0298</t>
  </si>
  <si>
    <t>A0299</t>
  </si>
  <si>
    <t>2022-04-22</t>
  </si>
  <si>
    <t>A0300</t>
  </si>
  <si>
    <t>2022-02-07</t>
  </si>
  <si>
    <t>2022-05-15</t>
  </si>
  <si>
    <t>A0301</t>
  </si>
  <si>
    <t>2024-03-02</t>
  </si>
  <si>
    <t>2024-05-01</t>
  </si>
  <si>
    <t>A0302</t>
  </si>
  <si>
    <t>2024-12-20</t>
  </si>
  <si>
    <t>A0303</t>
  </si>
  <si>
    <t>2023-09-24</t>
  </si>
  <si>
    <t>A0304</t>
  </si>
  <si>
    <t>2023-03-27</t>
  </si>
  <si>
    <t>A0305</t>
  </si>
  <si>
    <t>2023-10-15</t>
  </si>
  <si>
    <t>A0306</t>
  </si>
  <si>
    <t>2023-04-21</t>
  </si>
  <si>
    <t>2023-06-20</t>
  </si>
  <si>
    <t>A0307</t>
  </si>
  <si>
    <t>2022-01-31</t>
  </si>
  <si>
    <t>2022-04-11</t>
  </si>
  <si>
    <t>A0308</t>
  </si>
  <si>
    <t>2022-03-27</t>
  </si>
  <si>
    <t>2022-08-30</t>
  </si>
  <si>
    <t>A0309</t>
  </si>
  <si>
    <t>2024-11-23</t>
  </si>
  <si>
    <t>A0310</t>
  </si>
  <si>
    <t>2024-03-16</t>
  </si>
  <si>
    <t>A0311</t>
  </si>
  <si>
    <t>A0312</t>
  </si>
  <si>
    <t>A0313</t>
  </si>
  <si>
    <t>2022-01-12</t>
  </si>
  <si>
    <t>A0314</t>
  </si>
  <si>
    <t>2022-05-29</t>
  </si>
  <si>
    <t>A0315</t>
  </si>
  <si>
    <t>2022-03-15</t>
  </si>
  <si>
    <t>2022-04-08</t>
  </si>
  <si>
    <t>A0316</t>
  </si>
  <si>
    <t>2024-09-09</t>
  </si>
  <si>
    <t>A0317</t>
  </si>
  <si>
    <t>2024-11-30</t>
  </si>
  <si>
    <t>A0318</t>
  </si>
  <si>
    <t>A0319</t>
  </si>
  <si>
    <t>2023-11-14</t>
  </si>
  <si>
    <t>A0320</t>
  </si>
  <si>
    <t>2024-12-17</t>
  </si>
  <si>
    <t>A0321</t>
  </si>
  <si>
    <t>2022-11-02</t>
  </si>
  <si>
    <t>A0322</t>
  </si>
  <si>
    <t>2024-07-14</t>
  </si>
  <si>
    <t>2024-09-30</t>
  </si>
  <si>
    <t>A0323</t>
  </si>
  <si>
    <t>2023-11-02</t>
  </si>
  <si>
    <t>2023-12-09</t>
  </si>
  <si>
    <t>A0324</t>
  </si>
  <si>
    <t>A0325</t>
  </si>
  <si>
    <t>2022-08-23</t>
  </si>
  <si>
    <t>A0326</t>
  </si>
  <si>
    <t>2022-04-14</t>
  </si>
  <si>
    <t>2022-05-12</t>
  </si>
  <si>
    <t>A0327</t>
  </si>
  <si>
    <t>2024-08-17</t>
  </si>
  <si>
    <t>2024-09-11</t>
  </si>
  <si>
    <t>A0328</t>
  </si>
  <si>
    <t>A0329</t>
  </si>
  <si>
    <t>2024-06-27</t>
  </si>
  <si>
    <t>A0330</t>
  </si>
  <si>
    <t>A0331</t>
  </si>
  <si>
    <t>2023-04-27</t>
  </si>
  <si>
    <t>A0332</t>
  </si>
  <si>
    <t>2022-09-19</t>
  </si>
  <si>
    <t>2022-12-04</t>
  </si>
  <si>
    <t>A0333</t>
  </si>
  <si>
    <t>2024-06-12</t>
  </si>
  <si>
    <t>A0334</t>
  </si>
  <si>
    <t>A0335</t>
  </si>
  <si>
    <t>2023-04-08</t>
  </si>
  <si>
    <t>A0336</t>
  </si>
  <si>
    <t>2024-01-25</t>
  </si>
  <si>
    <t>A0337</t>
  </si>
  <si>
    <t>A0338</t>
  </si>
  <si>
    <t>2022-10-15</t>
  </si>
  <si>
    <t>A0339</t>
  </si>
  <si>
    <t>A0340</t>
  </si>
  <si>
    <t>A0341</t>
  </si>
  <si>
    <t>2024-09-02</t>
  </si>
  <si>
    <t>A0342</t>
  </si>
  <si>
    <t>2022-03-26</t>
  </si>
  <si>
    <t>2022-04-20</t>
  </si>
  <si>
    <t>A0343</t>
  </si>
  <si>
    <t>A0344</t>
  </si>
  <si>
    <t>2022-07-08</t>
  </si>
  <si>
    <t>2022-07-23</t>
  </si>
  <si>
    <t>A0345</t>
  </si>
  <si>
    <t>2024-09-26</t>
  </si>
  <si>
    <t>A0346</t>
  </si>
  <si>
    <t>2023-06-27</t>
  </si>
  <si>
    <t>2023-08-12</t>
  </si>
  <si>
    <t>A0347</t>
  </si>
  <si>
    <t>2022-07-31</t>
  </si>
  <si>
    <t>2022-08-09</t>
  </si>
  <si>
    <t>A0348</t>
  </si>
  <si>
    <t>A0349</t>
  </si>
  <si>
    <t>2022-07-05</t>
  </si>
  <si>
    <t>A0350</t>
  </si>
  <si>
    <t>2024-01-06</t>
  </si>
  <si>
    <t>A0351</t>
  </si>
  <si>
    <t>2023-12-04</t>
  </si>
  <si>
    <t>A0352</t>
  </si>
  <si>
    <t>A0353</t>
  </si>
  <si>
    <t>2023-02-20</t>
  </si>
  <si>
    <t>A0354</t>
  </si>
  <si>
    <t>A0355</t>
  </si>
  <si>
    <t>2022-01-16</t>
  </si>
  <si>
    <t>A0356</t>
  </si>
  <si>
    <t>2024-10-20</t>
  </si>
  <si>
    <t>A0357</t>
  </si>
  <si>
    <t>A0358</t>
  </si>
  <si>
    <t>A0359</t>
  </si>
  <si>
    <t>2023-02-14</t>
  </si>
  <si>
    <t>A0360</t>
  </si>
  <si>
    <t>A0361</t>
  </si>
  <si>
    <t>2022-10-11</t>
  </si>
  <si>
    <t>A0362</t>
  </si>
  <si>
    <t>A0363</t>
  </si>
  <si>
    <t>2024-03-21</t>
  </si>
  <si>
    <t>A0364</t>
  </si>
  <si>
    <t>2022-05-25</t>
  </si>
  <si>
    <t>A0365</t>
  </si>
  <si>
    <t>2024-08-11</t>
  </si>
  <si>
    <t>A0366</t>
  </si>
  <si>
    <t>2023-07-02</t>
  </si>
  <si>
    <t>A0367</t>
  </si>
  <si>
    <t>2024-07-26</t>
  </si>
  <si>
    <t>2024-08-18</t>
  </si>
  <si>
    <t>A0368</t>
  </si>
  <si>
    <t>2024-11-25</t>
  </si>
  <si>
    <t>A0369</t>
  </si>
  <si>
    <t>2024-12-21</t>
  </si>
  <si>
    <t>A0370</t>
  </si>
  <si>
    <t>2022-12-07</t>
  </si>
  <si>
    <t>A0371</t>
  </si>
  <si>
    <t>2023-10-12</t>
  </si>
  <si>
    <t>2024-01-09</t>
  </si>
  <si>
    <t>A0372</t>
  </si>
  <si>
    <t>2023-08-17</t>
  </si>
  <si>
    <t>2024-01-11</t>
  </si>
  <si>
    <t>A0373</t>
  </si>
  <si>
    <t>2022-07-09</t>
  </si>
  <si>
    <t>2022-10-01</t>
  </si>
  <si>
    <t>A0374</t>
  </si>
  <si>
    <t>A0375</t>
  </si>
  <si>
    <t>2023-08-15</t>
  </si>
  <si>
    <t>2023-09-26</t>
  </si>
  <si>
    <t>A0376</t>
  </si>
  <si>
    <t>A0377</t>
  </si>
  <si>
    <t>A0378</t>
  </si>
  <si>
    <t>2022-09-02</t>
  </si>
  <si>
    <t>2022-11-12</t>
  </si>
  <si>
    <t>A0379</t>
  </si>
  <si>
    <t>2023-01-17</t>
  </si>
  <si>
    <t>A0380</t>
  </si>
  <si>
    <t>2022-12-09</t>
  </si>
  <si>
    <t>2023-04-28</t>
  </si>
  <si>
    <t>A0381</t>
  </si>
  <si>
    <t>2024-02-03</t>
  </si>
  <si>
    <t>A0382</t>
  </si>
  <si>
    <t>2022-09-26</t>
  </si>
  <si>
    <t>A0383</t>
  </si>
  <si>
    <t>2022-09-14</t>
  </si>
  <si>
    <t>2022-11-07</t>
  </si>
  <si>
    <t>A0384</t>
  </si>
  <si>
    <t>A0385</t>
  </si>
  <si>
    <t>2023-05-11</t>
  </si>
  <si>
    <t>2023-09-18</t>
  </si>
  <si>
    <t>A0386</t>
  </si>
  <si>
    <t>A0387</t>
  </si>
  <si>
    <t>2022-03-25</t>
  </si>
  <si>
    <t>2022-04-16</t>
  </si>
  <si>
    <t>A0388</t>
  </si>
  <si>
    <t>A0389</t>
  </si>
  <si>
    <t>2023-05-10</t>
  </si>
  <si>
    <t>A0390</t>
  </si>
  <si>
    <t>2022-10-29</t>
  </si>
  <si>
    <t>2023-02-23</t>
  </si>
  <si>
    <t>A0391</t>
  </si>
  <si>
    <t>2022-07-17</t>
  </si>
  <si>
    <t>2022-08-06</t>
  </si>
  <si>
    <t>A0392</t>
  </si>
  <si>
    <t>A0393</t>
  </si>
  <si>
    <t>2024-08-20</t>
  </si>
  <si>
    <t>A0394</t>
  </si>
  <si>
    <t>2022-07-19</t>
  </si>
  <si>
    <t>A0395</t>
  </si>
  <si>
    <t>A0396</t>
  </si>
  <si>
    <t>2022-11-23</t>
  </si>
  <si>
    <t>A0397</t>
  </si>
  <si>
    <t>2024-05-31</t>
  </si>
  <si>
    <t>A0398</t>
  </si>
  <si>
    <t>2024-11-21</t>
  </si>
  <si>
    <t>A0399</t>
  </si>
  <si>
    <t>A0400</t>
  </si>
  <si>
    <t>2023-01-29</t>
  </si>
  <si>
    <t>A0401</t>
  </si>
  <si>
    <t>A0402</t>
  </si>
  <si>
    <t>2024-12-11</t>
  </si>
  <si>
    <t>A0403</t>
  </si>
  <si>
    <t>2023-03-15</t>
  </si>
  <si>
    <t>A0404</t>
  </si>
  <si>
    <t>2024-01-24</t>
  </si>
  <si>
    <t>2024-04-12</t>
  </si>
  <si>
    <t>A0405</t>
  </si>
  <si>
    <t>2023-06-08</t>
  </si>
  <si>
    <t>2023-08-25</t>
  </si>
  <si>
    <t>A0406</t>
  </si>
  <si>
    <t>A0407</t>
  </si>
  <si>
    <t>A0408</t>
  </si>
  <si>
    <t>A0409</t>
  </si>
  <si>
    <t>2023-02-11</t>
  </si>
  <si>
    <t>2023-04-20</t>
  </si>
  <si>
    <t>A0410</t>
  </si>
  <si>
    <t>2023-09-12</t>
  </si>
  <si>
    <t>A0411</t>
  </si>
  <si>
    <t>2024-09-14</t>
  </si>
  <si>
    <t>A0412</t>
  </si>
  <si>
    <t>A0413</t>
  </si>
  <si>
    <t>A0414</t>
  </si>
  <si>
    <t>2023-10-10</t>
  </si>
  <si>
    <t>A0415</t>
  </si>
  <si>
    <t>2023-01-11</t>
  </si>
  <si>
    <t>A0416</t>
  </si>
  <si>
    <t>2022-10-31</t>
  </si>
  <si>
    <t>2022-12-02</t>
  </si>
  <si>
    <t>A0417</t>
  </si>
  <si>
    <t>2023-04-22</t>
  </si>
  <si>
    <t>A0418</t>
  </si>
  <si>
    <t>2024-12-26</t>
  </si>
  <si>
    <t>A0419</t>
  </si>
  <si>
    <t>A0420</t>
  </si>
  <si>
    <t>2024-10-02</t>
  </si>
  <si>
    <t>A0421</t>
  </si>
  <si>
    <t>A0422</t>
  </si>
  <si>
    <t>A0423</t>
  </si>
  <si>
    <t>2023-12-29</t>
  </si>
  <si>
    <t>2024-03-04</t>
  </si>
  <si>
    <t>A0424</t>
  </si>
  <si>
    <t>2023-12-01</t>
  </si>
  <si>
    <t>A0425</t>
  </si>
  <si>
    <t>2024-12-10</t>
  </si>
  <si>
    <t>A0426</t>
  </si>
  <si>
    <t>2023-03-05</t>
  </si>
  <si>
    <t>2023-07-07</t>
  </si>
  <si>
    <t>A0427</t>
  </si>
  <si>
    <t>2024-09-20</t>
  </si>
  <si>
    <t>A0428</t>
  </si>
  <si>
    <t>2024-11-17</t>
  </si>
  <si>
    <t>A0429</t>
  </si>
  <si>
    <t>A0430</t>
  </si>
  <si>
    <t>2024-03-10</t>
  </si>
  <si>
    <t>2024-06-25</t>
  </si>
  <si>
    <t>A0431</t>
  </si>
  <si>
    <t>A0432</t>
  </si>
  <si>
    <t>2023-04-10</t>
  </si>
  <si>
    <t>A0433</t>
  </si>
  <si>
    <t>2022-08-16</t>
  </si>
  <si>
    <t>2022-09-13</t>
  </si>
  <si>
    <t>A0434</t>
  </si>
  <si>
    <t>2022-09-09</t>
  </si>
  <si>
    <t>A0435</t>
  </si>
  <si>
    <t>A0436</t>
  </si>
  <si>
    <t>2023-03-25</t>
  </si>
  <si>
    <t>A0437</t>
  </si>
  <si>
    <t>2022-10-28</t>
  </si>
  <si>
    <t>A0438</t>
  </si>
  <si>
    <t>2024-12-01</t>
  </si>
  <si>
    <t>A0439</t>
  </si>
  <si>
    <t>2022-08-15</t>
  </si>
  <si>
    <t>2022-08-31</t>
  </si>
  <si>
    <t>A0440</t>
  </si>
  <si>
    <t>2023-12-19</t>
  </si>
  <si>
    <t>2024-03-05</t>
  </si>
  <si>
    <t>A0441</t>
  </si>
  <si>
    <t>2024-05-21</t>
  </si>
  <si>
    <t>A0442</t>
  </si>
  <si>
    <t>2024-06-14</t>
  </si>
  <si>
    <t>A0443</t>
  </si>
  <si>
    <t>A0444</t>
  </si>
  <si>
    <t>2022-09-08</t>
  </si>
  <si>
    <t>2023-01-27</t>
  </si>
  <si>
    <t>A0445</t>
  </si>
  <si>
    <t>A0446</t>
  </si>
  <si>
    <t>2023-01-30</t>
  </si>
  <si>
    <t>A0447</t>
  </si>
  <si>
    <t>2022-04-03</t>
  </si>
  <si>
    <t>2022-08-07</t>
  </si>
  <si>
    <t>A0448</t>
  </si>
  <si>
    <t>2023-09-21</t>
  </si>
  <si>
    <t>2024-01-04</t>
  </si>
  <si>
    <t>A0449</t>
  </si>
  <si>
    <t>2023-10-06</t>
  </si>
  <si>
    <t>A0450</t>
  </si>
  <si>
    <t>A0451</t>
  </si>
  <si>
    <t>A0452</t>
  </si>
  <si>
    <t>2024-12-29</t>
  </si>
  <si>
    <t>A0453</t>
  </si>
  <si>
    <t>2023-07-04</t>
  </si>
  <si>
    <t>A0454</t>
  </si>
  <si>
    <t>2022-11-30</t>
  </si>
  <si>
    <t>A0455</t>
  </si>
  <si>
    <t>2024-06-29</t>
  </si>
  <si>
    <t>2024-07-02</t>
  </si>
  <si>
    <t>A0456</t>
  </si>
  <si>
    <t>2023-12-03</t>
  </si>
  <si>
    <t>A0457</t>
  </si>
  <si>
    <t>A0458</t>
  </si>
  <si>
    <t>2024-11-27</t>
  </si>
  <si>
    <t>A0459</t>
  </si>
  <si>
    <t>A0460</t>
  </si>
  <si>
    <t>A0461</t>
  </si>
  <si>
    <t>2024-03-30</t>
  </si>
  <si>
    <t>A0462</t>
  </si>
  <si>
    <t>2023-04-23</t>
  </si>
  <si>
    <t>A0463</t>
  </si>
  <si>
    <t>2022-09-16</t>
  </si>
  <si>
    <t>2023-02-27</t>
  </si>
  <si>
    <t>A0464</t>
  </si>
  <si>
    <t>2024-01-03</t>
  </si>
  <si>
    <t>2024-03-23</t>
  </si>
  <si>
    <t>A0465</t>
  </si>
  <si>
    <t>A0466</t>
  </si>
  <si>
    <t>2022-01-08</t>
  </si>
  <si>
    <t>2022-06-21</t>
  </si>
  <si>
    <t>A0467</t>
  </si>
  <si>
    <t>A0468</t>
  </si>
  <si>
    <t>A0469</t>
  </si>
  <si>
    <t>2024-07-21</t>
  </si>
  <si>
    <t>A0470</t>
  </si>
  <si>
    <t>2023-01-23</t>
  </si>
  <si>
    <t>A0471</t>
  </si>
  <si>
    <t>2024-11-08</t>
  </si>
  <si>
    <t>A0472</t>
  </si>
  <si>
    <t>A0473</t>
  </si>
  <si>
    <t>2024-08-10</t>
  </si>
  <si>
    <t>A0474</t>
  </si>
  <si>
    <t>2022-06-05</t>
  </si>
  <si>
    <t>A0475</t>
  </si>
  <si>
    <t>A0476</t>
  </si>
  <si>
    <t>A0477</t>
  </si>
  <si>
    <t>A0478</t>
  </si>
  <si>
    <t>2022-10-12</t>
  </si>
  <si>
    <t>2022-11-21</t>
  </si>
  <si>
    <t>A0479</t>
  </si>
  <si>
    <t>2024-07-13</t>
  </si>
  <si>
    <t>A0480</t>
  </si>
  <si>
    <t>2024-02-05</t>
  </si>
  <si>
    <t>A0481</t>
  </si>
  <si>
    <t>2024-01-16</t>
  </si>
  <si>
    <t>A0482</t>
  </si>
  <si>
    <t>2023-10-03</t>
  </si>
  <si>
    <t>A0483</t>
  </si>
  <si>
    <t>2023-04-11</t>
  </si>
  <si>
    <t>A0484</t>
  </si>
  <si>
    <t>2022-05-17</t>
  </si>
  <si>
    <t>A0485</t>
  </si>
  <si>
    <t>A0486</t>
  </si>
  <si>
    <t>A0487</t>
  </si>
  <si>
    <t>2024-02-19</t>
  </si>
  <si>
    <t>A0488</t>
  </si>
  <si>
    <t>A0489</t>
  </si>
  <si>
    <t>2024-09-10</t>
  </si>
  <si>
    <t>A0490</t>
  </si>
  <si>
    <t>2024-03-08</t>
  </si>
  <si>
    <t>A0491</t>
  </si>
  <si>
    <t>2023-10-27</t>
  </si>
  <si>
    <t>A0492</t>
  </si>
  <si>
    <t>A0493</t>
  </si>
  <si>
    <t>2023-08-31</t>
  </si>
  <si>
    <t>A0494</t>
  </si>
  <si>
    <t>2023-02-26</t>
  </si>
  <si>
    <t>A0495</t>
  </si>
  <si>
    <t>2022-09-15</t>
  </si>
  <si>
    <t>A0496</t>
  </si>
  <si>
    <t>A0497</t>
  </si>
  <si>
    <t>2024-05-25</t>
  </si>
  <si>
    <t>A0498</t>
  </si>
  <si>
    <t>2023-02-05</t>
  </si>
  <si>
    <t>A0499</t>
  </si>
  <si>
    <t>2024-04-17</t>
  </si>
  <si>
    <t>A0500</t>
  </si>
  <si>
    <t>2022-03-12</t>
  </si>
  <si>
    <t>2022-06-13</t>
  </si>
  <si>
    <t>A0501</t>
  </si>
  <si>
    <t>2024-05-24</t>
  </si>
  <si>
    <t>A0502</t>
  </si>
  <si>
    <t>2023-09-25</t>
  </si>
  <si>
    <t>A0503</t>
  </si>
  <si>
    <t>2024-12-04</t>
  </si>
  <si>
    <t>A0504</t>
  </si>
  <si>
    <t>A0505</t>
  </si>
  <si>
    <t>A0506</t>
  </si>
  <si>
    <t>2022-07-25</t>
  </si>
  <si>
    <t>A0507</t>
  </si>
  <si>
    <t>2024-11-20</t>
  </si>
  <si>
    <t>A0508</t>
  </si>
  <si>
    <t>A0509</t>
  </si>
  <si>
    <t>2024-08-14</t>
  </si>
  <si>
    <t>2024-09-27</t>
  </si>
  <si>
    <t>A0510</t>
  </si>
  <si>
    <t>2023-06-12</t>
  </si>
  <si>
    <t>2023-11-30</t>
  </si>
  <si>
    <t>A0511</t>
  </si>
  <si>
    <t>2024-08-12</t>
  </si>
  <si>
    <t>A0512</t>
  </si>
  <si>
    <t>2022-01-04</t>
  </si>
  <si>
    <t>A0513</t>
  </si>
  <si>
    <t>A0514</t>
  </si>
  <si>
    <t>2023-11-25</t>
  </si>
  <si>
    <t>A0515</t>
  </si>
  <si>
    <t>2024-08-27</t>
  </si>
  <si>
    <t>A0516</t>
  </si>
  <si>
    <t>2023-01-31</t>
  </si>
  <si>
    <t>A0517</t>
  </si>
  <si>
    <t>2022-07-16</t>
  </si>
  <si>
    <t>A0518</t>
  </si>
  <si>
    <t>A0519</t>
  </si>
  <si>
    <t>A0520</t>
  </si>
  <si>
    <t>2023-01-14</t>
  </si>
  <si>
    <t>A0521</t>
  </si>
  <si>
    <t>A0522</t>
  </si>
  <si>
    <t>2022-04-05</t>
  </si>
  <si>
    <t>A0523</t>
  </si>
  <si>
    <t>2022-03-17</t>
  </si>
  <si>
    <t>2022-05-05</t>
  </si>
  <si>
    <t>A0524</t>
  </si>
  <si>
    <t>2024-07-23</t>
  </si>
  <si>
    <t>A0525</t>
  </si>
  <si>
    <t>A0526</t>
  </si>
  <si>
    <t>A0527</t>
  </si>
  <si>
    <t>2023-07-10</t>
  </si>
  <si>
    <t>A0528</t>
  </si>
  <si>
    <t>2023-07-16</t>
  </si>
  <si>
    <t>A0529</t>
  </si>
  <si>
    <t>2023-04-14</t>
  </si>
  <si>
    <t>A0530</t>
  </si>
  <si>
    <t>A0531</t>
  </si>
  <si>
    <t>A0532</t>
  </si>
  <si>
    <t>2023-08-18</t>
  </si>
  <si>
    <t>A0533</t>
  </si>
  <si>
    <t>2022-01-13</t>
  </si>
  <si>
    <t>2022-06-20</t>
  </si>
  <si>
    <t>A0534</t>
  </si>
  <si>
    <t>A0535</t>
  </si>
  <si>
    <t>2022-10-14</t>
  </si>
  <si>
    <t>A0536</t>
  </si>
  <si>
    <t>2023-06-15</t>
  </si>
  <si>
    <t>A0537</t>
  </si>
  <si>
    <t>2022-11-15</t>
  </si>
  <si>
    <t>A0538</t>
  </si>
  <si>
    <t>A0539</t>
  </si>
  <si>
    <t>A0540</t>
  </si>
  <si>
    <t>2023-07-06</t>
  </si>
  <si>
    <t>A0541</t>
  </si>
  <si>
    <t>2022-11-14</t>
  </si>
  <si>
    <t>A0542</t>
  </si>
  <si>
    <t>2022-09-25</t>
  </si>
  <si>
    <t>2023-03-06</t>
  </si>
  <si>
    <t>A0543</t>
  </si>
  <si>
    <t>A0544</t>
  </si>
  <si>
    <t>2024-10-28</t>
  </si>
  <si>
    <t>2024-11-03</t>
  </si>
  <si>
    <t>A0545</t>
  </si>
  <si>
    <t>A0546</t>
  </si>
  <si>
    <t>A0547</t>
  </si>
  <si>
    <t>A0548</t>
  </si>
  <si>
    <t>2022-02-02</t>
  </si>
  <si>
    <t>A0549</t>
  </si>
  <si>
    <t>A0550</t>
  </si>
  <si>
    <t>2023-02-07</t>
  </si>
  <si>
    <t>A0551</t>
  </si>
  <si>
    <t>2022-12-01</t>
  </si>
  <si>
    <t>A0552</t>
  </si>
  <si>
    <t>2023-11-11</t>
  </si>
  <si>
    <t>A0553</t>
  </si>
  <si>
    <t>A0554</t>
  </si>
  <si>
    <t>2023-11-15</t>
  </si>
  <si>
    <t>2023-12-16</t>
  </si>
  <si>
    <t>A0555</t>
  </si>
  <si>
    <t>A0556</t>
  </si>
  <si>
    <t>2024-08-05</t>
  </si>
  <si>
    <t>A0557</t>
  </si>
  <si>
    <t>A0558</t>
  </si>
  <si>
    <t>2022-05-03</t>
  </si>
  <si>
    <t>A0559</t>
  </si>
  <si>
    <t>2022-08-29</t>
  </si>
  <si>
    <t>2023-02-24</t>
  </si>
  <si>
    <t>A0560</t>
  </si>
  <si>
    <t>2022-01-26</t>
  </si>
  <si>
    <t>A0561</t>
  </si>
  <si>
    <t>A0562</t>
  </si>
  <si>
    <t>2022-11-08</t>
  </si>
  <si>
    <t>A0563</t>
  </si>
  <si>
    <t>A0564</t>
  </si>
  <si>
    <t>A0565</t>
  </si>
  <si>
    <t>2023-02-04</t>
  </si>
  <si>
    <t>A0566</t>
  </si>
  <si>
    <t>A0567</t>
  </si>
  <si>
    <t>A0568</t>
  </si>
  <si>
    <t>A0569</t>
  </si>
  <si>
    <t>2024-10-07</t>
  </si>
  <si>
    <t>A0570</t>
  </si>
  <si>
    <t>2023-12-15</t>
  </si>
  <si>
    <t>A0571</t>
  </si>
  <si>
    <t>A0572</t>
  </si>
  <si>
    <t>A0573</t>
  </si>
  <si>
    <t>2023-03-16</t>
  </si>
  <si>
    <t>A0574</t>
  </si>
  <si>
    <t>2022-04-21</t>
  </si>
  <si>
    <t>A0575</t>
  </si>
  <si>
    <t>A0576</t>
  </si>
  <si>
    <t>A0577</t>
  </si>
  <si>
    <t>A0578</t>
  </si>
  <si>
    <t>2024-11-15</t>
  </si>
  <si>
    <t>A0579</t>
  </si>
  <si>
    <t>A0580</t>
  </si>
  <si>
    <t>A0581</t>
  </si>
  <si>
    <t>2024-10-19</t>
  </si>
  <si>
    <t>A0582</t>
  </si>
  <si>
    <t>A0583</t>
  </si>
  <si>
    <t>2022-08-25</t>
  </si>
  <si>
    <t>A0584</t>
  </si>
  <si>
    <t>2022-02-21</t>
  </si>
  <si>
    <t>A0585</t>
  </si>
  <si>
    <t>A0586</t>
  </si>
  <si>
    <t>2022-10-03</t>
  </si>
  <si>
    <t>A0587</t>
  </si>
  <si>
    <t>2023-04-04</t>
  </si>
  <si>
    <t>A0588</t>
  </si>
  <si>
    <t>A0589</t>
  </si>
  <si>
    <t>2023-11-13</t>
  </si>
  <si>
    <t>A0590</t>
  </si>
  <si>
    <t>2024-08-21</t>
  </si>
  <si>
    <t>A0591</t>
  </si>
  <si>
    <t>2024-02-01</t>
  </si>
  <si>
    <t>A0592</t>
  </si>
  <si>
    <t>2024-12-15</t>
  </si>
  <si>
    <t>A0593</t>
  </si>
  <si>
    <t>2023-07-17</t>
  </si>
  <si>
    <t>A0594</t>
  </si>
  <si>
    <t>2024-05-06</t>
  </si>
  <si>
    <t>A0595</t>
  </si>
  <si>
    <t>2024-07-19</t>
  </si>
  <si>
    <t>A0596</t>
  </si>
  <si>
    <t>A0597</t>
  </si>
  <si>
    <t>A0598</t>
  </si>
  <si>
    <t>2022-10-08</t>
  </si>
  <si>
    <t>A0599</t>
  </si>
  <si>
    <t>2022-09-24</t>
  </si>
  <si>
    <t>A0600</t>
  </si>
  <si>
    <t>A0601</t>
  </si>
  <si>
    <t>A0602</t>
  </si>
  <si>
    <t>A0603</t>
  </si>
  <si>
    <t>2023-07-19</t>
  </si>
  <si>
    <t>A0604</t>
  </si>
  <si>
    <t>A0605</t>
  </si>
  <si>
    <t>2022-02-12</t>
  </si>
  <si>
    <t>2022-03-30</t>
  </si>
  <si>
    <t>A0606</t>
  </si>
  <si>
    <t>2023-08-26</t>
  </si>
  <si>
    <t>A0607</t>
  </si>
  <si>
    <t>2023-09-09</t>
  </si>
  <si>
    <t>A0608</t>
  </si>
  <si>
    <t>A0609</t>
  </si>
  <si>
    <t>A0610</t>
  </si>
  <si>
    <t>A0611</t>
  </si>
  <si>
    <t>2023-12-23</t>
  </si>
  <si>
    <t>A0612</t>
  </si>
  <si>
    <t>2023-12-28</t>
  </si>
  <si>
    <t>2024-03-01</t>
  </si>
  <si>
    <t>A0613</t>
  </si>
  <si>
    <t>A0614</t>
  </si>
  <si>
    <t>A0615</t>
  </si>
  <si>
    <t>A0616</t>
  </si>
  <si>
    <t>2022-08-08</t>
  </si>
  <si>
    <t>A0617</t>
  </si>
  <si>
    <t>A0618</t>
  </si>
  <si>
    <t>2022-09-07</t>
  </si>
  <si>
    <t>A0619</t>
  </si>
  <si>
    <t>A0620</t>
  </si>
  <si>
    <t>2022-12-05</t>
  </si>
  <si>
    <t>A0621</t>
  </si>
  <si>
    <t>2022-10-13</t>
  </si>
  <si>
    <t>2023-02-10</t>
  </si>
  <si>
    <t>A0622</t>
  </si>
  <si>
    <t>A0623</t>
  </si>
  <si>
    <t>2024-04-24</t>
  </si>
  <si>
    <t>A0624</t>
  </si>
  <si>
    <t>A0625</t>
  </si>
  <si>
    <t>2023-08-09</t>
  </si>
  <si>
    <t>A0626</t>
  </si>
  <si>
    <t>2024-04-15</t>
  </si>
  <si>
    <t>A0627</t>
  </si>
  <si>
    <t>2022-05-26</t>
  </si>
  <si>
    <t>2022-10-19</t>
  </si>
  <si>
    <t>A0628</t>
  </si>
  <si>
    <t>A0629</t>
  </si>
  <si>
    <t>2023-11-17</t>
  </si>
  <si>
    <t>A0630</t>
  </si>
  <si>
    <t>2022-09-23</t>
  </si>
  <si>
    <t>A0631</t>
  </si>
  <si>
    <t>A0632</t>
  </si>
  <si>
    <t>2023-05-03</t>
  </si>
  <si>
    <t>A0633</t>
  </si>
  <si>
    <t>2023-12-18</t>
  </si>
  <si>
    <t>A0634</t>
  </si>
  <si>
    <t>A0635</t>
  </si>
  <si>
    <t>A0636</t>
  </si>
  <si>
    <t>2023-12-22</t>
  </si>
  <si>
    <t>A0637</t>
  </si>
  <si>
    <t>A0638</t>
  </si>
  <si>
    <t>2024-06-09</t>
  </si>
  <si>
    <t>A0639</t>
  </si>
  <si>
    <t>2023-08-29</t>
  </si>
  <si>
    <t>2023-11-24</t>
  </si>
  <si>
    <t>A0640</t>
  </si>
  <si>
    <t>2022-02-05</t>
  </si>
  <si>
    <t>A0641</t>
  </si>
  <si>
    <t>2024-11-12</t>
  </si>
  <si>
    <t>A0642</t>
  </si>
  <si>
    <t>2022-07-11</t>
  </si>
  <si>
    <t>A0643</t>
  </si>
  <si>
    <t>2023-10-30</t>
  </si>
  <si>
    <t>A0644</t>
  </si>
  <si>
    <t>A0645</t>
  </si>
  <si>
    <t>2022-06-10</t>
  </si>
  <si>
    <t>2022-06-30</t>
  </si>
  <si>
    <t>A0646</t>
  </si>
  <si>
    <t>A0647</t>
  </si>
  <si>
    <t>2024-10-24</t>
  </si>
  <si>
    <t>A0648</t>
  </si>
  <si>
    <t>A0649</t>
  </si>
  <si>
    <t>2022-12-08</t>
  </si>
  <si>
    <t>A0650</t>
  </si>
  <si>
    <t>A0651</t>
  </si>
  <si>
    <t>A0652</t>
  </si>
  <si>
    <t>A0653</t>
  </si>
  <si>
    <t>A0654</t>
  </si>
  <si>
    <t>A0655</t>
  </si>
  <si>
    <t>A0656</t>
  </si>
  <si>
    <t>2024-06-06</t>
  </si>
  <si>
    <t>A0657</t>
  </si>
  <si>
    <t>2023-03-12</t>
  </si>
  <si>
    <t>A0658</t>
  </si>
  <si>
    <t>A0659</t>
  </si>
  <si>
    <t>A0660</t>
  </si>
  <si>
    <t>A0661</t>
  </si>
  <si>
    <t>2023-10-24</t>
  </si>
  <si>
    <t>2023-12-30</t>
  </si>
  <si>
    <t>A0662</t>
  </si>
  <si>
    <t>2024-04-19</t>
  </si>
  <si>
    <t>2024-06-15</t>
  </si>
  <si>
    <t>A0663</t>
  </si>
  <si>
    <t>2024-05-29</t>
  </si>
  <si>
    <t>A0664</t>
  </si>
  <si>
    <t>2022-02-11</t>
  </si>
  <si>
    <t>2022-06-26</t>
  </si>
  <si>
    <t>A0665</t>
  </si>
  <si>
    <t>2022-06-23</t>
  </si>
  <si>
    <t>2022-07-13</t>
  </si>
  <si>
    <t>A0666</t>
  </si>
  <si>
    <t>2022-02-17</t>
  </si>
  <si>
    <t>A0667</t>
  </si>
  <si>
    <t>A0668</t>
  </si>
  <si>
    <t>A0669</t>
  </si>
  <si>
    <t>A0670</t>
  </si>
  <si>
    <t>A0671</t>
  </si>
  <si>
    <t>2022-09-06</t>
  </si>
  <si>
    <t>A0672</t>
  </si>
  <si>
    <t>2024-08-25</t>
  </si>
  <si>
    <t>A0673</t>
  </si>
  <si>
    <t>2023-06-01</t>
  </si>
  <si>
    <t>A0674</t>
  </si>
  <si>
    <t>A0675</t>
  </si>
  <si>
    <t>A0676</t>
  </si>
  <si>
    <t>2023-03-20</t>
  </si>
  <si>
    <t>A0677</t>
  </si>
  <si>
    <t>2024-08-29</t>
  </si>
  <si>
    <t>2024-11-28</t>
  </si>
  <si>
    <t>A0678</t>
  </si>
  <si>
    <t>2024-11-24</t>
  </si>
  <si>
    <t>A0679</t>
  </si>
  <si>
    <t>A0680</t>
  </si>
  <si>
    <t>2023-06-03</t>
  </si>
  <si>
    <t>2023-08-13</t>
  </si>
  <si>
    <t>A0681</t>
  </si>
  <si>
    <t>A0682</t>
  </si>
  <si>
    <t>2022-05-23</t>
  </si>
  <si>
    <t>A0683</t>
  </si>
  <si>
    <t>2023-12-20</t>
  </si>
  <si>
    <t>A0684</t>
  </si>
  <si>
    <t>A0685</t>
  </si>
  <si>
    <t>A0686</t>
  </si>
  <si>
    <t>2024-04-09</t>
  </si>
  <si>
    <t>A0687</t>
  </si>
  <si>
    <t>A0688</t>
  </si>
  <si>
    <t>2022-09-11</t>
  </si>
  <si>
    <t>A0689</t>
  </si>
  <si>
    <t>A0690</t>
  </si>
  <si>
    <t>2023-09-08</t>
  </si>
  <si>
    <t>2024-02-08</t>
  </si>
  <si>
    <t>A0691</t>
  </si>
  <si>
    <t>2023-04-01</t>
  </si>
  <si>
    <t>A0692</t>
  </si>
  <si>
    <t>2022-11-22</t>
  </si>
  <si>
    <t>A0693</t>
  </si>
  <si>
    <t>2024-01-23</t>
  </si>
  <si>
    <t>A0694</t>
  </si>
  <si>
    <t>A0695</t>
  </si>
  <si>
    <t>2022-11-05</t>
  </si>
  <si>
    <t>A0696</t>
  </si>
  <si>
    <t>A0697</t>
  </si>
  <si>
    <t>A0698</t>
  </si>
  <si>
    <t>2024-08-09</t>
  </si>
  <si>
    <t>A0699</t>
  </si>
  <si>
    <t>A0700</t>
  </si>
  <si>
    <t>2023-10-14</t>
  </si>
  <si>
    <t>A0701</t>
  </si>
  <si>
    <t>2022-06-11</t>
  </si>
  <si>
    <t>A0702</t>
  </si>
  <si>
    <t>A0703</t>
  </si>
  <si>
    <t>A0704</t>
  </si>
  <si>
    <t>A0705</t>
  </si>
  <si>
    <t>2024-03-09</t>
  </si>
  <si>
    <t>2024-05-14</t>
  </si>
  <si>
    <t>A0706</t>
  </si>
  <si>
    <t>A0707</t>
  </si>
  <si>
    <t>2023-01-09</t>
  </si>
  <si>
    <t>A0708</t>
  </si>
  <si>
    <t>2023-10-13</t>
  </si>
  <si>
    <t>A0709</t>
  </si>
  <si>
    <t>A0710</t>
  </si>
  <si>
    <t>2023-07-09</t>
  </si>
  <si>
    <t>A0711</t>
  </si>
  <si>
    <t>A0712</t>
  </si>
  <si>
    <t>2022-01-15</t>
  </si>
  <si>
    <t>2022-01-24</t>
  </si>
  <si>
    <t>A0713</t>
  </si>
  <si>
    <t>A0714</t>
  </si>
  <si>
    <t>A0715</t>
  </si>
  <si>
    <t>2023-06-13</t>
  </si>
  <si>
    <t>2023-11-06</t>
  </si>
  <si>
    <t>A0716</t>
  </si>
  <si>
    <t>2024-12-22</t>
  </si>
  <si>
    <t>A0717</t>
  </si>
  <si>
    <t>A0718</t>
  </si>
  <si>
    <t>2022-12-26</t>
  </si>
  <si>
    <t>2023-04-29</t>
  </si>
  <si>
    <t>A0719</t>
  </si>
  <si>
    <t>2024-07-29</t>
  </si>
  <si>
    <t>A0720</t>
  </si>
  <si>
    <t>A0721</t>
  </si>
  <si>
    <t>2023-06-14</t>
  </si>
  <si>
    <t>A0722</t>
  </si>
  <si>
    <t>2023-03-17</t>
  </si>
  <si>
    <t>A0723</t>
  </si>
  <si>
    <t>A0724</t>
  </si>
  <si>
    <t>A0725</t>
  </si>
  <si>
    <t>A0726</t>
  </si>
  <si>
    <t>A0727</t>
  </si>
  <si>
    <t>A0728</t>
  </si>
  <si>
    <t>2023-08-27</t>
  </si>
  <si>
    <t>A0729</t>
  </si>
  <si>
    <t>A0730</t>
  </si>
  <si>
    <t>A0731</t>
  </si>
  <si>
    <t>A0732</t>
  </si>
  <si>
    <t>A0733</t>
  </si>
  <si>
    <t>A0734</t>
  </si>
  <si>
    <t>A0735</t>
  </si>
  <si>
    <t>A0736</t>
  </si>
  <si>
    <t>A0737</t>
  </si>
  <si>
    <t>A0738</t>
  </si>
  <si>
    <t>A0739</t>
  </si>
  <si>
    <t>2022-04-23</t>
  </si>
  <si>
    <t>A0740</t>
  </si>
  <si>
    <t>A0741</t>
  </si>
  <si>
    <t>A0742</t>
  </si>
  <si>
    <t>2023-12-05</t>
  </si>
  <si>
    <t>A0743</t>
  </si>
  <si>
    <t>2022-05-01</t>
  </si>
  <si>
    <t>A0744</t>
  </si>
  <si>
    <t>A0745</t>
  </si>
  <si>
    <t>2022-07-14</t>
  </si>
  <si>
    <t>2022-10-26</t>
  </si>
  <si>
    <t>A0746</t>
  </si>
  <si>
    <t>A0747</t>
  </si>
  <si>
    <t>A0748</t>
  </si>
  <si>
    <t>A0749</t>
  </si>
  <si>
    <t>2022-09-04</t>
  </si>
  <si>
    <t>A0750</t>
  </si>
  <si>
    <t>2022-02-04</t>
  </si>
  <si>
    <t>A0751</t>
  </si>
  <si>
    <t>2023-05-18</t>
  </si>
  <si>
    <t>A0752</t>
  </si>
  <si>
    <t>A0753</t>
  </si>
  <si>
    <t>2023-02-01</t>
  </si>
  <si>
    <t>2023-04-06</t>
  </si>
  <si>
    <t>A0754</t>
  </si>
  <si>
    <t>A0755</t>
  </si>
  <si>
    <t>A0756</t>
  </si>
  <si>
    <t>A0757</t>
  </si>
  <si>
    <t>2023-07-26</t>
  </si>
  <si>
    <t>A0758</t>
  </si>
  <si>
    <t>2024-05-13</t>
  </si>
  <si>
    <t>A0759</t>
  </si>
  <si>
    <t>A0760</t>
  </si>
  <si>
    <t>2022-12-19</t>
  </si>
  <si>
    <t>A0761</t>
  </si>
  <si>
    <t>A0762</t>
  </si>
  <si>
    <t>A0763</t>
  </si>
  <si>
    <t>A0764</t>
  </si>
  <si>
    <t>A0765</t>
  </si>
  <si>
    <t>2024-03-24</t>
  </si>
  <si>
    <t>A0766</t>
  </si>
  <si>
    <t>A0767</t>
  </si>
  <si>
    <t>2022-05-13</t>
  </si>
  <si>
    <t>A0768</t>
  </si>
  <si>
    <t>A0769</t>
  </si>
  <si>
    <t>2024-06-03</t>
  </si>
  <si>
    <t>A0770</t>
  </si>
  <si>
    <t>2024-06-17</t>
  </si>
  <si>
    <t>A0771</t>
  </si>
  <si>
    <t>2024-04-02</t>
  </si>
  <si>
    <t>A0772</t>
  </si>
  <si>
    <t>A0773</t>
  </si>
  <si>
    <t>2022-12-29</t>
  </si>
  <si>
    <t>A0774</t>
  </si>
  <si>
    <t>2023-07-05</t>
  </si>
  <si>
    <t>A0775</t>
  </si>
  <si>
    <t>2024-04-07</t>
  </si>
  <si>
    <t>A0776</t>
  </si>
  <si>
    <t>A0777</t>
  </si>
  <si>
    <t>A0778</t>
  </si>
  <si>
    <t>2022-04-07</t>
  </si>
  <si>
    <t>A0779</t>
  </si>
  <si>
    <t>2023-10-18</t>
  </si>
  <si>
    <t>A0780</t>
  </si>
  <si>
    <t>A0781</t>
  </si>
  <si>
    <t>A0782</t>
  </si>
  <si>
    <t>A0783</t>
  </si>
  <si>
    <t>2024-10-16</t>
  </si>
  <si>
    <t>A0784</t>
  </si>
  <si>
    <t>2024-12-16</t>
  </si>
  <si>
    <t>A0785</t>
  </si>
  <si>
    <t>A0786</t>
  </si>
  <si>
    <t>2022-04-27</t>
  </si>
  <si>
    <t>A0787</t>
  </si>
  <si>
    <t>A0788</t>
  </si>
  <si>
    <t>A0789</t>
  </si>
  <si>
    <t>2024-04-20</t>
  </si>
  <si>
    <t>2024-09-06</t>
  </si>
  <si>
    <t>A0790</t>
  </si>
  <si>
    <t>A0791</t>
  </si>
  <si>
    <t>A0792</t>
  </si>
  <si>
    <t>A0793</t>
  </si>
  <si>
    <t>A0794</t>
  </si>
  <si>
    <t>A0795</t>
  </si>
  <si>
    <t>A0796</t>
  </si>
  <si>
    <t>2024-02-15</t>
  </si>
  <si>
    <t>A0797</t>
  </si>
  <si>
    <t>2023-07-22</t>
  </si>
  <si>
    <t>A0798</t>
  </si>
  <si>
    <t>2022-03-24</t>
  </si>
  <si>
    <t>A0799</t>
  </si>
  <si>
    <t>2024-05-04</t>
  </si>
  <si>
    <t>A0800</t>
  </si>
  <si>
    <t>A0801</t>
  </si>
  <si>
    <t>2022-06-04</t>
  </si>
  <si>
    <t>A0802</t>
  </si>
  <si>
    <t>2022-07-07</t>
  </si>
  <si>
    <t>A0803</t>
  </si>
  <si>
    <t>A0804</t>
  </si>
  <si>
    <t>A0805</t>
  </si>
  <si>
    <t>A0806</t>
  </si>
  <si>
    <t>A0807</t>
  </si>
  <si>
    <t>A0808</t>
  </si>
  <si>
    <t>A0809</t>
  </si>
  <si>
    <t>2024-06-05</t>
  </si>
  <si>
    <t>A0810</t>
  </si>
  <si>
    <t>A0811</t>
  </si>
  <si>
    <t>2024-07-04</t>
  </si>
  <si>
    <t>A0812</t>
  </si>
  <si>
    <t>2024-04-01</t>
  </si>
  <si>
    <t>A0813</t>
  </si>
  <si>
    <t>A0814</t>
  </si>
  <si>
    <t>A0815</t>
  </si>
  <si>
    <t>A0816</t>
  </si>
  <si>
    <t>A0817</t>
  </si>
  <si>
    <t>A0818</t>
  </si>
  <si>
    <t>A0819</t>
  </si>
  <si>
    <t>A0820</t>
  </si>
  <si>
    <t>2024-09-18</t>
  </si>
  <si>
    <t>A0821</t>
  </si>
  <si>
    <t>A0822</t>
  </si>
  <si>
    <t>A0823</t>
  </si>
  <si>
    <t>2024-07-01</t>
  </si>
  <si>
    <t>A0824</t>
  </si>
  <si>
    <t>A0825</t>
  </si>
  <si>
    <t>A0826</t>
  </si>
  <si>
    <t>2024-10-06</t>
  </si>
  <si>
    <t>A0827</t>
  </si>
  <si>
    <t>A0828</t>
  </si>
  <si>
    <t>2022-03-03</t>
  </si>
  <si>
    <t>2022-03-13</t>
  </si>
  <si>
    <t>A0829</t>
  </si>
  <si>
    <t>A0830</t>
  </si>
  <si>
    <t>A0831</t>
  </si>
  <si>
    <t>A0832</t>
  </si>
  <si>
    <t>2023-04-19</t>
  </si>
  <si>
    <t>A0833</t>
  </si>
  <si>
    <t>2022-08-28</t>
  </si>
  <si>
    <t>A0834</t>
  </si>
  <si>
    <t>2022-01-02</t>
  </si>
  <si>
    <t>A0835</t>
  </si>
  <si>
    <t>2023-04-18</t>
  </si>
  <si>
    <t>A0836</t>
  </si>
  <si>
    <t>A0837</t>
  </si>
  <si>
    <t>2022-03-21</t>
  </si>
  <si>
    <t>A0838</t>
  </si>
  <si>
    <t>A0839</t>
  </si>
  <si>
    <t>A0840</t>
  </si>
  <si>
    <t>A0841</t>
  </si>
  <si>
    <t>A0842</t>
  </si>
  <si>
    <t>2022-06-28</t>
  </si>
  <si>
    <t>A0843</t>
  </si>
  <si>
    <t>A0844</t>
  </si>
  <si>
    <t>2023-11-26</t>
  </si>
  <si>
    <t>A0845</t>
  </si>
  <si>
    <t>2024-12-18</t>
  </si>
  <si>
    <t>A0846</t>
  </si>
  <si>
    <t>2024-05-16</t>
  </si>
  <si>
    <t>A0847</t>
  </si>
  <si>
    <t>A0848</t>
  </si>
  <si>
    <t>A0849</t>
  </si>
  <si>
    <t>A0850</t>
  </si>
  <si>
    <t>2023-10-20</t>
  </si>
  <si>
    <t>2023-12-12</t>
  </si>
  <si>
    <t>A0851</t>
  </si>
  <si>
    <t>A0852</t>
  </si>
  <si>
    <t>A0853</t>
  </si>
  <si>
    <t>A0854</t>
  </si>
  <si>
    <t>A0855</t>
  </si>
  <si>
    <t>A0856</t>
  </si>
  <si>
    <t>2023-05-17</t>
  </si>
  <si>
    <t>A0857</t>
  </si>
  <si>
    <t>A0858</t>
  </si>
  <si>
    <t>A0859</t>
  </si>
  <si>
    <t>A0860</t>
  </si>
  <si>
    <t>A0861</t>
  </si>
  <si>
    <t>A0862</t>
  </si>
  <si>
    <t>A0863</t>
  </si>
  <si>
    <t>A0864</t>
  </si>
  <si>
    <t>A0865</t>
  </si>
  <si>
    <t>A0866</t>
  </si>
  <si>
    <t>A0867</t>
  </si>
  <si>
    <t>2024-08-13</t>
  </si>
  <si>
    <t>A0868</t>
  </si>
  <si>
    <t>A0869</t>
  </si>
  <si>
    <t>2023-03-19</t>
  </si>
  <si>
    <t>A0870</t>
  </si>
  <si>
    <t>2022-04-15</t>
  </si>
  <si>
    <t>A0871</t>
  </si>
  <si>
    <t>A0872</t>
  </si>
  <si>
    <t>2022-03-18</t>
  </si>
  <si>
    <t>A0873</t>
  </si>
  <si>
    <t>2024-03-14</t>
  </si>
  <si>
    <t>A0874</t>
  </si>
  <si>
    <t>A0875</t>
  </si>
  <si>
    <t>A0876</t>
  </si>
  <si>
    <t>A0877</t>
  </si>
  <si>
    <t>A0878</t>
  </si>
  <si>
    <t>A0879</t>
  </si>
  <si>
    <t>A0880</t>
  </si>
  <si>
    <t>A0881</t>
  </si>
  <si>
    <t>A0882</t>
  </si>
  <si>
    <t>A0883</t>
  </si>
  <si>
    <t>A0884</t>
  </si>
  <si>
    <t>A0885</t>
  </si>
  <si>
    <t>2022-08-03</t>
  </si>
  <si>
    <t>A0886</t>
  </si>
  <si>
    <t>A0887</t>
  </si>
  <si>
    <t>A0888</t>
  </si>
  <si>
    <t>A0889</t>
  </si>
  <si>
    <t>2023-11-04</t>
  </si>
  <si>
    <t>A0890</t>
  </si>
  <si>
    <t>A0891</t>
  </si>
  <si>
    <t>2022-08-21</t>
  </si>
  <si>
    <t>A0892</t>
  </si>
  <si>
    <t>A0893</t>
  </si>
  <si>
    <t>A0894</t>
  </si>
  <si>
    <t>A0895</t>
  </si>
  <si>
    <t>A0896</t>
  </si>
  <si>
    <t>A0897</t>
  </si>
  <si>
    <t>2023-12-21</t>
  </si>
  <si>
    <t>A0898</t>
  </si>
  <si>
    <t>2023-07-21</t>
  </si>
  <si>
    <t>A0899</t>
  </si>
  <si>
    <t>2022-12-11</t>
  </si>
  <si>
    <t>A0900</t>
  </si>
  <si>
    <t>2023-03-24</t>
  </si>
  <si>
    <t>A0901</t>
  </si>
  <si>
    <t>A0902</t>
  </si>
  <si>
    <t>A0903</t>
  </si>
  <si>
    <t>A0904</t>
  </si>
  <si>
    <t>2024-01-26</t>
  </si>
  <si>
    <t>A0905</t>
  </si>
  <si>
    <t>A0906</t>
  </si>
  <si>
    <t>A0907</t>
  </si>
  <si>
    <t>2024-02-27</t>
  </si>
  <si>
    <t>A0908</t>
  </si>
  <si>
    <t>A0909</t>
  </si>
  <si>
    <t>2023-07-11</t>
  </si>
  <si>
    <t>A0910</t>
  </si>
  <si>
    <t>A0911</t>
  </si>
  <si>
    <t>A0912</t>
  </si>
  <si>
    <t>2023-11-29</t>
  </si>
  <si>
    <t>A0913</t>
  </si>
  <si>
    <t>2022-07-01</t>
  </si>
  <si>
    <t>A0914</t>
  </si>
  <si>
    <t>2022-11-18</t>
  </si>
  <si>
    <t>A0915</t>
  </si>
  <si>
    <t>A0916</t>
  </si>
  <si>
    <t>2023-04-15</t>
  </si>
  <si>
    <t>A0917</t>
  </si>
  <si>
    <t>2023-06-17</t>
  </si>
  <si>
    <t>A0918</t>
  </si>
  <si>
    <t>A0919</t>
  </si>
  <si>
    <t>2022-10-06</t>
  </si>
  <si>
    <t>A0920</t>
  </si>
  <si>
    <t>A0921</t>
  </si>
  <si>
    <t>2022-04-28</t>
  </si>
  <si>
    <t>A0922</t>
  </si>
  <si>
    <t>A0923</t>
  </si>
  <si>
    <t>2023-08-24</t>
  </si>
  <si>
    <t>A0924</t>
  </si>
  <si>
    <t>A0925</t>
  </si>
  <si>
    <t>2023-03-02</t>
  </si>
  <si>
    <t>A0926</t>
  </si>
  <si>
    <t>A0927</t>
  </si>
  <si>
    <t>A0928</t>
  </si>
  <si>
    <t>A0929</t>
  </si>
  <si>
    <t>2023-01-18</t>
  </si>
  <si>
    <t>A0930</t>
  </si>
  <si>
    <t>2024-10-22</t>
  </si>
  <si>
    <t>A0931</t>
  </si>
  <si>
    <t>2024-12-13</t>
  </si>
  <si>
    <t>A0932</t>
  </si>
  <si>
    <t>2022-04-09</t>
  </si>
  <si>
    <t>A0933</t>
  </si>
  <si>
    <t>A0934</t>
  </si>
  <si>
    <t>A0935</t>
  </si>
  <si>
    <t>2024-01-14</t>
  </si>
  <si>
    <t>A0936</t>
  </si>
  <si>
    <t>2023-01-26</t>
  </si>
  <si>
    <t>A0937</t>
  </si>
  <si>
    <t>2022-02-13</t>
  </si>
  <si>
    <t>A0938</t>
  </si>
  <si>
    <t>A0939</t>
  </si>
  <si>
    <t>2023-05-29</t>
  </si>
  <si>
    <t>A0940</t>
  </si>
  <si>
    <t>A0941</t>
  </si>
  <si>
    <t>A0942</t>
  </si>
  <si>
    <t>A0943</t>
  </si>
  <si>
    <t>A0944</t>
  </si>
  <si>
    <t>A0945</t>
  </si>
  <si>
    <t>A0946</t>
  </si>
  <si>
    <t>2022-04-19</t>
  </si>
  <si>
    <t>A0947</t>
  </si>
  <si>
    <t>A0948</t>
  </si>
  <si>
    <t>A0949</t>
  </si>
  <si>
    <t>A0950</t>
  </si>
  <si>
    <t>A0951</t>
  </si>
  <si>
    <t>A0952</t>
  </si>
  <si>
    <t>A0953</t>
  </si>
  <si>
    <t>A0954</t>
  </si>
  <si>
    <t>A0955</t>
  </si>
  <si>
    <t>A0956</t>
  </si>
  <si>
    <t>A0957</t>
  </si>
  <si>
    <t>A0958</t>
  </si>
  <si>
    <t>A0959</t>
  </si>
  <si>
    <t>A0960</t>
  </si>
  <si>
    <t>2023-12-17</t>
  </si>
  <si>
    <t>A0961</t>
  </si>
  <si>
    <t>A0962</t>
  </si>
  <si>
    <t>2022-03-11</t>
  </si>
  <si>
    <t>2022-08-13</t>
  </si>
  <si>
    <t>A0963</t>
  </si>
  <si>
    <t>A0964</t>
  </si>
  <si>
    <t>2023-10-23</t>
  </si>
  <si>
    <t>A0965</t>
  </si>
  <si>
    <t>A0966</t>
  </si>
  <si>
    <t>A0967</t>
  </si>
  <si>
    <t>2023-05-30</t>
  </si>
  <si>
    <t>A0968</t>
  </si>
  <si>
    <t>A0969</t>
  </si>
  <si>
    <t>A0970</t>
  </si>
  <si>
    <t>A0971</t>
  </si>
  <si>
    <t>A0972</t>
  </si>
  <si>
    <t>A0973</t>
  </si>
  <si>
    <t>A0974</t>
  </si>
  <si>
    <t>2022-05-04</t>
  </si>
  <si>
    <t>A0975</t>
  </si>
  <si>
    <t>A0976</t>
  </si>
  <si>
    <t>A0977</t>
  </si>
  <si>
    <t>A0978</t>
  </si>
  <si>
    <t>A0979</t>
  </si>
  <si>
    <t>2024-06-04</t>
  </si>
  <si>
    <t>A0980</t>
  </si>
  <si>
    <t>A0981</t>
  </si>
  <si>
    <t>2024-12-05</t>
  </si>
  <si>
    <t>A0982</t>
  </si>
  <si>
    <t>A0983</t>
  </si>
  <si>
    <t>A0984</t>
  </si>
  <si>
    <t>2022-11-13</t>
  </si>
  <si>
    <t>A0985</t>
  </si>
  <si>
    <t>A0986</t>
  </si>
  <si>
    <t>A0987</t>
  </si>
  <si>
    <t>A0988</t>
  </si>
  <si>
    <t>2023-03-07</t>
  </si>
  <si>
    <t>A0989</t>
  </si>
  <si>
    <t>A0990</t>
  </si>
  <si>
    <t>2022-02-16</t>
  </si>
  <si>
    <t>A0991</t>
  </si>
  <si>
    <t>2023-08-30</t>
  </si>
  <si>
    <t>A0992</t>
  </si>
  <si>
    <t>A0993</t>
  </si>
  <si>
    <t>A0994</t>
  </si>
  <si>
    <t>A0995</t>
  </si>
  <si>
    <t>A0996</t>
  </si>
  <si>
    <t>A0997</t>
  </si>
  <si>
    <t>2024-09-13</t>
  </si>
  <si>
    <t>A0998</t>
  </si>
  <si>
    <t>2022-02-15</t>
  </si>
  <si>
    <t>A0999</t>
  </si>
  <si>
    <t>A1000</t>
  </si>
  <si>
    <t>A1001</t>
  </si>
  <si>
    <t>2022-02-24</t>
  </si>
  <si>
    <t>A1002</t>
  </si>
  <si>
    <t>A1003</t>
  </si>
  <si>
    <t>A1004</t>
  </si>
  <si>
    <t>A1005</t>
  </si>
  <si>
    <t>A1006</t>
  </si>
  <si>
    <t>2024-08-16</t>
  </si>
  <si>
    <t>A1007</t>
  </si>
  <si>
    <t>A1008</t>
  </si>
  <si>
    <t>A1009</t>
  </si>
  <si>
    <t>A1010</t>
  </si>
  <si>
    <t>2023-08-16</t>
  </si>
  <si>
    <t>2024-01-13</t>
  </si>
  <si>
    <t>A1011</t>
  </si>
  <si>
    <t>A1012</t>
  </si>
  <si>
    <t>2024-11-14</t>
  </si>
  <si>
    <t>A1013</t>
  </si>
  <si>
    <t>A1014</t>
  </si>
  <si>
    <t>A1015</t>
  </si>
  <si>
    <t>A1016</t>
  </si>
  <si>
    <t>A1017</t>
  </si>
  <si>
    <t>A1018</t>
  </si>
  <si>
    <t>A1019</t>
  </si>
  <si>
    <t>A1020</t>
  </si>
  <si>
    <t>2024-04-14</t>
  </si>
  <si>
    <t>A1021</t>
  </si>
  <si>
    <t>2022-10-24</t>
  </si>
  <si>
    <t>A1022</t>
  </si>
  <si>
    <t>A1023</t>
  </si>
  <si>
    <t>A1024</t>
  </si>
  <si>
    <t>2024-07-15</t>
  </si>
  <si>
    <t>A1025</t>
  </si>
  <si>
    <t>2022-04-30</t>
  </si>
  <si>
    <t>2022-10-23</t>
  </si>
  <si>
    <t>A1026</t>
  </si>
  <si>
    <t>A1027</t>
  </si>
  <si>
    <t>2022-02-20</t>
  </si>
  <si>
    <t>A1028</t>
  </si>
  <si>
    <t>A1029</t>
  </si>
  <si>
    <t>A1030</t>
  </si>
  <si>
    <t>2023-11-21</t>
  </si>
  <si>
    <t>A1031</t>
  </si>
  <si>
    <t>A1032</t>
  </si>
  <si>
    <t>A1033</t>
  </si>
  <si>
    <t>A1034</t>
  </si>
  <si>
    <t>A1035</t>
  </si>
  <si>
    <t>2022-12-12</t>
  </si>
  <si>
    <t>A1036</t>
  </si>
  <si>
    <t>A1037</t>
  </si>
  <si>
    <t>A1038</t>
  </si>
  <si>
    <t>2023-12-26</t>
  </si>
  <si>
    <t>A1039</t>
  </si>
  <si>
    <t>A1040</t>
  </si>
  <si>
    <t>A1041</t>
  </si>
  <si>
    <t>2022-02-01</t>
  </si>
  <si>
    <t>A1042</t>
  </si>
  <si>
    <t>A1043</t>
  </si>
  <si>
    <t>A1044</t>
  </si>
  <si>
    <t>A1045</t>
  </si>
  <si>
    <t>A1046</t>
  </si>
  <si>
    <t>2023-09-16</t>
  </si>
  <si>
    <t>A1047</t>
  </si>
  <si>
    <t>A1048</t>
  </si>
  <si>
    <t>A1049</t>
  </si>
  <si>
    <t>2022-04-29</t>
  </si>
  <si>
    <t>A1050</t>
  </si>
  <si>
    <t>A1051</t>
  </si>
  <si>
    <t>A1052</t>
  </si>
  <si>
    <t>A1053</t>
  </si>
  <si>
    <t>A1054</t>
  </si>
  <si>
    <t>A1055</t>
  </si>
  <si>
    <t>A1056</t>
  </si>
  <si>
    <t>2022-12-17</t>
  </si>
  <si>
    <t>A1057</t>
  </si>
  <si>
    <t>A1058</t>
  </si>
  <si>
    <t>2022-01-03</t>
  </si>
  <si>
    <t>2022-06-09</t>
  </si>
  <si>
    <t>A1059</t>
  </si>
  <si>
    <t>2022-03-09</t>
  </si>
  <si>
    <t>2022-07-06</t>
  </si>
  <si>
    <t>A1060</t>
  </si>
  <si>
    <t>A1061</t>
  </si>
  <si>
    <t>A1062</t>
  </si>
  <si>
    <t>2024-05-11</t>
  </si>
  <si>
    <t>A1063</t>
  </si>
  <si>
    <t>A1064</t>
  </si>
  <si>
    <t>A1065</t>
  </si>
  <si>
    <t>2022-02-26</t>
  </si>
  <si>
    <t>A1066</t>
  </si>
  <si>
    <t>A1067</t>
  </si>
  <si>
    <t>A1068</t>
  </si>
  <si>
    <t>2023-08-14</t>
  </si>
  <si>
    <t>A1069</t>
  </si>
  <si>
    <t>A1070</t>
  </si>
  <si>
    <t>A1071</t>
  </si>
  <si>
    <t>2024-07-30</t>
  </si>
  <si>
    <t>A1072</t>
  </si>
  <si>
    <t>A1073</t>
  </si>
  <si>
    <t>2022-01-06</t>
  </si>
  <si>
    <t>A1074</t>
  </si>
  <si>
    <t>A1075</t>
  </si>
  <si>
    <t>2022-02-10</t>
  </si>
  <si>
    <t>A1076</t>
  </si>
  <si>
    <t>A1077</t>
  </si>
  <si>
    <t>A1078</t>
  </si>
  <si>
    <t>A1079</t>
  </si>
  <si>
    <t>A1080</t>
  </si>
  <si>
    <t>A1081</t>
  </si>
  <si>
    <t>A1082</t>
  </si>
  <si>
    <t>A1083</t>
  </si>
  <si>
    <t>2023-08-05</t>
  </si>
  <si>
    <t>A1084</t>
  </si>
  <si>
    <t>A1085</t>
  </si>
  <si>
    <t>A1086</t>
  </si>
  <si>
    <t>2024-02-14</t>
  </si>
  <si>
    <t>A1087</t>
  </si>
  <si>
    <t>A1088</t>
  </si>
  <si>
    <t>A1089</t>
  </si>
  <si>
    <t>2023-03-21</t>
  </si>
  <si>
    <t>A1090</t>
  </si>
  <si>
    <t>A1091</t>
  </si>
  <si>
    <t>A1092</t>
  </si>
  <si>
    <t>A1093</t>
  </si>
  <si>
    <t>A1094</t>
  </si>
  <si>
    <t>2024-08-02</t>
  </si>
  <si>
    <t>A1095</t>
  </si>
  <si>
    <t>2023-09-20</t>
  </si>
  <si>
    <t>A1096</t>
  </si>
  <si>
    <t>A1097</t>
  </si>
  <si>
    <t>A1098</t>
  </si>
  <si>
    <t>A1099</t>
  </si>
  <si>
    <t>A1100</t>
  </si>
  <si>
    <t>A1101</t>
  </si>
  <si>
    <t>A1102</t>
  </si>
  <si>
    <t>A1103</t>
  </si>
  <si>
    <t>A1104</t>
  </si>
  <si>
    <t>2023-03-31</t>
  </si>
  <si>
    <t>A1105</t>
  </si>
  <si>
    <t>A1106</t>
  </si>
  <si>
    <t>A1107</t>
  </si>
  <si>
    <t>A1108</t>
  </si>
  <si>
    <t>2023-03-09</t>
  </si>
  <si>
    <t>A1109</t>
  </si>
  <si>
    <t>A1110</t>
  </si>
  <si>
    <t>A1111</t>
  </si>
  <si>
    <t>A1112</t>
  </si>
  <si>
    <t>A1113</t>
  </si>
  <si>
    <t>2022-07-03</t>
  </si>
  <si>
    <t>2022-08-11</t>
  </si>
  <si>
    <t>A1114</t>
  </si>
  <si>
    <t>A1115</t>
  </si>
  <si>
    <t>A1116</t>
  </si>
  <si>
    <t>2022-04-04</t>
  </si>
  <si>
    <t>A1117</t>
  </si>
  <si>
    <t>A1118</t>
  </si>
  <si>
    <t>A1119</t>
  </si>
  <si>
    <t>A1120</t>
  </si>
  <si>
    <t>A1121</t>
  </si>
  <si>
    <t>A1122</t>
  </si>
  <si>
    <t>2023-10-19</t>
  </si>
  <si>
    <t>A1123</t>
  </si>
  <si>
    <t>A1124</t>
  </si>
  <si>
    <t>A1125</t>
  </si>
  <si>
    <t>A1126</t>
  </si>
  <si>
    <t>A1127</t>
  </si>
  <si>
    <t>A1128</t>
  </si>
  <si>
    <t>2023-10-17</t>
  </si>
  <si>
    <t>A1129</t>
  </si>
  <si>
    <t>A1130</t>
  </si>
  <si>
    <t>2022-04-13</t>
  </si>
  <si>
    <t>A1131</t>
  </si>
  <si>
    <t>A1132</t>
  </si>
  <si>
    <t>A1133</t>
  </si>
  <si>
    <t>A1134</t>
  </si>
  <si>
    <t>A1135</t>
  </si>
  <si>
    <t>2022-09-29</t>
  </si>
  <si>
    <t>2022-12-13</t>
  </si>
  <si>
    <t>A1136</t>
  </si>
  <si>
    <t>2023-06-25</t>
  </si>
  <si>
    <t>A1137</t>
  </si>
  <si>
    <t>A1138</t>
  </si>
  <si>
    <t>A1139</t>
  </si>
  <si>
    <t>A1140</t>
  </si>
  <si>
    <t>A1141</t>
  </si>
  <si>
    <t>A1142</t>
  </si>
  <si>
    <t>A1143</t>
  </si>
  <si>
    <t>2024-12-19</t>
  </si>
  <si>
    <t>A1144</t>
  </si>
  <si>
    <t>A1145</t>
  </si>
  <si>
    <t>A1146</t>
  </si>
  <si>
    <t>2024-06-02</t>
  </si>
  <si>
    <t>A1147</t>
  </si>
  <si>
    <t>A1148</t>
  </si>
  <si>
    <t>A1149</t>
  </si>
  <si>
    <t>A1150</t>
  </si>
  <si>
    <t>A1151</t>
  </si>
  <si>
    <t>A1152</t>
  </si>
  <si>
    <t>A1153</t>
  </si>
  <si>
    <t>A1154</t>
  </si>
  <si>
    <t>A1155</t>
  </si>
  <si>
    <t>A1156</t>
  </si>
  <si>
    <t>A1157</t>
  </si>
  <si>
    <t>A1158</t>
  </si>
  <si>
    <t>A1159</t>
  </si>
  <si>
    <t>2024-03-28</t>
  </si>
  <si>
    <t>A1160</t>
  </si>
  <si>
    <t>A1161</t>
  </si>
  <si>
    <t>A1162</t>
  </si>
  <si>
    <t>2022-08-19</t>
  </si>
  <si>
    <t>A1163</t>
  </si>
  <si>
    <t>A1164</t>
  </si>
  <si>
    <t>A1165</t>
  </si>
  <si>
    <t>A1166</t>
  </si>
  <si>
    <t>A1167</t>
  </si>
  <si>
    <t>A1168</t>
  </si>
  <si>
    <t>A1169</t>
  </si>
  <si>
    <t>A1170</t>
  </si>
  <si>
    <t>A1171</t>
  </si>
  <si>
    <t>2023-04-02</t>
  </si>
  <si>
    <t>A1172</t>
  </si>
  <si>
    <t>A1173</t>
  </si>
  <si>
    <t>2023-05-20</t>
  </si>
  <si>
    <t>2023-10-26</t>
  </si>
  <si>
    <t>A1174</t>
  </si>
  <si>
    <t>A1175</t>
  </si>
  <si>
    <t>A1176</t>
  </si>
  <si>
    <t>2023-02-13</t>
  </si>
  <si>
    <t>A1177</t>
  </si>
  <si>
    <t>2024-05-12</t>
  </si>
  <si>
    <t>A1178</t>
  </si>
  <si>
    <t>A1179</t>
  </si>
  <si>
    <t>A1180</t>
  </si>
  <si>
    <t>2022-05-14</t>
  </si>
  <si>
    <t>A1181</t>
  </si>
  <si>
    <t>A1182</t>
  </si>
  <si>
    <t>A1183</t>
  </si>
  <si>
    <t>A1184</t>
  </si>
  <si>
    <t>A1185</t>
  </si>
  <si>
    <t>A1186</t>
  </si>
  <si>
    <t>2022-11-26</t>
  </si>
  <si>
    <t>A1187</t>
  </si>
  <si>
    <t>A1188</t>
  </si>
  <si>
    <t>A1189</t>
  </si>
  <si>
    <t>2023-09-06</t>
  </si>
  <si>
    <t>A1190</t>
  </si>
  <si>
    <t>A1191</t>
  </si>
  <si>
    <t>A1192</t>
  </si>
  <si>
    <t>A1193</t>
  </si>
  <si>
    <t>A1194</t>
  </si>
  <si>
    <t>A1195</t>
  </si>
  <si>
    <t>2023-03-04</t>
  </si>
  <si>
    <t>A1196</t>
  </si>
  <si>
    <t>A1197</t>
  </si>
  <si>
    <t>A1198</t>
  </si>
  <si>
    <t>A1199</t>
  </si>
  <si>
    <t>A1200</t>
  </si>
  <si>
    <t xml:space="preserve">N/A
</t>
  </si>
  <si>
    <t>Enter the animal id</t>
  </si>
  <si>
    <t>Health status</t>
  </si>
  <si>
    <t>Status</t>
  </si>
  <si>
    <t>Age</t>
  </si>
  <si>
    <t>Use of XLOOKUP and VLOOKUP and Other Functions</t>
  </si>
  <si>
    <t>Total Adopted pets</t>
  </si>
  <si>
    <t>Total Adoption money</t>
  </si>
  <si>
    <t>Total Healthy Pets</t>
  </si>
  <si>
    <t>Total Donation money</t>
  </si>
  <si>
    <t>Total Pets returned to Owners</t>
  </si>
  <si>
    <t>Total Pets Adopted in Lahore</t>
  </si>
  <si>
    <t>Total Pets Adopted by Couples</t>
  </si>
  <si>
    <t>\\countif</t>
  </si>
  <si>
    <t>\\sum</t>
  </si>
  <si>
    <t>\\countifs</t>
  </si>
  <si>
    <t>FUNCTIONS</t>
  </si>
  <si>
    <t>Row Labels</t>
  </si>
  <si>
    <t>Grand Total</t>
  </si>
  <si>
    <t>Count of Breed</t>
  </si>
  <si>
    <t>Sum of Donation_Amount_PKR</t>
  </si>
  <si>
    <t>Count of Shelter_Name</t>
  </si>
  <si>
    <t>Count of Adopter_Type</t>
  </si>
  <si>
    <t>Count of Payment_Method</t>
  </si>
  <si>
    <t>Count of Health_Status</t>
  </si>
  <si>
    <t>Sum of Adoption_Fee_PKR</t>
  </si>
  <si>
    <t>PETS SHELTER PERFORMANCE ANALYSIS DASHBOARD</t>
  </si>
  <si>
    <t>SUMMARY</t>
  </si>
  <si>
    <t xml:space="preserve"> Amounts</t>
  </si>
  <si>
    <t>💰 TOTAL ADOPTION MONEY</t>
  </si>
  <si>
    <t>📈 TOTAL HEALTHY PETS</t>
  </si>
  <si>
    <t>💰 TOTAL DONATION MONEY</t>
  </si>
  <si>
    <t>📈  TOTAL ADOPTED PETS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</si>
</sst>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charset val="1"/>
    </font>
    <font>
      <b/>
      <sz val="20"/>
      <color theme="1"/>
      <name val="Calibri"/>
      <family val="2"/>
    </font>
    <font>
      <b/>
      <sz val="12"/>
      <color theme="1"/>
      <name val="Calibri"/>
      <family val="2"/>
    </font>
    <font>
      <sz val="8"/>
      <name val="Calibri"/>
      <family val="2"/>
      <charset val="1"/>
    </font>
    <font>
      <b/>
      <sz val="11"/>
      <color theme="1"/>
      <name val="Calibri"/>
      <family val="2"/>
    </font>
    <font>
      <b/>
      <sz val="14"/>
      <color theme="1"/>
      <name val="Calibri"/>
      <family val="2"/>
    </font>
    <font>
      <u/>
      <sz val="11"/>
      <color theme="10"/>
      <name val="Calibri"/>
      <family val="2"/>
      <charset val="1"/>
    </font>
    <font>
      <b/>
      <sz val="11"/>
      <color rgb="FFF8F8F8"/>
      <name val="Calibri"/>
      <family val="2"/>
    </font>
    <font>
      <b/>
      <sz val="12"/>
      <color theme="0"/>
      <name val="Calibri"/>
      <family val="2"/>
    </font>
    <font>
      <b/>
      <sz val="14"/>
      <color theme="0"/>
      <name val="Calibri"/>
      <family val="2"/>
    </font>
    <font>
      <b/>
      <sz val="20"/>
      <color rgb="FFF8F8F8"/>
      <name val="Calibri"/>
      <family val="2"/>
    </font>
    <font>
      <b/>
      <sz val="9"/>
      <color rgb="FFFFFFFF"/>
      <name val="Arial"/>
      <family val="2"/>
    </font>
    <font>
      <b/>
      <sz val="16"/>
      <color rgb="FFFFFFFF"/>
      <name val="Arial"/>
      <family val="2"/>
    </font>
    <font>
      <i/>
      <sz val="8"/>
      <color rgb="FFFFFFFF"/>
      <name val="Arial"/>
      <family val="2"/>
    </font>
    <font>
      <b/>
      <sz val="48"/>
      <color theme="0"/>
      <name val="Calibri"/>
      <family val="2"/>
    </font>
  </fonts>
  <fills count="9">
    <fill>
      <patternFill patternType="none"/>
    </fill>
    <fill>
      <patternFill patternType="gray125"/>
    </fill>
    <fill>
      <patternFill patternType="solid">
        <fgColor theme="3" tint="0.59999389629810485"/>
        <bgColor indexed="64"/>
      </patternFill>
    </fill>
    <fill>
      <patternFill patternType="solid">
        <fgColor theme="0"/>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3" tint="0.39997558519241921"/>
        <bgColor indexed="64"/>
      </patternFill>
    </fill>
    <fill>
      <patternFill patternType="solid">
        <fgColor theme="3" tint="0.39997558519241921"/>
        <bgColor rgb="FF9BBB59"/>
      </patternFill>
    </fill>
    <fill>
      <patternFill patternType="solid">
        <fgColor theme="3" tint="0.39997558519241921"/>
        <bgColor rgb="FF4A7EBB"/>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6" fillId="0" borderId="0" applyNumberFormat="0" applyFill="0" applyBorder="0" applyAlignment="0" applyProtection="0"/>
  </cellStyleXfs>
  <cellXfs count="42">
    <xf numFmtId="0" fontId="0" fillId="0" borderId="0" xfId="0"/>
    <xf numFmtId="0" fontId="0" fillId="2" borderId="0" xfId="0" applyFill="1"/>
    <xf numFmtId="0" fontId="1" fillId="3" borderId="0" xfId="0" applyFont="1" applyFill="1"/>
    <xf numFmtId="0" fontId="2" fillId="0" borderId="0" xfId="0" applyFont="1"/>
    <xf numFmtId="0" fontId="5" fillId="0" borderId="0" xfId="0" applyFont="1"/>
    <xf numFmtId="0" fontId="6" fillId="0" borderId="0" xfId="1"/>
    <xf numFmtId="0" fontId="0" fillId="3" borderId="0" xfId="0" applyFill="1"/>
    <xf numFmtId="0" fontId="4" fillId="3" borderId="0" xfId="0" applyFont="1" applyFill="1"/>
    <xf numFmtId="0" fontId="5" fillId="4" borderId="0" xfId="0" applyFont="1" applyFill="1"/>
    <xf numFmtId="0" fontId="6" fillId="4" borderId="0" xfId="1" applyFill="1"/>
    <xf numFmtId="0" fontId="1" fillId="0" borderId="0" xfId="0" applyFont="1" applyAlignment="1">
      <alignment horizontal="center" vertical="center"/>
    </xf>
    <xf numFmtId="0" fontId="0" fillId="3" borderId="0" xfId="0" applyFill="1" applyAlignment="1">
      <alignment horizontal="left"/>
    </xf>
    <xf numFmtId="0" fontId="0" fillId="3" borderId="0" xfId="0" applyFill="1" applyAlignment="1">
      <alignment horizontal="left" indent="1"/>
    </xf>
    <xf numFmtId="0" fontId="0" fillId="3" borderId="0" xfId="0" applyNumberFormat="1" applyFill="1"/>
    <xf numFmtId="0" fontId="14" fillId="5" borderId="0" xfId="0" applyFont="1" applyFill="1" applyAlignment="1"/>
    <xf numFmtId="0" fontId="0" fillId="5" borderId="0" xfId="0" applyFill="1"/>
    <xf numFmtId="0" fontId="14" fillId="6" borderId="0" xfId="0" applyFont="1" applyFill="1" applyAlignment="1">
      <alignment horizontal="center"/>
    </xf>
    <xf numFmtId="0" fontId="11" fillId="7" borderId="8" xfId="0" applyFont="1" applyFill="1" applyBorder="1" applyAlignment="1">
      <alignment horizontal="center" vertical="center" wrapText="1"/>
    </xf>
    <xf numFmtId="0" fontId="11" fillId="7" borderId="10" xfId="0" applyFont="1" applyFill="1" applyBorder="1" applyAlignment="1">
      <alignment horizontal="center" vertical="center" wrapText="1"/>
    </xf>
    <xf numFmtId="0" fontId="11" fillId="7" borderId="9" xfId="0" applyFont="1" applyFill="1" applyBorder="1" applyAlignment="1">
      <alignment horizontal="center" vertical="center" wrapText="1"/>
    </xf>
    <xf numFmtId="0" fontId="11" fillId="8" borderId="8" xfId="0" applyFont="1" applyFill="1" applyBorder="1" applyAlignment="1">
      <alignment horizontal="center" vertical="center" wrapText="1"/>
    </xf>
    <xf numFmtId="0" fontId="11" fillId="8" borderId="10" xfId="0" applyFont="1" applyFill="1" applyBorder="1" applyAlignment="1">
      <alignment horizontal="center" vertical="center" wrapText="1"/>
    </xf>
    <xf numFmtId="0" fontId="11" fillId="8" borderId="9" xfId="0" applyFont="1" applyFill="1" applyBorder="1" applyAlignment="1">
      <alignment horizontal="center" vertical="center" wrapText="1"/>
    </xf>
    <xf numFmtId="0" fontId="12" fillId="7" borderId="2" xfId="0" applyFont="1" applyFill="1" applyBorder="1" applyAlignment="1">
      <alignment horizontal="center" vertical="center" wrapText="1"/>
    </xf>
    <xf numFmtId="0" fontId="12" fillId="7" borderId="3" xfId="0" applyFont="1" applyFill="1" applyBorder="1" applyAlignment="1">
      <alignment horizontal="center" vertical="center" wrapText="1"/>
    </xf>
    <xf numFmtId="0" fontId="12" fillId="7" borderId="4" xfId="0" applyFont="1" applyFill="1" applyBorder="1" applyAlignment="1">
      <alignment horizontal="center" vertical="center" wrapText="1"/>
    </xf>
    <xf numFmtId="0" fontId="12" fillId="8" borderId="2" xfId="0" applyFont="1" applyFill="1" applyBorder="1" applyAlignment="1">
      <alignment horizontal="center" vertical="center" wrapText="1"/>
    </xf>
    <xf numFmtId="0" fontId="12" fillId="8" borderId="3" xfId="0" applyFont="1" applyFill="1" applyBorder="1" applyAlignment="1">
      <alignment horizontal="center" vertical="center" wrapText="1"/>
    </xf>
    <xf numFmtId="0" fontId="12" fillId="8" borderId="4" xfId="0" applyFont="1" applyFill="1" applyBorder="1" applyAlignment="1">
      <alignment horizontal="center" vertical="center" wrapText="1"/>
    </xf>
    <xf numFmtId="0" fontId="12" fillId="7" borderId="5" xfId="0" applyFont="1" applyFill="1" applyBorder="1" applyAlignment="1">
      <alignment horizontal="center" vertical="center" wrapText="1"/>
    </xf>
    <xf numFmtId="0" fontId="12" fillId="7" borderId="6" xfId="0" applyFont="1" applyFill="1" applyBorder="1" applyAlignment="1">
      <alignment horizontal="center" vertical="center" wrapText="1"/>
    </xf>
    <xf numFmtId="0" fontId="12" fillId="7" borderId="7" xfId="0" applyFont="1" applyFill="1" applyBorder="1" applyAlignment="1">
      <alignment horizontal="center" vertical="center" wrapText="1"/>
    </xf>
    <xf numFmtId="0" fontId="12" fillId="8" borderId="5" xfId="0" applyFont="1" applyFill="1" applyBorder="1" applyAlignment="1">
      <alignment horizontal="center" vertical="center" wrapText="1"/>
    </xf>
    <xf numFmtId="0" fontId="12" fillId="8" borderId="6" xfId="0" applyFont="1" applyFill="1" applyBorder="1" applyAlignment="1">
      <alignment horizontal="center" vertical="center" wrapText="1"/>
    </xf>
    <xf numFmtId="0" fontId="12" fillId="8" borderId="7" xfId="0" applyFont="1" applyFill="1" applyBorder="1" applyAlignment="1">
      <alignment horizontal="center" vertical="center" wrapText="1"/>
    </xf>
    <xf numFmtId="0" fontId="13" fillId="7" borderId="1" xfId="0" applyFont="1" applyFill="1" applyBorder="1" applyAlignment="1">
      <alignment horizontal="center" vertical="center" wrapText="1"/>
    </xf>
    <xf numFmtId="0" fontId="13" fillId="8" borderId="8" xfId="0" applyFont="1" applyFill="1" applyBorder="1" applyAlignment="1">
      <alignment horizontal="center" vertical="center" wrapText="1"/>
    </xf>
    <xf numFmtId="0" fontId="13" fillId="8" borderId="10" xfId="0" applyFont="1" applyFill="1" applyBorder="1" applyAlignment="1">
      <alignment horizontal="center" vertical="center" wrapText="1"/>
    </xf>
    <xf numFmtId="0" fontId="10" fillId="6" borderId="0" xfId="0" applyFont="1" applyFill="1" applyAlignment="1">
      <alignment horizontal="center"/>
    </xf>
    <xf numFmtId="0" fontId="8" fillId="6" borderId="0" xfId="0" applyFont="1" applyFill="1"/>
    <xf numFmtId="0" fontId="7" fillId="6" borderId="0" xfId="0" applyFont="1" applyFill="1"/>
    <xf numFmtId="0" fontId="9" fillId="6" borderId="0" xfId="0" applyFont="1" applyFill="1"/>
  </cellXfs>
  <cellStyles count="2">
    <cellStyle name="Hyperlink" xfId="1" builtinId="8"/>
    <cellStyle name="Normal" xfId="0" builtinId="0"/>
  </cellStyles>
  <dxfs count="1294">
    <dxf>
      <font>
        <b/>
        <i val="0"/>
        <strike val="0"/>
        <condense val="0"/>
        <extend val="0"/>
        <outline val="0"/>
        <shadow val="0"/>
        <u val="none"/>
        <vertAlign val="baseline"/>
        <sz val="14"/>
        <color theme="0"/>
        <name val="Calibri"/>
        <family val="2"/>
        <scheme val="none"/>
      </font>
      <fill>
        <patternFill patternType="solid">
          <fgColor indexed="64"/>
          <bgColor theme="3" tint="0.39997558519241921"/>
        </patternFill>
      </fill>
      <alignment horizontal="general" vertical="bottom" textRotation="0" wrapText="0" indent="0" justifyLastLine="0" shrinkToFit="0" readingOrder="0"/>
    </dxf>
    <dxf>
      <font>
        <b/>
        <i val="0"/>
        <strike val="0"/>
        <condense val="0"/>
        <extend val="0"/>
        <outline val="0"/>
        <shadow val="0"/>
        <u val="none"/>
        <vertAlign val="baseline"/>
        <sz val="11"/>
        <color rgb="FFF8F8F8"/>
        <name val="Calibri"/>
        <family val="2"/>
        <scheme val="none"/>
      </font>
      <fill>
        <patternFill patternType="solid">
          <fgColor indexed="64"/>
          <bgColor theme="3" tint="0.39997558519241921"/>
        </patternFill>
      </fill>
    </dxf>
    <dxf>
      <font>
        <b/>
        <i val="0"/>
        <strike val="0"/>
        <condense val="0"/>
        <extend val="0"/>
        <outline val="0"/>
        <shadow val="0"/>
        <u val="none"/>
        <vertAlign val="baseline"/>
        <sz val="12"/>
        <color theme="0"/>
        <name val="Calibri"/>
        <family val="2"/>
        <scheme val="none"/>
      </font>
      <fill>
        <patternFill patternType="solid">
          <fgColor indexed="64"/>
          <bgColor theme="3" tint="0.39997558519241921"/>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border outline="0">
        <left style="thin">
          <color indexed="64"/>
        </left>
        <right style="thin">
          <color indexed="64"/>
        </right>
        <top style="thin">
          <color indexed="64"/>
        </top>
        <bottom style="thin">
          <color indexed="64"/>
        </bottom>
      </border>
    </dxf>
    <dxf>
      <alignment horizontal="general" vertical="bottom" textRotation="0" wrapText="0" indent="0" justifyLastLine="0" shrinkToFit="0" readingOrder="0"/>
    </dxf>
    <dxf>
      <border outline="0">
        <left style="medium">
          <color indexed="64"/>
        </left>
        <right style="medium">
          <color indexed="64"/>
        </right>
        <top style="medium">
          <color indexed="64"/>
        </top>
        <bottom style="medium">
          <color indexed="64"/>
        </bottom>
      </border>
    </dxf>
    <dxf>
      <font>
        <b/>
        <i val="0"/>
        <strike val="0"/>
        <condense val="0"/>
        <extend val="0"/>
        <outline val="0"/>
        <shadow val="0"/>
        <u val="none"/>
        <vertAlign val="baseline"/>
        <sz val="14"/>
        <color theme="1"/>
        <name val="Calibri"/>
        <family val="2"/>
        <scheme val="none"/>
      </font>
    </dxf>
  </dxfs>
  <tableStyles count="0" defaultTableStyle="TableStyleMedium2" defaultPivotStyle="PivotStyleLight16"/>
  <colors>
    <mruColors>
      <color rgb="FF4D4D4D"/>
      <color rgb="FF0577D5"/>
      <color rgb="FFE6F200"/>
      <color rgb="FF51AEFB"/>
      <color rgb="FFFFFFFF"/>
      <color rgb="FFF8F8F8"/>
      <color rgb="FFC0C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[Muhammad Uzair Roll no 96 AICTL Dashboard Project.xlsx]Pivot charts and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Shelters</a:t>
            </a:r>
            <a:r>
              <a:rPr lang="en-US" baseline="0"/>
              <a:t> in Cities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 and tables'!$B$1</c:f>
              <c:strCache>
                <c:ptCount val="1"/>
                <c:pt idx="0">
                  <c:v>Total</c:v>
                </c:pt>
              </c:strCache>
            </c:strRef>
          </c:tx>
          <c:spPr>
            <a:solidFill>
              <a:schemeClr val="accent1"/>
            </a:solidFill>
            <a:ln>
              <a:noFill/>
            </a:ln>
            <a:effectLst/>
          </c:spPr>
          <c:invertIfNegative val="0"/>
          <c:cat>
            <c:strRef>
              <c:f>'Pivot charts and tables'!$A$2:$A$10</c:f>
              <c:strCache>
                <c:ptCount val="8"/>
                <c:pt idx="0">
                  <c:v>Faisalabad</c:v>
                </c:pt>
                <c:pt idx="1">
                  <c:v>Islamabad</c:v>
                </c:pt>
                <c:pt idx="2">
                  <c:v>Karachi</c:v>
                </c:pt>
                <c:pt idx="3">
                  <c:v>Lahore</c:v>
                </c:pt>
                <c:pt idx="4">
                  <c:v>Multan</c:v>
                </c:pt>
                <c:pt idx="5">
                  <c:v>Peshawar</c:v>
                </c:pt>
                <c:pt idx="6">
                  <c:v>Quetta</c:v>
                </c:pt>
                <c:pt idx="7">
                  <c:v>Rawalpindi</c:v>
                </c:pt>
              </c:strCache>
            </c:strRef>
          </c:cat>
          <c:val>
            <c:numRef>
              <c:f>'Pivot charts and tables'!$B$2:$B$10</c:f>
              <c:numCache>
                <c:formatCode>General</c:formatCode>
                <c:ptCount val="8"/>
                <c:pt idx="0">
                  <c:v>143</c:v>
                </c:pt>
                <c:pt idx="1">
                  <c:v>154</c:v>
                </c:pt>
                <c:pt idx="2">
                  <c:v>128</c:v>
                </c:pt>
                <c:pt idx="3">
                  <c:v>166</c:v>
                </c:pt>
                <c:pt idx="4">
                  <c:v>164</c:v>
                </c:pt>
                <c:pt idx="5">
                  <c:v>141</c:v>
                </c:pt>
                <c:pt idx="6">
                  <c:v>157</c:v>
                </c:pt>
                <c:pt idx="7">
                  <c:v>147</c:v>
                </c:pt>
              </c:numCache>
            </c:numRef>
          </c:val>
          <c:extLst>
            <c:ext xmlns:c16="http://schemas.microsoft.com/office/drawing/2014/chart" uri="{C3380CC4-5D6E-409C-BE32-E72D297353CC}">
              <c16:uniqueId val="{00000000-F9E1-4DC4-BC7D-97B4B2A5050A}"/>
            </c:ext>
          </c:extLst>
        </c:ser>
        <c:dLbls>
          <c:showLegendKey val="0"/>
          <c:showVal val="0"/>
          <c:showCatName val="0"/>
          <c:showSerName val="0"/>
          <c:showPercent val="0"/>
          <c:showBubbleSize val="0"/>
        </c:dLbls>
        <c:gapWidth val="219"/>
        <c:overlap val="-27"/>
        <c:axId val="873728495"/>
        <c:axId val="883079167"/>
      </c:barChart>
      <c:catAx>
        <c:axId val="873728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883079167"/>
        <c:crosses val="autoZero"/>
        <c:auto val="1"/>
        <c:lblAlgn val="ctr"/>
        <c:lblOffset val="100"/>
        <c:noMultiLvlLbl val="0"/>
      </c:catAx>
      <c:valAx>
        <c:axId val="883079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873728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[Muhammad Uzair Roll no 96 AICTL Dashboard Project.xlsx]Pivot charts and 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Breeds</a:t>
            </a:r>
            <a:r>
              <a:rPr lang="en-US" baseline="0"/>
              <a:t>,Species and colour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 and tables'!$B$18</c:f>
              <c:strCache>
                <c:ptCount val="1"/>
                <c:pt idx="0">
                  <c:v>Total</c:v>
                </c:pt>
              </c:strCache>
            </c:strRef>
          </c:tx>
          <c:spPr>
            <a:solidFill>
              <a:schemeClr val="accent1"/>
            </a:solidFill>
            <a:ln>
              <a:noFill/>
            </a:ln>
            <a:effectLst/>
          </c:spPr>
          <c:invertIfNegative val="0"/>
          <c:cat>
            <c:multiLvlStrRef>
              <c:f>'Pivot charts and tables'!$A$19:$A$69</c:f>
              <c:multiLvlStrCache>
                <c:ptCount val="40"/>
                <c:lvl>
                  <c:pt idx="0">
                    <c:v>Bird</c:v>
                  </c:pt>
                  <c:pt idx="1">
                    <c:v>Cat</c:v>
                  </c:pt>
                  <c:pt idx="2">
                    <c:v>Dog</c:v>
                  </c:pt>
                  <c:pt idx="3">
                    <c:v>Rabbit</c:v>
                  </c:pt>
                  <c:pt idx="4">
                    <c:v>Bird</c:v>
                  </c:pt>
                  <c:pt idx="5">
                    <c:v>Cat</c:v>
                  </c:pt>
                  <c:pt idx="6">
                    <c:v>Dog</c:v>
                  </c:pt>
                  <c:pt idx="7">
                    <c:v>Rabbit</c:v>
                  </c:pt>
                  <c:pt idx="8">
                    <c:v>Bird</c:v>
                  </c:pt>
                  <c:pt idx="9">
                    <c:v>Cat</c:v>
                  </c:pt>
                  <c:pt idx="10">
                    <c:v>Dog</c:v>
                  </c:pt>
                  <c:pt idx="11">
                    <c:v>Rabbit</c:v>
                  </c:pt>
                  <c:pt idx="12">
                    <c:v>Bird</c:v>
                  </c:pt>
                  <c:pt idx="13">
                    <c:v>Cat</c:v>
                  </c:pt>
                  <c:pt idx="14">
                    <c:v>Dog</c:v>
                  </c:pt>
                  <c:pt idx="15">
                    <c:v>Rabbit</c:v>
                  </c:pt>
                  <c:pt idx="16">
                    <c:v>Bird</c:v>
                  </c:pt>
                  <c:pt idx="17">
                    <c:v>Cat</c:v>
                  </c:pt>
                  <c:pt idx="18">
                    <c:v>Dog</c:v>
                  </c:pt>
                  <c:pt idx="19">
                    <c:v>Rabbit</c:v>
                  </c:pt>
                  <c:pt idx="20">
                    <c:v>Bird</c:v>
                  </c:pt>
                  <c:pt idx="21">
                    <c:v>Cat</c:v>
                  </c:pt>
                  <c:pt idx="22">
                    <c:v>Dog</c:v>
                  </c:pt>
                  <c:pt idx="23">
                    <c:v>Rabbit</c:v>
                  </c:pt>
                  <c:pt idx="24">
                    <c:v>Bird</c:v>
                  </c:pt>
                  <c:pt idx="25">
                    <c:v>Cat</c:v>
                  </c:pt>
                  <c:pt idx="26">
                    <c:v>Dog</c:v>
                  </c:pt>
                  <c:pt idx="27">
                    <c:v>Rabbit</c:v>
                  </c:pt>
                  <c:pt idx="28">
                    <c:v>Bird</c:v>
                  </c:pt>
                  <c:pt idx="29">
                    <c:v>Cat</c:v>
                  </c:pt>
                  <c:pt idx="30">
                    <c:v>Dog</c:v>
                  </c:pt>
                  <c:pt idx="31">
                    <c:v>Rabbit</c:v>
                  </c:pt>
                  <c:pt idx="32">
                    <c:v>Bird</c:v>
                  </c:pt>
                  <c:pt idx="33">
                    <c:v>Cat</c:v>
                  </c:pt>
                  <c:pt idx="34">
                    <c:v>Dog</c:v>
                  </c:pt>
                  <c:pt idx="35">
                    <c:v>Rabbit</c:v>
                  </c:pt>
                  <c:pt idx="36">
                    <c:v>Bird</c:v>
                  </c:pt>
                  <c:pt idx="37">
                    <c:v>Cat</c:v>
                  </c:pt>
                  <c:pt idx="38">
                    <c:v>Dog</c:v>
                  </c:pt>
                  <c:pt idx="39">
                    <c:v>Rabbit</c:v>
                  </c:pt>
                </c:lvl>
                <c:lvl>
                  <c:pt idx="0">
                    <c:v>Black</c:v>
                  </c:pt>
                  <c:pt idx="4">
                    <c:v>Black &amp; White</c:v>
                  </c:pt>
                  <c:pt idx="8">
                    <c:v>Brown</c:v>
                  </c:pt>
                  <c:pt idx="12">
                    <c:v>Cream</c:v>
                  </c:pt>
                  <c:pt idx="16">
                    <c:v>Golden</c:v>
                  </c:pt>
                  <c:pt idx="20">
                    <c:v>Gray</c:v>
                  </c:pt>
                  <c:pt idx="24">
                    <c:v>Orange</c:v>
                  </c:pt>
                  <c:pt idx="28">
                    <c:v>Spotted</c:v>
                  </c:pt>
                  <c:pt idx="32">
                    <c:v>Tan</c:v>
                  </c:pt>
                  <c:pt idx="36">
                    <c:v>White</c:v>
                  </c:pt>
                </c:lvl>
              </c:multiLvlStrCache>
            </c:multiLvlStrRef>
          </c:cat>
          <c:val>
            <c:numRef>
              <c:f>'Pivot charts and tables'!$B$19:$B$69</c:f>
              <c:numCache>
                <c:formatCode>General</c:formatCode>
                <c:ptCount val="40"/>
                <c:pt idx="0">
                  <c:v>12</c:v>
                </c:pt>
                <c:pt idx="1">
                  <c:v>29</c:v>
                </c:pt>
                <c:pt idx="2">
                  <c:v>58</c:v>
                </c:pt>
                <c:pt idx="3">
                  <c:v>18</c:v>
                </c:pt>
                <c:pt idx="4">
                  <c:v>15</c:v>
                </c:pt>
                <c:pt idx="5">
                  <c:v>35</c:v>
                </c:pt>
                <c:pt idx="6">
                  <c:v>56</c:v>
                </c:pt>
                <c:pt idx="7">
                  <c:v>15</c:v>
                </c:pt>
                <c:pt idx="8">
                  <c:v>17</c:v>
                </c:pt>
                <c:pt idx="9">
                  <c:v>43</c:v>
                </c:pt>
                <c:pt idx="10">
                  <c:v>56</c:v>
                </c:pt>
                <c:pt idx="11">
                  <c:v>13</c:v>
                </c:pt>
                <c:pt idx="12">
                  <c:v>11</c:v>
                </c:pt>
                <c:pt idx="13">
                  <c:v>34</c:v>
                </c:pt>
                <c:pt idx="14">
                  <c:v>83</c:v>
                </c:pt>
                <c:pt idx="15">
                  <c:v>15</c:v>
                </c:pt>
                <c:pt idx="16">
                  <c:v>8</c:v>
                </c:pt>
                <c:pt idx="17">
                  <c:v>27</c:v>
                </c:pt>
                <c:pt idx="18">
                  <c:v>61</c:v>
                </c:pt>
                <c:pt idx="19">
                  <c:v>13</c:v>
                </c:pt>
                <c:pt idx="20">
                  <c:v>10</c:v>
                </c:pt>
                <c:pt idx="21">
                  <c:v>31</c:v>
                </c:pt>
                <c:pt idx="22">
                  <c:v>59</c:v>
                </c:pt>
                <c:pt idx="23">
                  <c:v>13</c:v>
                </c:pt>
                <c:pt idx="24">
                  <c:v>8</c:v>
                </c:pt>
                <c:pt idx="25">
                  <c:v>32</c:v>
                </c:pt>
                <c:pt idx="26">
                  <c:v>60</c:v>
                </c:pt>
                <c:pt idx="27">
                  <c:v>14</c:v>
                </c:pt>
                <c:pt idx="28">
                  <c:v>14</c:v>
                </c:pt>
                <c:pt idx="29">
                  <c:v>34</c:v>
                </c:pt>
                <c:pt idx="30">
                  <c:v>56</c:v>
                </c:pt>
                <c:pt idx="31">
                  <c:v>9</c:v>
                </c:pt>
                <c:pt idx="32">
                  <c:v>16</c:v>
                </c:pt>
                <c:pt idx="33">
                  <c:v>28</c:v>
                </c:pt>
                <c:pt idx="34">
                  <c:v>62</c:v>
                </c:pt>
                <c:pt idx="35">
                  <c:v>10</c:v>
                </c:pt>
                <c:pt idx="36">
                  <c:v>16</c:v>
                </c:pt>
                <c:pt idx="37">
                  <c:v>37</c:v>
                </c:pt>
                <c:pt idx="38">
                  <c:v>63</c:v>
                </c:pt>
                <c:pt idx="39">
                  <c:v>9</c:v>
                </c:pt>
              </c:numCache>
            </c:numRef>
          </c:val>
          <c:extLst>
            <c:ext xmlns:c16="http://schemas.microsoft.com/office/drawing/2014/chart" uri="{C3380CC4-5D6E-409C-BE32-E72D297353CC}">
              <c16:uniqueId val="{00000000-0B83-466A-9CB2-C5F4E0085D24}"/>
            </c:ext>
          </c:extLst>
        </c:ser>
        <c:dLbls>
          <c:showLegendKey val="0"/>
          <c:showVal val="0"/>
          <c:showCatName val="0"/>
          <c:showSerName val="0"/>
          <c:showPercent val="0"/>
          <c:showBubbleSize val="0"/>
        </c:dLbls>
        <c:gapWidth val="219"/>
        <c:overlap val="-27"/>
        <c:axId val="815467375"/>
        <c:axId val="815467855"/>
      </c:barChart>
      <c:catAx>
        <c:axId val="815467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815467855"/>
        <c:crosses val="autoZero"/>
        <c:auto val="1"/>
        <c:lblAlgn val="ctr"/>
        <c:lblOffset val="100"/>
        <c:noMultiLvlLbl val="0"/>
      </c:catAx>
      <c:valAx>
        <c:axId val="815467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815467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[Muhammad Uzair Roll no 96 AICTL Dashboard Project.xlsx]Pivot charts and 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methods in cities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charts and tables'!$B$87</c:f>
              <c:strCache>
                <c:ptCount val="1"/>
                <c:pt idx="0">
                  <c:v>Total</c:v>
                </c:pt>
              </c:strCache>
            </c:strRef>
          </c:tx>
          <c:spPr>
            <a:solidFill>
              <a:schemeClr val="accent1"/>
            </a:solidFill>
            <a:ln>
              <a:noFill/>
            </a:ln>
            <a:effectLst/>
          </c:spPr>
          <c:invertIfNegative val="0"/>
          <c:cat>
            <c:multiLvlStrRef>
              <c:f>'Pivot charts and tables'!$A$88:$A$133</c:f>
              <c:multiLvlStrCache>
                <c:ptCount val="40"/>
                <c:lvl>
                  <c:pt idx="0">
                    <c:v>Faisalabad</c:v>
                  </c:pt>
                  <c:pt idx="1">
                    <c:v>Islamabad</c:v>
                  </c:pt>
                  <c:pt idx="2">
                    <c:v>Karachi</c:v>
                  </c:pt>
                  <c:pt idx="3">
                    <c:v>Lahore</c:v>
                  </c:pt>
                  <c:pt idx="4">
                    <c:v>Multan</c:v>
                  </c:pt>
                  <c:pt idx="5">
                    <c:v>Peshawar</c:v>
                  </c:pt>
                  <c:pt idx="6">
                    <c:v>Quetta</c:v>
                  </c:pt>
                  <c:pt idx="7">
                    <c:v>Rawalpindi</c:v>
                  </c:pt>
                  <c:pt idx="8">
                    <c:v>Faisalabad</c:v>
                  </c:pt>
                  <c:pt idx="9">
                    <c:v>Islamabad</c:v>
                  </c:pt>
                  <c:pt idx="10">
                    <c:v>Karachi</c:v>
                  </c:pt>
                  <c:pt idx="11">
                    <c:v>Lahore</c:v>
                  </c:pt>
                  <c:pt idx="12">
                    <c:v>Multan</c:v>
                  </c:pt>
                  <c:pt idx="13">
                    <c:v>Peshawar</c:v>
                  </c:pt>
                  <c:pt idx="14">
                    <c:v>Quetta</c:v>
                  </c:pt>
                  <c:pt idx="15">
                    <c:v>Rawalpindi</c:v>
                  </c:pt>
                  <c:pt idx="16">
                    <c:v>Faisalabad</c:v>
                  </c:pt>
                  <c:pt idx="17">
                    <c:v>Islamabad</c:v>
                  </c:pt>
                  <c:pt idx="18">
                    <c:v>Karachi</c:v>
                  </c:pt>
                  <c:pt idx="19">
                    <c:v>Lahore</c:v>
                  </c:pt>
                  <c:pt idx="20">
                    <c:v>Multan</c:v>
                  </c:pt>
                  <c:pt idx="21">
                    <c:v>Peshawar</c:v>
                  </c:pt>
                  <c:pt idx="22">
                    <c:v>Quetta</c:v>
                  </c:pt>
                  <c:pt idx="23">
                    <c:v>Rawalpindi</c:v>
                  </c:pt>
                  <c:pt idx="24">
                    <c:v>Faisalabad</c:v>
                  </c:pt>
                  <c:pt idx="25">
                    <c:v>Islamabad</c:v>
                  </c:pt>
                  <c:pt idx="26">
                    <c:v>Karachi</c:v>
                  </c:pt>
                  <c:pt idx="27">
                    <c:v>Lahore</c:v>
                  </c:pt>
                  <c:pt idx="28">
                    <c:v>Multan</c:v>
                  </c:pt>
                  <c:pt idx="29">
                    <c:v>Peshawar</c:v>
                  </c:pt>
                  <c:pt idx="30">
                    <c:v>Quetta</c:v>
                  </c:pt>
                  <c:pt idx="31">
                    <c:v>Rawalpindi</c:v>
                  </c:pt>
                  <c:pt idx="32">
                    <c:v>Faisalabad</c:v>
                  </c:pt>
                  <c:pt idx="33">
                    <c:v>Islamabad</c:v>
                  </c:pt>
                  <c:pt idx="34">
                    <c:v>Karachi</c:v>
                  </c:pt>
                  <c:pt idx="35">
                    <c:v>Lahore</c:v>
                  </c:pt>
                  <c:pt idx="36">
                    <c:v>Multan</c:v>
                  </c:pt>
                  <c:pt idx="37">
                    <c:v>Peshawar</c:v>
                  </c:pt>
                  <c:pt idx="38">
                    <c:v>Quetta</c:v>
                  </c:pt>
                  <c:pt idx="39">
                    <c:v>Rawalpindi</c:v>
                  </c:pt>
                </c:lvl>
                <c:lvl>
                  <c:pt idx="0">
                    <c:v>Bank Deposit</c:v>
                  </c:pt>
                  <c:pt idx="8">
                    <c:v>Card</c:v>
                  </c:pt>
                  <c:pt idx="16">
                    <c:v>Cash</c:v>
                  </c:pt>
                  <c:pt idx="24">
                    <c:v>N/A
</c:v>
                  </c:pt>
                  <c:pt idx="32">
                    <c:v>Online Transfer</c:v>
                  </c:pt>
                </c:lvl>
              </c:multiLvlStrCache>
            </c:multiLvlStrRef>
          </c:cat>
          <c:val>
            <c:numRef>
              <c:f>'Pivot charts and tables'!$B$88:$B$133</c:f>
              <c:numCache>
                <c:formatCode>General</c:formatCode>
                <c:ptCount val="40"/>
                <c:pt idx="0">
                  <c:v>11</c:v>
                </c:pt>
                <c:pt idx="1">
                  <c:v>15</c:v>
                </c:pt>
                <c:pt idx="2">
                  <c:v>9</c:v>
                </c:pt>
                <c:pt idx="3">
                  <c:v>14</c:v>
                </c:pt>
                <c:pt idx="4">
                  <c:v>22</c:v>
                </c:pt>
                <c:pt idx="5">
                  <c:v>14</c:v>
                </c:pt>
                <c:pt idx="6">
                  <c:v>17</c:v>
                </c:pt>
                <c:pt idx="7">
                  <c:v>15</c:v>
                </c:pt>
                <c:pt idx="8">
                  <c:v>11</c:v>
                </c:pt>
                <c:pt idx="9">
                  <c:v>10</c:v>
                </c:pt>
                <c:pt idx="10">
                  <c:v>20</c:v>
                </c:pt>
                <c:pt idx="11">
                  <c:v>21</c:v>
                </c:pt>
                <c:pt idx="12">
                  <c:v>10</c:v>
                </c:pt>
                <c:pt idx="13">
                  <c:v>13</c:v>
                </c:pt>
                <c:pt idx="14">
                  <c:v>9</c:v>
                </c:pt>
                <c:pt idx="15">
                  <c:v>9</c:v>
                </c:pt>
                <c:pt idx="16">
                  <c:v>17</c:v>
                </c:pt>
                <c:pt idx="17">
                  <c:v>24</c:v>
                </c:pt>
                <c:pt idx="18">
                  <c:v>11</c:v>
                </c:pt>
                <c:pt idx="19">
                  <c:v>16</c:v>
                </c:pt>
                <c:pt idx="20">
                  <c:v>12</c:v>
                </c:pt>
                <c:pt idx="21">
                  <c:v>17</c:v>
                </c:pt>
                <c:pt idx="22">
                  <c:v>10</c:v>
                </c:pt>
                <c:pt idx="23">
                  <c:v>15</c:v>
                </c:pt>
                <c:pt idx="24">
                  <c:v>88</c:v>
                </c:pt>
                <c:pt idx="25">
                  <c:v>87</c:v>
                </c:pt>
                <c:pt idx="26">
                  <c:v>85</c:v>
                </c:pt>
                <c:pt idx="27">
                  <c:v>95</c:v>
                </c:pt>
                <c:pt idx="28">
                  <c:v>103</c:v>
                </c:pt>
                <c:pt idx="29">
                  <c:v>86</c:v>
                </c:pt>
                <c:pt idx="30">
                  <c:v>107</c:v>
                </c:pt>
                <c:pt idx="31">
                  <c:v>90</c:v>
                </c:pt>
                <c:pt idx="32">
                  <c:v>16</c:v>
                </c:pt>
                <c:pt idx="33">
                  <c:v>18</c:v>
                </c:pt>
                <c:pt idx="34">
                  <c:v>3</c:v>
                </c:pt>
                <c:pt idx="35">
                  <c:v>20</c:v>
                </c:pt>
                <c:pt idx="36">
                  <c:v>17</c:v>
                </c:pt>
                <c:pt idx="37">
                  <c:v>11</c:v>
                </c:pt>
                <c:pt idx="38">
                  <c:v>14</c:v>
                </c:pt>
                <c:pt idx="39">
                  <c:v>18</c:v>
                </c:pt>
              </c:numCache>
            </c:numRef>
          </c:val>
          <c:extLst>
            <c:ext xmlns:c16="http://schemas.microsoft.com/office/drawing/2014/chart" uri="{C3380CC4-5D6E-409C-BE32-E72D297353CC}">
              <c16:uniqueId val="{00000000-1246-4F02-9773-62DB22E1B7CA}"/>
            </c:ext>
          </c:extLst>
        </c:ser>
        <c:dLbls>
          <c:showLegendKey val="0"/>
          <c:showVal val="0"/>
          <c:showCatName val="0"/>
          <c:showSerName val="0"/>
          <c:showPercent val="0"/>
          <c:showBubbleSize val="0"/>
        </c:dLbls>
        <c:gapWidth val="182"/>
        <c:axId val="1318924767"/>
        <c:axId val="1318923807"/>
      </c:barChart>
      <c:catAx>
        <c:axId val="1318924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18923807"/>
        <c:crosses val="autoZero"/>
        <c:auto val="1"/>
        <c:lblAlgn val="ctr"/>
        <c:lblOffset val="100"/>
        <c:noMultiLvlLbl val="0"/>
      </c:catAx>
      <c:valAx>
        <c:axId val="13189238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18924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[Muhammad Uzair Roll no 96 AICTL Dashboard Project.xlsx]Pivot charts and tables!PivotTable7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 and tables'!$B$165</c:f>
              <c:strCache>
                <c:ptCount val="1"/>
                <c:pt idx="0">
                  <c:v>Sum of Adoption_Fee_PKR</c:v>
                </c:pt>
              </c:strCache>
            </c:strRef>
          </c:tx>
          <c:spPr>
            <a:solidFill>
              <a:schemeClr val="accent1"/>
            </a:solidFill>
            <a:ln>
              <a:noFill/>
            </a:ln>
            <a:effectLst/>
          </c:spPr>
          <c:invertIfNegative val="0"/>
          <c:cat>
            <c:strRef>
              <c:f>'Pivot charts and tables'!$A$166:$A$171</c:f>
              <c:strCache>
                <c:ptCount val="5"/>
                <c:pt idx="0">
                  <c:v>Bank Deposit</c:v>
                </c:pt>
                <c:pt idx="1">
                  <c:v>Card</c:v>
                </c:pt>
                <c:pt idx="2">
                  <c:v>Cash</c:v>
                </c:pt>
                <c:pt idx="3">
                  <c:v>N/A
</c:v>
                </c:pt>
                <c:pt idx="4">
                  <c:v>Online Transfer</c:v>
                </c:pt>
              </c:strCache>
            </c:strRef>
          </c:cat>
          <c:val>
            <c:numRef>
              <c:f>'Pivot charts and tables'!$B$166:$B$171</c:f>
              <c:numCache>
                <c:formatCode>General</c:formatCode>
                <c:ptCount val="5"/>
                <c:pt idx="0">
                  <c:v>500959</c:v>
                </c:pt>
                <c:pt idx="1">
                  <c:v>406581</c:v>
                </c:pt>
                <c:pt idx="2">
                  <c:v>471532</c:v>
                </c:pt>
                <c:pt idx="3">
                  <c:v>0</c:v>
                </c:pt>
                <c:pt idx="4">
                  <c:v>491763</c:v>
                </c:pt>
              </c:numCache>
            </c:numRef>
          </c:val>
          <c:extLst>
            <c:ext xmlns:c16="http://schemas.microsoft.com/office/drawing/2014/chart" uri="{C3380CC4-5D6E-409C-BE32-E72D297353CC}">
              <c16:uniqueId val="{00000000-82C7-4C83-B072-1D6CDE2BC608}"/>
            </c:ext>
          </c:extLst>
        </c:ser>
        <c:ser>
          <c:idx val="1"/>
          <c:order val="1"/>
          <c:tx>
            <c:strRef>
              <c:f>'Pivot charts and tables'!$C$165</c:f>
              <c:strCache>
                <c:ptCount val="1"/>
                <c:pt idx="0">
                  <c:v>Sum of Donation_Amount_PKR</c:v>
                </c:pt>
              </c:strCache>
            </c:strRef>
          </c:tx>
          <c:spPr>
            <a:solidFill>
              <a:schemeClr val="accent2"/>
            </a:solidFill>
            <a:ln>
              <a:noFill/>
            </a:ln>
            <a:effectLst/>
          </c:spPr>
          <c:invertIfNegative val="0"/>
          <c:cat>
            <c:strRef>
              <c:f>'Pivot charts and tables'!$A$166:$A$171</c:f>
              <c:strCache>
                <c:ptCount val="5"/>
                <c:pt idx="0">
                  <c:v>Bank Deposit</c:v>
                </c:pt>
                <c:pt idx="1">
                  <c:v>Card</c:v>
                </c:pt>
                <c:pt idx="2">
                  <c:v>Cash</c:v>
                </c:pt>
                <c:pt idx="3">
                  <c:v>N/A
</c:v>
                </c:pt>
                <c:pt idx="4">
                  <c:v>Online Transfer</c:v>
                </c:pt>
              </c:strCache>
            </c:strRef>
          </c:cat>
          <c:val>
            <c:numRef>
              <c:f>'Pivot charts and tables'!$C$166:$C$171</c:f>
              <c:numCache>
                <c:formatCode>General</c:formatCode>
                <c:ptCount val="5"/>
                <c:pt idx="0">
                  <c:v>127500</c:v>
                </c:pt>
                <c:pt idx="1">
                  <c:v>110000</c:v>
                </c:pt>
                <c:pt idx="2">
                  <c:v>158500</c:v>
                </c:pt>
                <c:pt idx="3">
                  <c:v>110500</c:v>
                </c:pt>
                <c:pt idx="4">
                  <c:v>181000</c:v>
                </c:pt>
              </c:numCache>
            </c:numRef>
          </c:val>
          <c:extLst>
            <c:ext xmlns:c16="http://schemas.microsoft.com/office/drawing/2014/chart" uri="{C3380CC4-5D6E-409C-BE32-E72D297353CC}">
              <c16:uniqueId val="{00000001-82C7-4C83-B072-1D6CDE2BC608}"/>
            </c:ext>
          </c:extLst>
        </c:ser>
        <c:dLbls>
          <c:showLegendKey val="0"/>
          <c:showVal val="0"/>
          <c:showCatName val="0"/>
          <c:showSerName val="0"/>
          <c:showPercent val="0"/>
          <c:showBubbleSize val="0"/>
        </c:dLbls>
        <c:gapWidth val="219"/>
        <c:overlap val="-27"/>
        <c:axId val="1361346751"/>
        <c:axId val="1361350111"/>
      </c:barChart>
      <c:catAx>
        <c:axId val="1361346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61350111"/>
        <c:crosses val="autoZero"/>
        <c:auto val="1"/>
        <c:lblAlgn val="ctr"/>
        <c:lblOffset val="100"/>
        <c:noMultiLvlLbl val="0"/>
      </c:catAx>
      <c:valAx>
        <c:axId val="1361350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61346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[Muhammad Uzair Roll no 96 AICTL Dashboard Project.xlsx]Pivot charts and tables!PivotTable3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Adopter</a:t>
            </a:r>
            <a:r>
              <a:rPr lang="en-US" baseline="0"/>
              <a: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 and tables'!$B$74</c:f>
              <c:strCache>
                <c:ptCount val="1"/>
                <c:pt idx="0">
                  <c:v>Total</c:v>
                </c:pt>
              </c:strCache>
            </c:strRef>
          </c:tx>
          <c:spPr>
            <a:solidFill>
              <a:schemeClr val="accent1"/>
            </a:solidFill>
            <a:ln>
              <a:noFill/>
            </a:ln>
            <a:effectLst/>
          </c:spPr>
          <c:invertIfNegative val="0"/>
          <c:cat>
            <c:strRef>
              <c:f>'Pivot charts and tables'!$A$75:$A$81</c:f>
              <c:strCache>
                <c:ptCount val="6"/>
                <c:pt idx="0">
                  <c:v>Couple</c:v>
                </c:pt>
                <c:pt idx="1">
                  <c:v>Family</c:v>
                </c:pt>
                <c:pt idx="2">
                  <c:v>Individual</c:v>
                </c:pt>
                <c:pt idx="3">
                  <c:v>N/A
</c:v>
                </c:pt>
                <c:pt idx="4">
                  <c:v>Senior</c:v>
                </c:pt>
                <c:pt idx="5">
                  <c:v>Single Adult</c:v>
                </c:pt>
              </c:strCache>
            </c:strRef>
          </c:cat>
          <c:val>
            <c:numRef>
              <c:f>'Pivot charts and tables'!$B$75:$B$81</c:f>
              <c:numCache>
                <c:formatCode>General</c:formatCode>
                <c:ptCount val="6"/>
                <c:pt idx="0">
                  <c:v>101</c:v>
                </c:pt>
                <c:pt idx="1">
                  <c:v>94</c:v>
                </c:pt>
                <c:pt idx="2">
                  <c:v>91</c:v>
                </c:pt>
                <c:pt idx="3">
                  <c:v>741</c:v>
                </c:pt>
                <c:pt idx="4">
                  <c:v>83</c:v>
                </c:pt>
                <c:pt idx="5">
                  <c:v>90</c:v>
                </c:pt>
              </c:numCache>
            </c:numRef>
          </c:val>
          <c:extLst>
            <c:ext xmlns:c16="http://schemas.microsoft.com/office/drawing/2014/chart" uri="{C3380CC4-5D6E-409C-BE32-E72D297353CC}">
              <c16:uniqueId val="{00000000-4392-4DE0-B7CC-669679832038}"/>
            </c:ext>
          </c:extLst>
        </c:ser>
        <c:dLbls>
          <c:showLegendKey val="0"/>
          <c:showVal val="0"/>
          <c:showCatName val="0"/>
          <c:showSerName val="0"/>
          <c:showPercent val="0"/>
          <c:showBubbleSize val="0"/>
        </c:dLbls>
        <c:gapWidth val="219"/>
        <c:overlap val="-27"/>
        <c:axId val="659403279"/>
        <c:axId val="659402799"/>
      </c:barChart>
      <c:catAx>
        <c:axId val="659403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659402799"/>
        <c:crosses val="autoZero"/>
        <c:auto val="1"/>
        <c:lblAlgn val="ctr"/>
        <c:lblOffset val="100"/>
        <c:noMultiLvlLbl val="0"/>
      </c:catAx>
      <c:valAx>
        <c:axId val="659402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659403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[Muhammad Uzair Roll no 96 AICTL Dashboard Project.xlsx]Pivot charts and tables!PivotTable11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Health</a:t>
            </a:r>
            <a:r>
              <a:rPr lang="en-US" baseline="0"/>
              <a:t>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 and tables'!$B$135</c:f>
              <c:strCache>
                <c:ptCount val="1"/>
                <c:pt idx="0">
                  <c:v>Total</c:v>
                </c:pt>
              </c:strCache>
            </c:strRef>
          </c:tx>
          <c:spPr>
            <a:solidFill>
              <a:schemeClr val="accent1"/>
            </a:solidFill>
            <a:ln>
              <a:noFill/>
            </a:ln>
            <a:effectLst/>
          </c:spPr>
          <c:invertIfNegative val="0"/>
          <c:cat>
            <c:multiLvlStrRef>
              <c:f>'Pivot charts and tables'!$A$136:$A$161</c:f>
              <c:multiLvlStrCache>
                <c:ptCount val="20"/>
                <c:lvl>
                  <c:pt idx="0">
                    <c:v>Bird</c:v>
                  </c:pt>
                  <c:pt idx="1">
                    <c:v>Cat</c:v>
                  </c:pt>
                  <c:pt idx="2">
                    <c:v>Dog</c:v>
                  </c:pt>
                  <c:pt idx="3">
                    <c:v>Rabbit</c:v>
                  </c:pt>
                  <c:pt idx="4">
                    <c:v>Bird</c:v>
                  </c:pt>
                  <c:pt idx="5">
                    <c:v>Cat</c:v>
                  </c:pt>
                  <c:pt idx="6">
                    <c:v>Dog</c:v>
                  </c:pt>
                  <c:pt idx="7">
                    <c:v>Rabbit</c:v>
                  </c:pt>
                  <c:pt idx="8">
                    <c:v>Bird</c:v>
                  </c:pt>
                  <c:pt idx="9">
                    <c:v>Cat</c:v>
                  </c:pt>
                  <c:pt idx="10">
                    <c:v>Dog</c:v>
                  </c:pt>
                  <c:pt idx="11">
                    <c:v>Rabbit</c:v>
                  </c:pt>
                  <c:pt idx="12">
                    <c:v>Bird</c:v>
                  </c:pt>
                  <c:pt idx="13">
                    <c:v>Cat</c:v>
                  </c:pt>
                  <c:pt idx="14">
                    <c:v>Dog</c:v>
                  </c:pt>
                  <c:pt idx="15">
                    <c:v>Rabbit</c:v>
                  </c:pt>
                  <c:pt idx="16">
                    <c:v>Bird</c:v>
                  </c:pt>
                  <c:pt idx="17">
                    <c:v>Cat</c:v>
                  </c:pt>
                  <c:pt idx="18">
                    <c:v>Dog</c:v>
                  </c:pt>
                  <c:pt idx="19">
                    <c:v>Rabbit</c:v>
                  </c:pt>
                </c:lvl>
                <c:lvl>
                  <c:pt idx="0">
                    <c:v>Healthy</c:v>
                  </c:pt>
                  <c:pt idx="4">
                    <c:v>Minor Treatment Needed</c:v>
                  </c:pt>
                  <c:pt idx="8">
                    <c:v>Neutered/Spayed</c:v>
                  </c:pt>
                  <c:pt idx="12">
                    <c:v>Recovering</c:v>
                  </c:pt>
                  <c:pt idx="16">
                    <c:v>Vaccinated</c:v>
                  </c:pt>
                </c:lvl>
              </c:multiLvlStrCache>
            </c:multiLvlStrRef>
          </c:cat>
          <c:val>
            <c:numRef>
              <c:f>'Pivot charts and tables'!$B$136:$B$161</c:f>
              <c:numCache>
                <c:formatCode>General</c:formatCode>
                <c:ptCount val="20"/>
                <c:pt idx="0">
                  <c:v>59</c:v>
                </c:pt>
                <c:pt idx="1">
                  <c:v>156</c:v>
                </c:pt>
                <c:pt idx="2">
                  <c:v>286</c:v>
                </c:pt>
                <c:pt idx="3">
                  <c:v>59</c:v>
                </c:pt>
                <c:pt idx="4">
                  <c:v>21</c:v>
                </c:pt>
                <c:pt idx="5">
                  <c:v>48</c:v>
                </c:pt>
                <c:pt idx="6">
                  <c:v>88</c:v>
                </c:pt>
                <c:pt idx="7">
                  <c:v>15</c:v>
                </c:pt>
                <c:pt idx="8">
                  <c:v>18</c:v>
                </c:pt>
                <c:pt idx="9">
                  <c:v>34</c:v>
                </c:pt>
                <c:pt idx="10">
                  <c:v>85</c:v>
                </c:pt>
                <c:pt idx="11">
                  <c:v>19</c:v>
                </c:pt>
                <c:pt idx="12">
                  <c:v>16</c:v>
                </c:pt>
                <c:pt idx="13">
                  <c:v>51</c:v>
                </c:pt>
                <c:pt idx="14">
                  <c:v>82</c:v>
                </c:pt>
                <c:pt idx="15">
                  <c:v>18</c:v>
                </c:pt>
                <c:pt idx="16">
                  <c:v>13</c:v>
                </c:pt>
                <c:pt idx="17">
                  <c:v>41</c:v>
                </c:pt>
                <c:pt idx="18">
                  <c:v>73</c:v>
                </c:pt>
                <c:pt idx="19">
                  <c:v>18</c:v>
                </c:pt>
              </c:numCache>
            </c:numRef>
          </c:val>
          <c:extLst>
            <c:ext xmlns:c16="http://schemas.microsoft.com/office/drawing/2014/chart" uri="{C3380CC4-5D6E-409C-BE32-E72D297353CC}">
              <c16:uniqueId val="{00000000-1548-4BED-9D0E-051CCF6EF4E0}"/>
            </c:ext>
          </c:extLst>
        </c:ser>
        <c:dLbls>
          <c:showLegendKey val="0"/>
          <c:showVal val="0"/>
          <c:showCatName val="0"/>
          <c:showSerName val="0"/>
          <c:showPercent val="0"/>
          <c:showBubbleSize val="0"/>
        </c:dLbls>
        <c:gapWidth val="219"/>
        <c:overlap val="-27"/>
        <c:axId val="584348831"/>
        <c:axId val="584351231"/>
      </c:barChart>
      <c:catAx>
        <c:axId val="584348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584351231"/>
        <c:crosses val="autoZero"/>
        <c:auto val="1"/>
        <c:lblAlgn val="ctr"/>
        <c:lblOffset val="100"/>
        <c:noMultiLvlLbl val="0"/>
      </c:catAx>
      <c:valAx>
        <c:axId val="584351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584348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[Muhammad Uzair Roll no 96 AICTL Dashboard Project.xlsx]Pivot charts and tables!PivotTable1</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US" sz="1400" b="0" i="0" u="none" strike="noStrike" kern="1200" spc="0" baseline="0">
                <a:solidFill>
                  <a:srgbClr val="000000">
                    <a:lumMod val="65000"/>
                    <a:lumOff val="35000"/>
                  </a:srgbClr>
                </a:solidFill>
              </a:rPr>
              <a:t>Shelters in Cities</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 and tables'!$B$1</c:f>
              <c:strCache>
                <c:ptCount val="1"/>
                <c:pt idx="0">
                  <c:v>Total</c:v>
                </c:pt>
              </c:strCache>
            </c:strRef>
          </c:tx>
          <c:spPr>
            <a:solidFill>
              <a:schemeClr val="accent1"/>
            </a:solidFill>
            <a:ln>
              <a:noFill/>
            </a:ln>
            <a:effectLst/>
          </c:spPr>
          <c:invertIfNegative val="0"/>
          <c:cat>
            <c:strRef>
              <c:f>'Pivot charts and tables'!$A$2:$A$10</c:f>
              <c:strCache>
                <c:ptCount val="8"/>
                <c:pt idx="0">
                  <c:v>Faisalabad</c:v>
                </c:pt>
                <c:pt idx="1">
                  <c:v>Islamabad</c:v>
                </c:pt>
                <c:pt idx="2">
                  <c:v>Karachi</c:v>
                </c:pt>
                <c:pt idx="3">
                  <c:v>Lahore</c:v>
                </c:pt>
                <c:pt idx="4">
                  <c:v>Multan</c:v>
                </c:pt>
                <c:pt idx="5">
                  <c:v>Peshawar</c:v>
                </c:pt>
                <c:pt idx="6">
                  <c:v>Quetta</c:v>
                </c:pt>
                <c:pt idx="7">
                  <c:v>Rawalpindi</c:v>
                </c:pt>
              </c:strCache>
            </c:strRef>
          </c:cat>
          <c:val>
            <c:numRef>
              <c:f>'Pivot charts and tables'!$B$2:$B$10</c:f>
              <c:numCache>
                <c:formatCode>General</c:formatCode>
                <c:ptCount val="8"/>
                <c:pt idx="0">
                  <c:v>143</c:v>
                </c:pt>
                <c:pt idx="1">
                  <c:v>154</c:v>
                </c:pt>
                <c:pt idx="2">
                  <c:v>128</c:v>
                </c:pt>
                <c:pt idx="3">
                  <c:v>166</c:v>
                </c:pt>
                <c:pt idx="4">
                  <c:v>164</c:v>
                </c:pt>
                <c:pt idx="5">
                  <c:v>141</c:v>
                </c:pt>
                <c:pt idx="6">
                  <c:v>157</c:v>
                </c:pt>
                <c:pt idx="7">
                  <c:v>147</c:v>
                </c:pt>
              </c:numCache>
            </c:numRef>
          </c:val>
          <c:extLst>
            <c:ext xmlns:c16="http://schemas.microsoft.com/office/drawing/2014/chart" uri="{C3380CC4-5D6E-409C-BE32-E72D297353CC}">
              <c16:uniqueId val="{00000000-BE68-4B75-A0F1-0565538BA2DB}"/>
            </c:ext>
          </c:extLst>
        </c:ser>
        <c:dLbls>
          <c:showLegendKey val="0"/>
          <c:showVal val="0"/>
          <c:showCatName val="0"/>
          <c:showSerName val="0"/>
          <c:showPercent val="0"/>
          <c:showBubbleSize val="0"/>
        </c:dLbls>
        <c:gapWidth val="219"/>
        <c:overlap val="-27"/>
        <c:axId val="873728495"/>
        <c:axId val="883079167"/>
      </c:barChart>
      <c:catAx>
        <c:axId val="873728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883079167"/>
        <c:crosses val="autoZero"/>
        <c:auto val="1"/>
        <c:lblAlgn val="ctr"/>
        <c:lblOffset val="100"/>
        <c:noMultiLvlLbl val="0"/>
      </c:catAx>
      <c:valAx>
        <c:axId val="883079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873728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[Muhammad Uzair Roll no 96 AICTL Dashboard Project.xlsx]Pivot charts and tables!PivotTable2</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US" sz="1400" b="0" i="0" u="none" strike="noStrike" kern="1200" spc="0" baseline="0">
                <a:solidFill>
                  <a:srgbClr val="000000">
                    <a:lumMod val="65000"/>
                    <a:lumOff val="35000"/>
                  </a:srgbClr>
                </a:solidFill>
              </a:rPr>
              <a:t>Breeds,Species and colour </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 and tables'!$B$18</c:f>
              <c:strCache>
                <c:ptCount val="1"/>
                <c:pt idx="0">
                  <c:v>Total</c:v>
                </c:pt>
              </c:strCache>
            </c:strRef>
          </c:tx>
          <c:spPr>
            <a:solidFill>
              <a:schemeClr val="accent1"/>
            </a:solidFill>
            <a:ln>
              <a:noFill/>
            </a:ln>
            <a:effectLst/>
          </c:spPr>
          <c:invertIfNegative val="0"/>
          <c:cat>
            <c:multiLvlStrRef>
              <c:f>'Pivot charts and tables'!$A$19:$A$69</c:f>
              <c:multiLvlStrCache>
                <c:ptCount val="40"/>
                <c:lvl>
                  <c:pt idx="0">
                    <c:v>Bird</c:v>
                  </c:pt>
                  <c:pt idx="1">
                    <c:v>Cat</c:v>
                  </c:pt>
                  <c:pt idx="2">
                    <c:v>Dog</c:v>
                  </c:pt>
                  <c:pt idx="3">
                    <c:v>Rabbit</c:v>
                  </c:pt>
                  <c:pt idx="4">
                    <c:v>Bird</c:v>
                  </c:pt>
                  <c:pt idx="5">
                    <c:v>Cat</c:v>
                  </c:pt>
                  <c:pt idx="6">
                    <c:v>Dog</c:v>
                  </c:pt>
                  <c:pt idx="7">
                    <c:v>Rabbit</c:v>
                  </c:pt>
                  <c:pt idx="8">
                    <c:v>Bird</c:v>
                  </c:pt>
                  <c:pt idx="9">
                    <c:v>Cat</c:v>
                  </c:pt>
                  <c:pt idx="10">
                    <c:v>Dog</c:v>
                  </c:pt>
                  <c:pt idx="11">
                    <c:v>Rabbit</c:v>
                  </c:pt>
                  <c:pt idx="12">
                    <c:v>Bird</c:v>
                  </c:pt>
                  <c:pt idx="13">
                    <c:v>Cat</c:v>
                  </c:pt>
                  <c:pt idx="14">
                    <c:v>Dog</c:v>
                  </c:pt>
                  <c:pt idx="15">
                    <c:v>Rabbit</c:v>
                  </c:pt>
                  <c:pt idx="16">
                    <c:v>Bird</c:v>
                  </c:pt>
                  <c:pt idx="17">
                    <c:v>Cat</c:v>
                  </c:pt>
                  <c:pt idx="18">
                    <c:v>Dog</c:v>
                  </c:pt>
                  <c:pt idx="19">
                    <c:v>Rabbit</c:v>
                  </c:pt>
                  <c:pt idx="20">
                    <c:v>Bird</c:v>
                  </c:pt>
                  <c:pt idx="21">
                    <c:v>Cat</c:v>
                  </c:pt>
                  <c:pt idx="22">
                    <c:v>Dog</c:v>
                  </c:pt>
                  <c:pt idx="23">
                    <c:v>Rabbit</c:v>
                  </c:pt>
                  <c:pt idx="24">
                    <c:v>Bird</c:v>
                  </c:pt>
                  <c:pt idx="25">
                    <c:v>Cat</c:v>
                  </c:pt>
                  <c:pt idx="26">
                    <c:v>Dog</c:v>
                  </c:pt>
                  <c:pt idx="27">
                    <c:v>Rabbit</c:v>
                  </c:pt>
                  <c:pt idx="28">
                    <c:v>Bird</c:v>
                  </c:pt>
                  <c:pt idx="29">
                    <c:v>Cat</c:v>
                  </c:pt>
                  <c:pt idx="30">
                    <c:v>Dog</c:v>
                  </c:pt>
                  <c:pt idx="31">
                    <c:v>Rabbit</c:v>
                  </c:pt>
                  <c:pt idx="32">
                    <c:v>Bird</c:v>
                  </c:pt>
                  <c:pt idx="33">
                    <c:v>Cat</c:v>
                  </c:pt>
                  <c:pt idx="34">
                    <c:v>Dog</c:v>
                  </c:pt>
                  <c:pt idx="35">
                    <c:v>Rabbit</c:v>
                  </c:pt>
                  <c:pt idx="36">
                    <c:v>Bird</c:v>
                  </c:pt>
                  <c:pt idx="37">
                    <c:v>Cat</c:v>
                  </c:pt>
                  <c:pt idx="38">
                    <c:v>Dog</c:v>
                  </c:pt>
                  <c:pt idx="39">
                    <c:v>Rabbit</c:v>
                  </c:pt>
                </c:lvl>
                <c:lvl>
                  <c:pt idx="0">
                    <c:v>Black</c:v>
                  </c:pt>
                  <c:pt idx="4">
                    <c:v>Black &amp; White</c:v>
                  </c:pt>
                  <c:pt idx="8">
                    <c:v>Brown</c:v>
                  </c:pt>
                  <c:pt idx="12">
                    <c:v>Cream</c:v>
                  </c:pt>
                  <c:pt idx="16">
                    <c:v>Golden</c:v>
                  </c:pt>
                  <c:pt idx="20">
                    <c:v>Gray</c:v>
                  </c:pt>
                  <c:pt idx="24">
                    <c:v>Orange</c:v>
                  </c:pt>
                  <c:pt idx="28">
                    <c:v>Spotted</c:v>
                  </c:pt>
                  <c:pt idx="32">
                    <c:v>Tan</c:v>
                  </c:pt>
                  <c:pt idx="36">
                    <c:v>White</c:v>
                  </c:pt>
                </c:lvl>
              </c:multiLvlStrCache>
            </c:multiLvlStrRef>
          </c:cat>
          <c:val>
            <c:numRef>
              <c:f>'Pivot charts and tables'!$B$19:$B$69</c:f>
              <c:numCache>
                <c:formatCode>General</c:formatCode>
                <c:ptCount val="40"/>
                <c:pt idx="0">
                  <c:v>12</c:v>
                </c:pt>
                <c:pt idx="1">
                  <c:v>29</c:v>
                </c:pt>
                <c:pt idx="2">
                  <c:v>58</c:v>
                </c:pt>
                <c:pt idx="3">
                  <c:v>18</c:v>
                </c:pt>
                <c:pt idx="4">
                  <c:v>15</c:v>
                </c:pt>
                <c:pt idx="5">
                  <c:v>35</c:v>
                </c:pt>
                <c:pt idx="6">
                  <c:v>56</c:v>
                </c:pt>
                <c:pt idx="7">
                  <c:v>15</c:v>
                </c:pt>
                <c:pt idx="8">
                  <c:v>17</c:v>
                </c:pt>
                <c:pt idx="9">
                  <c:v>43</c:v>
                </c:pt>
                <c:pt idx="10">
                  <c:v>56</c:v>
                </c:pt>
                <c:pt idx="11">
                  <c:v>13</c:v>
                </c:pt>
                <c:pt idx="12">
                  <c:v>11</c:v>
                </c:pt>
                <c:pt idx="13">
                  <c:v>34</c:v>
                </c:pt>
                <c:pt idx="14">
                  <c:v>83</c:v>
                </c:pt>
                <c:pt idx="15">
                  <c:v>15</c:v>
                </c:pt>
                <c:pt idx="16">
                  <c:v>8</c:v>
                </c:pt>
                <c:pt idx="17">
                  <c:v>27</c:v>
                </c:pt>
                <c:pt idx="18">
                  <c:v>61</c:v>
                </c:pt>
                <c:pt idx="19">
                  <c:v>13</c:v>
                </c:pt>
                <c:pt idx="20">
                  <c:v>10</c:v>
                </c:pt>
                <c:pt idx="21">
                  <c:v>31</c:v>
                </c:pt>
                <c:pt idx="22">
                  <c:v>59</c:v>
                </c:pt>
                <c:pt idx="23">
                  <c:v>13</c:v>
                </c:pt>
                <c:pt idx="24">
                  <c:v>8</c:v>
                </c:pt>
                <c:pt idx="25">
                  <c:v>32</c:v>
                </c:pt>
                <c:pt idx="26">
                  <c:v>60</c:v>
                </c:pt>
                <c:pt idx="27">
                  <c:v>14</c:v>
                </c:pt>
                <c:pt idx="28">
                  <c:v>14</c:v>
                </c:pt>
                <c:pt idx="29">
                  <c:v>34</c:v>
                </c:pt>
                <c:pt idx="30">
                  <c:v>56</c:v>
                </c:pt>
                <c:pt idx="31">
                  <c:v>9</c:v>
                </c:pt>
                <c:pt idx="32">
                  <c:v>16</c:v>
                </c:pt>
                <c:pt idx="33">
                  <c:v>28</c:v>
                </c:pt>
                <c:pt idx="34">
                  <c:v>62</c:v>
                </c:pt>
                <c:pt idx="35">
                  <c:v>10</c:v>
                </c:pt>
                <c:pt idx="36">
                  <c:v>16</c:v>
                </c:pt>
                <c:pt idx="37">
                  <c:v>37</c:v>
                </c:pt>
                <c:pt idx="38">
                  <c:v>63</c:v>
                </c:pt>
                <c:pt idx="39">
                  <c:v>9</c:v>
                </c:pt>
              </c:numCache>
            </c:numRef>
          </c:val>
          <c:extLst>
            <c:ext xmlns:c16="http://schemas.microsoft.com/office/drawing/2014/chart" uri="{C3380CC4-5D6E-409C-BE32-E72D297353CC}">
              <c16:uniqueId val="{00000000-6D6B-455A-B7FB-FA901B351A25}"/>
            </c:ext>
          </c:extLst>
        </c:ser>
        <c:dLbls>
          <c:showLegendKey val="0"/>
          <c:showVal val="0"/>
          <c:showCatName val="0"/>
          <c:showSerName val="0"/>
          <c:showPercent val="0"/>
          <c:showBubbleSize val="0"/>
        </c:dLbls>
        <c:gapWidth val="219"/>
        <c:overlap val="-27"/>
        <c:axId val="815467375"/>
        <c:axId val="815467855"/>
      </c:barChart>
      <c:catAx>
        <c:axId val="815467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815467855"/>
        <c:crosses val="autoZero"/>
        <c:auto val="1"/>
        <c:lblAlgn val="ctr"/>
        <c:lblOffset val="100"/>
        <c:noMultiLvlLbl val="0"/>
      </c:catAx>
      <c:valAx>
        <c:axId val="815467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815467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[Muhammad Uzair Roll no 96 AICTL Dashboard Project.xlsx]Pivot charts and tables!PivotTable3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rgbClr val="000000">
                    <a:lumMod val="65000"/>
                    <a:lumOff val="35000"/>
                  </a:srgbClr>
                </a:solidFill>
              </a:rPr>
              <a:t>Adopter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 and tables'!$B$74</c:f>
              <c:strCache>
                <c:ptCount val="1"/>
                <c:pt idx="0">
                  <c:v>Total</c:v>
                </c:pt>
              </c:strCache>
            </c:strRef>
          </c:tx>
          <c:spPr>
            <a:solidFill>
              <a:schemeClr val="accent1"/>
            </a:solidFill>
            <a:ln>
              <a:noFill/>
            </a:ln>
            <a:effectLst/>
          </c:spPr>
          <c:invertIfNegative val="0"/>
          <c:cat>
            <c:strRef>
              <c:f>'Pivot charts and tables'!$A$75:$A$81</c:f>
              <c:strCache>
                <c:ptCount val="6"/>
                <c:pt idx="0">
                  <c:v>Couple</c:v>
                </c:pt>
                <c:pt idx="1">
                  <c:v>Family</c:v>
                </c:pt>
                <c:pt idx="2">
                  <c:v>Individual</c:v>
                </c:pt>
                <c:pt idx="3">
                  <c:v>N/A
</c:v>
                </c:pt>
                <c:pt idx="4">
                  <c:v>Senior</c:v>
                </c:pt>
                <c:pt idx="5">
                  <c:v>Single Adult</c:v>
                </c:pt>
              </c:strCache>
            </c:strRef>
          </c:cat>
          <c:val>
            <c:numRef>
              <c:f>'Pivot charts and tables'!$B$75:$B$81</c:f>
              <c:numCache>
                <c:formatCode>General</c:formatCode>
                <c:ptCount val="6"/>
                <c:pt idx="0">
                  <c:v>101</c:v>
                </c:pt>
                <c:pt idx="1">
                  <c:v>94</c:v>
                </c:pt>
                <c:pt idx="2">
                  <c:v>91</c:v>
                </c:pt>
                <c:pt idx="3">
                  <c:v>741</c:v>
                </c:pt>
                <c:pt idx="4">
                  <c:v>83</c:v>
                </c:pt>
                <c:pt idx="5">
                  <c:v>90</c:v>
                </c:pt>
              </c:numCache>
            </c:numRef>
          </c:val>
          <c:extLst>
            <c:ext xmlns:c16="http://schemas.microsoft.com/office/drawing/2014/chart" uri="{C3380CC4-5D6E-409C-BE32-E72D297353CC}">
              <c16:uniqueId val="{00000000-FE2D-4039-A694-7995799A3F5E}"/>
            </c:ext>
          </c:extLst>
        </c:ser>
        <c:dLbls>
          <c:showLegendKey val="0"/>
          <c:showVal val="0"/>
          <c:showCatName val="0"/>
          <c:showSerName val="0"/>
          <c:showPercent val="0"/>
          <c:showBubbleSize val="0"/>
        </c:dLbls>
        <c:gapWidth val="219"/>
        <c:overlap val="-27"/>
        <c:axId val="659403279"/>
        <c:axId val="659402799"/>
      </c:barChart>
      <c:catAx>
        <c:axId val="659403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659402799"/>
        <c:crosses val="autoZero"/>
        <c:auto val="1"/>
        <c:lblAlgn val="ctr"/>
        <c:lblOffset val="100"/>
        <c:noMultiLvlLbl val="0"/>
      </c:catAx>
      <c:valAx>
        <c:axId val="659402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659403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[Muhammad Uzair Roll no 96 AICTL Dashboard Project.xlsx]Pivot charts and tables!PivotTable11</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US" sz="1400" b="0" i="0" u="none" strike="noStrike" kern="1200" spc="0" baseline="0">
                <a:solidFill>
                  <a:srgbClr val="000000">
                    <a:lumMod val="65000"/>
                    <a:lumOff val="35000"/>
                  </a:srgbClr>
                </a:solidFill>
              </a:rPr>
              <a:t>Health Status</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 and tables'!$B$135</c:f>
              <c:strCache>
                <c:ptCount val="1"/>
                <c:pt idx="0">
                  <c:v>Total</c:v>
                </c:pt>
              </c:strCache>
            </c:strRef>
          </c:tx>
          <c:spPr>
            <a:solidFill>
              <a:schemeClr val="accent1"/>
            </a:solidFill>
            <a:ln>
              <a:noFill/>
            </a:ln>
            <a:effectLst/>
          </c:spPr>
          <c:invertIfNegative val="0"/>
          <c:cat>
            <c:multiLvlStrRef>
              <c:f>'Pivot charts and tables'!$A$136:$A$161</c:f>
              <c:multiLvlStrCache>
                <c:ptCount val="20"/>
                <c:lvl>
                  <c:pt idx="0">
                    <c:v>Bird</c:v>
                  </c:pt>
                  <c:pt idx="1">
                    <c:v>Cat</c:v>
                  </c:pt>
                  <c:pt idx="2">
                    <c:v>Dog</c:v>
                  </c:pt>
                  <c:pt idx="3">
                    <c:v>Rabbit</c:v>
                  </c:pt>
                  <c:pt idx="4">
                    <c:v>Bird</c:v>
                  </c:pt>
                  <c:pt idx="5">
                    <c:v>Cat</c:v>
                  </c:pt>
                  <c:pt idx="6">
                    <c:v>Dog</c:v>
                  </c:pt>
                  <c:pt idx="7">
                    <c:v>Rabbit</c:v>
                  </c:pt>
                  <c:pt idx="8">
                    <c:v>Bird</c:v>
                  </c:pt>
                  <c:pt idx="9">
                    <c:v>Cat</c:v>
                  </c:pt>
                  <c:pt idx="10">
                    <c:v>Dog</c:v>
                  </c:pt>
                  <c:pt idx="11">
                    <c:v>Rabbit</c:v>
                  </c:pt>
                  <c:pt idx="12">
                    <c:v>Bird</c:v>
                  </c:pt>
                  <c:pt idx="13">
                    <c:v>Cat</c:v>
                  </c:pt>
                  <c:pt idx="14">
                    <c:v>Dog</c:v>
                  </c:pt>
                  <c:pt idx="15">
                    <c:v>Rabbit</c:v>
                  </c:pt>
                  <c:pt idx="16">
                    <c:v>Bird</c:v>
                  </c:pt>
                  <c:pt idx="17">
                    <c:v>Cat</c:v>
                  </c:pt>
                  <c:pt idx="18">
                    <c:v>Dog</c:v>
                  </c:pt>
                  <c:pt idx="19">
                    <c:v>Rabbit</c:v>
                  </c:pt>
                </c:lvl>
                <c:lvl>
                  <c:pt idx="0">
                    <c:v>Healthy</c:v>
                  </c:pt>
                  <c:pt idx="4">
                    <c:v>Minor Treatment Needed</c:v>
                  </c:pt>
                  <c:pt idx="8">
                    <c:v>Neutered/Spayed</c:v>
                  </c:pt>
                  <c:pt idx="12">
                    <c:v>Recovering</c:v>
                  </c:pt>
                  <c:pt idx="16">
                    <c:v>Vaccinated</c:v>
                  </c:pt>
                </c:lvl>
              </c:multiLvlStrCache>
            </c:multiLvlStrRef>
          </c:cat>
          <c:val>
            <c:numRef>
              <c:f>'Pivot charts and tables'!$B$136:$B$161</c:f>
              <c:numCache>
                <c:formatCode>General</c:formatCode>
                <c:ptCount val="20"/>
                <c:pt idx="0">
                  <c:v>59</c:v>
                </c:pt>
                <c:pt idx="1">
                  <c:v>156</c:v>
                </c:pt>
                <c:pt idx="2">
                  <c:v>286</c:v>
                </c:pt>
                <c:pt idx="3">
                  <c:v>59</c:v>
                </c:pt>
                <c:pt idx="4">
                  <c:v>21</c:v>
                </c:pt>
                <c:pt idx="5">
                  <c:v>48</c:v>
                </c:pt>
                <c:pt idx="6">
                  <c:v>88</c:v>
                </c:pt>
                <c:pt idx="7">
                  <c:v>15</c:v>
                </c:pt>
                <c:pt idx="8">
                  <c:v>18</c:v>
                </c:pt>
                <c:pt idx="9">
                  <c:v>34</c:v>
                </c:pt>
                <c:pt idx="10">
                  <c:v>85</c:v>
                </c:pt>
                <c:pt idx="11">
                  <c:v>19</c:v>
                </c:pt>
                <c:pt idx="12">
                  <c:v>16</c:v>
                </c:pt>
                <c:pt idx="13">
                  <c:v>51</c:v>
                </c:pt>
                <c:pt idx="14">
                  <c:v>82</c:v>
                </c:pt>
                <c:pt idx="15">
                  <c:v>18</c:v>
                </c:pt>
                <c:pt idx="16">
                  <c:v>13</c:v>
                </c:pt>
                <c:pt idx="17">
                  <c:v>41</c:v>
                </c:pt>
                <c:pt idx="18">
                  <c:v>73</c:v>
                </c:pt>
                <c:pt idx="19">
                  <c:v>18</c:v>
                </c:pt>
              </c:numCache>
            </c:numRef>
          </c:val>
          <c:extLst>
            <c:ext xmlns:c16="http://schemas.microsoft.com/office/drawing/2014/chart" uri="{C3380CC4-5D6E-409C-BE32-E72D297353CC}">
              <c16:uniqueId val="{00000000-5729-40D0-A58A-0670DA843F50}"/>
            </c:ext>
          </c:extLst>
        </c:ser>
        <c:dLbls>
          <c:showLegendKey val="0"/>
          <c:showVal val="0"/>
          <c:showCatName val="0"/>
          <c:showSerName val="0"/>
          <c:showPercent val="0"/>
          <c:showBubbleSize val="0"/>
        </c:dLbls>
        <c:gapWidth val="219"/>
        <c:overlap val="-27"/>
        <c:axId val="584348831"/>
        <c:axId val="584351231"/>
      </c:barChart>
      <c:catAx>
        <c:axId val="584348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584351231"/>
        <c:crosses val="autoZero"/>
        <c:auto val="1"/>
        <c:lblAlgn val="ctr"/>
        <c:lblOffset val="100"/>
        <c:noMultiLvlLbl val="0"/>
      </c:catAx>
      <c:valAx>
        <c:axId val="584351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584348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[Muhammad Uzair Roll no 96 AICTL Dashboard Project.xlsx]Pivot charts and 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Methods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charts and tables'!$B$87</c:f>
              <c:strCache>
                <c:ptCount val="1"/>
                <c:pt idx="0">
                  <c:v>Total</c:v>
                </c:pt>
              </c:strCache>
            </c:strRef>
          </c:tx>
          <c:spPr>
            <a:solidFill>
              <a:schemeClr val="accent1"/>
            </a:solidFill>
            <a:ln>
              <a:noFill/>
            </a:ln>
            <a:effectLst/>
          </c:spPr>
          <c:invertIfNegative val="0"/>
          <c:cat>
            <c:multiLvlStrRef>
              <c:f>'Pivot charts and tables'!$A$88:$A$133</c:f>
              <c:multiLvlStrCache>
                <c:ptCount val="40"/>
                <c:lvl>
                  <c:pt idx="0">
                    <c:v>Faisalabad</c:v>
                  </c:pt>
                  <c:pt idx="1">
                    <c:v>Islamabad</c:v>
                  </c:pt>
                  <c:pt idx="2">
                    <c:v>Karachi</c:v>
                  </c:pt>
                  <c:pt idx="3">
                    <c:v>Lahore</c:v>
                  </c:pt>
                  <c:pt idx="4">
                    <c:v>Multan</c:v>
                  </c:pt>
                  <c:pt idx="5">
                    <c:v>Peshawar</c:v>
                  </c:pt>
                  <c:pt idx="6">
                    <c:v>Quetta</c:v>
                  </c:pt>
                  <c:pt idx="7">
                    <c:v>Rawalpindi</c:v>
                  </c:pt>
                  <c:pt idx="8">
                    <c:v>Faisalabad</c:v>
                  </c:pt>
                  <c:pt idx="9">
                    <c:v>Islamabad</c:v>
                  </c:pt>
                  <c:pt idx="10">
                    <c:v>Karachi</c:v>
                  </c:pt>
                  <c:pt idx="11">
                    <c:v>Lahore</c:v>
                  </c:pt>
                  <c:pt idx="12">
                    <c:v>Multan</c:v>
                  </c:pt>
                  <c:pt idx="13">
                    <c:v>Peshawar</c:v>
                  </c:pt>
                  <c:pt idx="14">
                    <c:v>Quetta</c:v>
                  </c:pt>
                  <c:pt idx="15">
                    <c:v>Rawalpindi</c:v>
                  </c:pt>
                  <c:pt idx="16">
                    <c:v>Faisalabad</c:v>
                  </c:pt>
                  <c:pt idx="17">
                    <c:v>Islamabad</c:v>
                  </c:pt>
                  <c:pt idx="18">
                    <c:v>Karachi</c:v>
                  </c:pt>
                  <c:pt idx="19">
                    <c:v>Lahore</c:v>
                  </c:pt>
                  <c:pt idx="20">
                    <c:v>Multan</c:v>
                  </c:pt>
                  <c:pt idx="21">
                    <c:v>Peshawar</c:v>
                  </c:pt>
                  <c:pt idx="22">
                    <c:v>Quetta</c:v>
                  </c:pt>
                  <c:pt idx="23">
                    <c:v>Rawalpindi</c:v>
                  </c:pt>
                  <c:pt idx="24">
                    <c:v>Faisalabad</c:v>
                  </c:pt>
                  <c:pt idx="25">
                    <c:v>Islamabad</c:v>
                  </c:pt>
                  <c:pt idx="26">
                    <c:v>Karachi</c:v>
                  </c:pt>
                  <c:pt idx="27">
                    <c:v>Lahore</c:v>
                  </c:pt>
                  <c:pt idx="28">
                    <c:v>Multan</c:v>
                  </c:pt>
                  <c:pt idx="29">
                    <c:v>Peshawar</c:v>
                  </c:pt>
                  <c:pt idx="30">
                    <c:v>Quetta</c:v>
                  </c:pt>
                  <c:pt idx="31">
                    <c:v>Rawalpindi</c:v>
                  </c:pt>
                  <c:pt idx="32">
                    <c:v>Faisalabad</c:v>
                  </c:pt>
                  <c:pt idx="33">
                    <c:v>Islamabad</c:v>
                  </c:pt>
                  <c:pt idx="34">
                    <c:v>Karachi</c:v>
                  </c:pt>
                  <c:pt idx="35">
                    <c:v>Lahore</c:v>
                  </c:pt>
                  <c:pt idx="36">
                    <c:v>Multan</c:v>
                  </c:pt>
                  <c:pt idx="37">
                    <c:v>Peshawar</c:v>
                  </c:pt>
                  <c:pt idx="38">
                    <c:v>Quetta</c:v>
                  </c:pt>
                  <c:pt idx="39">
                    <c:v>Rawalpindi</c:v>
                  </c:pt>
                </c:lvl>
                <c:lvl>
                  <c:pt idx="0">
                    <c:v>Bank Deposit</c:v>
                  </c:pt>
                  <c:pt idx="8">
                    <c:v>Card</c:v>
                  </c:pt>
                  <c:pt idx="16">
                    <c:v>Cash</c:v>
                  </c:pt>
                  <c:pt idx="24">
                    <c:v>N/A
</c:v>
                  </c:pt>
                  <c:pt idx="32">
                    <c:v>Online Transfer</c:v>
                  </c:pt>
                </c:lvl>
              </c:multiLvlStrCache>
            </c:multiLvlStrRef>
          </c:cat>
          <c:val>
            <c:numRef>
              <c:f>'Pivot charts and tables'!$B$88:$B$133</c:f>
              <c:numCache>
                <c:formatCode>General</c:formatCode>
                <c:ptCount val="40"/>
                <c:pt idx="0">
                  <c:v>11</c:v>
                </c:pt>
                <c:pt idx="1">
                  <c:v>15</c:v>
                </c:pt>
                <c:pt idx="2">
                  <c:v>9</c:v>
                </c:pt>
                <c:pt idx="3">
                  <c:v>14</c:v>
                </c:pt>
                <c:pt idx="4">
                  <c:v>22</c:v>
                </c:pt>
                <c:pt idx="5">
                  <c:v>14</c:v>
                </c:pt>
                <c:pt idx="6">
                  <c:v>17</c:v>
                </c:pt>
                <c:pt idx="7">
                  <c:v>15</c:v>
                </c:pt>
                <c:pt idx="8">
                  <c:v>11</c:v>
                </c:pt>
                <c:pt idx="9">
                  <c:v>10</c:v>
                </c:pt>
                <c:pt idx="10">
                  <c:v>20</c:v>
                </c:pt>
                <c:pt idx="11">
                  <c:v>21</c:v>
                </c:pt>
                <c:pt idx="12">
                  <c:v>10</c:v>
                </c:pt>
                <c:pt idx="13">
                  <c:v>13</c:v>
                </c:pt>
                <c:pt idx="14">
                  <c:v>9</c:v>
                </c:pt>
                <c:pt idx="15">
                  <c:v>9</c:v>
                </c:pt>
                <c:pt idx="16">
                  <c:v>17</c:v>
                </c:pt>
                <c:pt idx="17">
                  <c:v>24</c:v>
                </c:pt>
                <c:pt idx="18">
                  <c:v>11</c:v>
                </c:pt>
                <c:pt idx="19">
                  <c:v>16</c:v>
                </c:pt>
                <c:pt idx="20">
                  <c:v>12</c:v>
                </c:pt>
                <c:pt idx="21">
                  <c:v>17</c:v>
                </c:pt>
                <c:pt idx="22">
                  <c:v>10</c:v>
                </c:pt>
                <c:pt idx="23">
                  <c:v>15</c:v>
                </c:pt>
                <c:pt idx="24">
                  <c:v>88</c:v>
                </c:pt>
                <c:pt idx="25">
                  <c:v>87</c:v>
                </c:pt>
                <c:pt idx="26">
                  <c:v>85</c:v>
                </c:pt>
                <c:pt idx="27">
                  <c:v>95</c:v>
                </c:pt>
                <c:pt idx="28">
                  <c:v>103</c:v>
                </c:pt>
                <c:pt idx="29">
                  <c:v>86</c:v>
                </c:pt>
                <c:pt idx="30">
                  <c:v>107</c:v>
                </c:pt>
                <c:pt idx="31">
                  <c:v>90</c:v>
                </c:pt>
                <c:pt idx="32">
                  <c:v>16</c:v>
                </c:pt>
                <c:pt idx="33">
                  <c:v>18</c:v>
                </c:pt>
                <c:pt idx="34">
                  <c:v>3</c:v>
                </c:pt>
                <c:pt idx="35">
                  <c:v>20</c:v>
                </c:pt>
                <c:pt idx="36">
                  <c:v>17</c:v>
                </c:pt>
                <c:pt idx="37">
                  <c:v>11</c:v>
                </c:pt>
                <c:pt idx="38">
                  <c:v>14</c:v>
                </c:pt>
                <c:pt idx="39">
                  <c:v>18</c:v>
                </c:pt>
              </c:numCache>
            </c:numRef>
          </c:val>
          <c:extLst>
            <c:ext xmlns:c16="http://schemas.microsoft.com/office/drawing/2014/chart" uri="{C3380CC4-5D6E-409C-BE32-E72D297353CC}">
              <c16:uniqueId val="{00000000-D345-4B6F-BED2-D7274A5F7FF6}"/>
            </c:ext>
          </c:extLst>
        </c:ser>
        <c:dLbls>
          <c:showLegendKey val="0"/>
          <c:showVal val="0"/>
          <c:showCatName val="0"/>
          <c:showSerName val="0"/>
          <c:showPercent val="0"/>
          <c:showBubbleSize val="0"/>
        </c:dLbls>
        <c:gapWidth val="182"/>
        <c:axId val="1318924767"/>
        <c:axId val="1318923807"/>
      </c:barChart>
      <c:catAx>
        <c:axId val="1318924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18923807"/>
        <c:crosses val="autoZero"/>
        <c:auto val="1"/>
        <c:lblAlgn val="ctr"/>
        <c:lblOffset val="100"/>
        <c:noMultiLvlLbl val="0"/>
      </c:catAx>
      <c:valAx>
        <c:axId val="13189238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18924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868680</xdr:colOff>
      <xdr:row>0</xdr:row>
      <xdr:rowOff>0</xdr:rowOff>
    </xdr:from>
    <xdr:to>
      <xdr:col>9</xdr:col>
      <xdr:colOff>533400</xdr:colOff>
      <xdr:row>14</xdr:row>
      <xdr:rowOff>0</xdr:rowOff>
    </xdr:to>
    <xdr:graphicFrame macro="">
      <xdr:nvGraphicFramePr>
        <xdr:cNvPr id="2" name="Chart 1">
          <a:extLst>
            <a:ext uri="{FF2B5EF4-FFF2-40B4-BE49-F238E27FC236}">
              <a16:creationId xmlns:a16="http://schemas.microsoft.com/office/drawing/2014/main" id="{20FA3E1E-E2DB-8AEA-FD7B-CDB2EC832E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891540</xdr:colOff>
      <xdr:row>16</xdr:row>
      <xdr:rowOff>140969</xdr:rowOff>
    </xdr:from>
    <xdr:to>
      <xdr:col>10</xdr:col>
      <xdr:colOff>251460</xdr:colOff>
      <xdr:row>66</xdr:row>
      <xdr:rowOff>105507</xdr:rowOff>
    </xdr:to>
    <xdr:graphicFrame macro="">
      <xdr:nvGraphicFramePr>
        <xdr:cNvPr id="3" name="Chart 2">
          <a:extLst>
            <a:ext uri="{FF2B5EF4-FFF2-40B4-BE49-F238E27FC236}">
              <a16:creationId xmlns:a16="http://schemas.microsoft.com/office/drawing/2014/main" id="{7287E113-864B-8A09-21AE-56FF73B7E6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29309</xdr:colOff>
      <xdr:row>86</xdr:row>
      <xdr:rowOff>23444</xdr:rowOff>
    </xdr:from>
    <xdr:to>
      <xdr:col>10</xdr:col>
      <xdr:colOff>334109</xdr:colOff>
      <xdr:row>131</xdr:row>
      <xdr:rowOff>187568</xdr:rowOff>
    </xdr:to>
    <xdr:graphicFrame macro="">
      <xdr:nvGraphicFramePr>
        <xdr:cNvPr id="5" name="Chart 4">
          <a:extLst>
            <a:ext uri="{FF2B5EF4-FFF2-40B4-BE49-F238E27FC236}">
              <a16:creationId xmlns:a16="http://schemas.microsoft.com/office/drawing/2014/main" id="{FA37335B-6384-56B6-1DA7-5630EEECDF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228600</xdr:colOff>
      <xdr:row>161</xdr:row>
      <xdr:rowOff>99646</xdr:rowOff>
    </xdr:from>
    <xdr:to>
      <xdr:col>10</xdr:col>
      <xdr:colOff>351692</xdr:colOff>
      <xdr:row>175</xdr:row>
      <xdr:rowOff>128954</xdr:rowOff>
    </xdr:to>
    <xdr:graphicFrame macro="">
      <xdr:nvGraphicFramePr>
        <xdr:cNvPr id="8" name="Chart 7">
          <a:extLst>
            <a:ext uri="{FF2B5EF4-FFF2-40B4-BE49-F238E27FC236}">
              <a16:creationId xmlns:a16="http://schemas.microsoft.com/office/drawing/2014/main" id="{D57C6CF8-218A-BAB4-9892-9AE175ABE8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129396</xdr:colOff>
      <xdr:row>68</xdr:row>
      <xdr:rowOff>145211</xdr:rowOff>
    </xdr:from>
    <xdr:to>
      <xdr:col>8</xdr:col>
      <xdr:colOff>230038</xdr:colOff>
      <xdr:row>83</xdr:row>
      <xdr:rowOff>84826</xdr:rowOff>
    </xdr:to>
    <xdr:graphicFrame macro="">
      <xdr:nvGraphicFramePr>
        <xdr:cNvPr id="10" name="Chart 9">
          <a:extLst>
            <a:ext uri="{FF2B5EF4-FFF2-40B4-BE49-F238E27FC236}">
              <a16:creationId xmlns:a16="http://schemas.microsoft.com/office/drawing/2014/main" id="{53560C13-3DB0-2A76-934B-A674EC8C70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1897811</xdr:colOff>
      <xdr:row>135</xdr:row>
      <xdr:rowOff>1439</xdr:rowOff>
    </xdr:from>
    <xdr:to>
      <xdr:col>10</xdr:col>
      <xdr:colOff>71886</xdr:colOff>
      <xdr:row>156</xdr:row>
      <xdr:rowOff>129396</xdr:rowOff>
    </xdr:to>
    <xdr:graphicFrame macro="">
      <xdr:nvGraphicFramePr>
        <xdr:cNvPr id="13" name="Chart 12">
          <a:extLst>
            <a:ext uri="{FF2B5EF4-FFF2-40B4-BE49-F238E27FC236}">
              <a16:creationId xmlns:a16="http://schemas.microsoft.com/office/drawing/2014/main" id="{805329CD-B168-ED67-549A-DD48286E36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14</xdr:col>
      <xdr:colOff>84713</xdr:colOff>
      <xdr:row>12</xdr:row>
      <xdr:rowOff>168984</xdr:rowOff>
    </xdr:from>
    <xdr:to>
      <xdr:col>23</xdr:col>
      <xdr:colOff>60298</xdr:colOff>
      <xdr:row>27</xdr:row>
      <xdr:rowOff>111446</xdr:rowOff>
    </xdr:to>
    <xdr:graphicFrame macro="">
      <xdr:nvGraphicFramePr>
        <xdr:cNvPr id="2" name="Chart 1">
          <a:extLst>
            <a:ext uri="{FF2B5EF4-FFF2-40B4-BE49-F238E27FC236}">
              <a16:creationId xmlns:a16="http://schemas.microsoft.com/office/drawing/2014/main" id="{778B0F60-13FA-4F07-A2AB-CE7959AB77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222235</xdr:colOff>
      <xdr:row>12</xdr:row>
      <xdr:rowOff>174054</xdr:rowOff>
    </xdr:from>
    <xdr:to>
      <xdr:col>3</xdr:col>
      <xdr:colOff>222235</xdr:colOff>
      <xdr:row>26</xdr:row>
      <xdr:rowOff>76211</xdr:rowOff>
    </xdr:to>
    <mc:AlternateContent xmlns:mc="http://schemas.openxmlformats.org/markup-compatibility/2006">
      <mc:Choice xmlns:a14="http://schemas.microsoft.com/office/drawing/2010/main" Requires="a14">
        <xdr:graphicFrame macro="">
          <xdr:nvGraphicFramePr>
            <xdr:cNvPr id="3" name="City">
              <a:extLst>
                <a:ext uri="{FF2B5EF4-FFF2-40B4-BE49-F238E27FC236}">
                  <a16:creationId xmlns:a16="http://schemas.microsoft.com/office/drawing/2014/main" id="{B0EB46AC-6232-900C-2228-F19C56AAE2A6}"/>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222235" y="2335363"/>
              <a:ext cx="1828800" cy="2423684"/>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74951</xdr:colOff>
      <xdr:row>27</xdr:row>
      <xdr:rowOff>98771</xdr:rowOff>
    </xdr:from>
    <xdr:to>
      <xdr:col>23</xdr:col>
      <xdr:colOff>44228</xdr:colOff>
      <xdr:row>52</xdr:row>
      <xdr:rowOff>112426</xdr:rowOff>
    </xdr:to>
    <xdr:graphicFrame macro="">
      <xdr:nvGraphicFramePr>
        <xdr:cNvPr id="4" name="Chart 3">
          <a:extLst>
            <a:ext uri="{FF2B5EF4-FFF2-40B4-BE49-F238E27FC236}">
              <a16:creationId xmlns:a16="http://schemas.microsoft.com/office/drawing/2014/main" id="{777D6CAD-414E-4D66-9916-57C7DDE689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201826</xdr:colOff>
      <xdr:row>43</xdr:row>
      <xdr:rowOff>115705</xdr:rowOff>
    </xdr:from>
    <xdr:to>
      <xdr:col>3</xdr:col>
      <xdr:colOff>183848</xdr:colOff>
      <xdr:row>52</xdr:row>
      <xdr:rowOff>124918</xdr:rowOff>
    </xdr:to>
    <mc:AlternateContent xmlns:mc="http://schemas.openxmlformats.org/markup-compatibility/2006">
      <mc:Choice xmlns:a14="http://schemas.microsoft.com/office/drawing/2010/main" Requires="a14">
        <xdr:graphicFrame macro="">
          <xdr:nvGraphicFramePr>
            <xdr:cNvPr id="5" name="Species">
              <a:extLst>
                <a:ext uri="{FF2B5EF4-FFF2-40B4-BE49-F238E27FC236}">
                  <a16:creationId xmlns:a16="http://schemas.microsoft.com/office/drawing/2014/main" id="{CA3EC1AC-666B-BB6D-FA5E-F900EA0D2A45}"/>
                </a:ext>
              </a:extLst>
            </xdr:cNvPr>
            <xdr:cNvGraphicFramePr/>
          </xdr:nvGraphicFramePr>
          <xdr:xfrm>
            <a:off x="0" y="0"/>
            <a:ext cx="0" cy="0"/>
          </xdr:xfrm>
          <a:graphic>
            <a:graphicData uri="http://schemas.microsoft.com/office/drawing/2010/slicer">
              <sle:slicer xmlns:sle="http://schemas.microsoft.com/office/drawing/2010/slicer" name="Species"/>
            </a:graphicData>
          </a:graphic>
        </xdr:graphicFrame>
      </mc:Choice>
      <mc:Fallback>
        <xdr:sp macro="" textlink="">
          <xdr:nvSpPr>
            <xdr:cNvPr id="0" name=""/>
            <xdr:cNvSpPr>
              <a:spLocks noTextEdit="1"/>
            </xdr:cNvSpPr>
          </xdr:nvSpPr>
          <xdr:spPr>
            <a:xfrm>
              <a:off x="201826" y="7860396"/>
              <a:ext cx="1810822" cy="163019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218369</xdr:colOff>
      <xdr:row>26</xdr:row>
      <xdr:rowOff>66892</xdr:rowOff>
    </xdr:from>
    <xdr:to>
      <xdr:col>3</xdr:col>
      <xdr:colOff>200391</xdr:colOff>
      <xdr:row>43</xdr:row>
      <xdr:rowOff>99935</xdr:rowOff>
    </xdr:to>
    <mc:AlternateContent xmlns:mc="http://schemas.openxmlformats.org/markup-compatibility/2006">
      <mc:Choice xmlns:a14="http://schemas.microsoft.com/office/drawing/2010/main" Requires="a14">
        <xdr:graphicFrame macro="">
          <xdr:nvGraphicFramePr>
            <xdr:cNvPr id="6" name="Color">
              <a:extLst>
                <a:ext uri="{FF2B5EF4-FFF2-40B4-BE49-F238E27FC236}">
                  <a16:creationId xmlns:a16="http://schemas.microsoft.com/office/drawing/2014/main" id="{E3383C8A-E0DD-4DC6-E136-888B4F370366}"/>
                </a:ext>
              </a:extLst>
            </xdr:cNvPr>
            <xdr:cNvGraphicFramePr/>
          </xdr:nvGraphicFramePr>
          <xdr:xfrm>
            <a:off x="0" y="0"/>
            <a:ext cx="0" cy="0"/>
          </xdr:xfrm>
          <a:graphic>
            <a:graphicData uri="http://schemas.microsoft.com/office/drawing/2010/slicer">
              <sle:slicer xmlns:sle="http://schemas.microsoft.com/office/drawing/2010/slicer" name="Color"/>
            </a:graphicData>
          </a:graphic>
        </xdr:graphicFrame>
      </mc:Choice>
      <mc:Fallback>
        <xdr:sp macro="" textlink="">
          <xdr:nvSpPr>
            <xdr:cNvPr id="0" name=""/>
            <xdr:cNvSpPr>
              <a:spLocks noTextEdit="1"/>
            </xdr:cNvSpPr>
          </xdr:nvSpPr>
          <xdr:spPr>
            <a:xfrm>
              <a:off x="218369" y="4749728"/>
              <a:ext cx="1810822" cy="3094898"/>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180449</xdr:colOff>
      <xdr:row>12</xdr:row>
      <xdr:rowOff>163161</xdr:rowOff>
    </xdr:from>
    <xdr:to>
      <xdr:col>14</xdr:col>
      <xdr:colOff>74151</xdr:colOff>
      <xdr:row>27</xdr:row>
      <xdr:rowOff>114674</xdr:rowOff>
    </xdr:to>
    <xdr:graphicFrame macro="">
      <xdr:nvGraphicFramePr>
        <xdr:cNvPr id="11" name="Chart 10">
          <a:extLst>
            <a:ext uri="{FF2B5EF4-FFF2-40B4-BE49-F238E27FC236}">
              <a16:creationId xmlns:a16="http://schemas.microsoft.com/office/drawing/2014/main" id="{6B2402E4-86D7-4920-B2EE-B5D5A64A47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197674</xdr:colOff>
      <xdr:row>12</xdr:row>
      <xdr:rowOff>152879</xdr:rowOff>
    </xdr:from>
    <xdr:to>
      <xdr:col>6</xdr:col>
      <xdr:colOff>186522</xdr:colOff>
      <xdr:row>26</xdr:row>
      <xdr:rowOff>32838</xdr:rowOff>
    </xdr:to>
    <mc:AlternateContent xmlns:mc="http://schemas.openxmlformats.org/markup-compatibility/2006">
      <mc:Choice xmlns:a14="http://schemas.microsoft.com/office/drawing/2010/main" Requires="a14">
        <xdr:graphicFrame macro="">
          <xdr:nvGraphicFramePr>
            <xdr:cNvPr id="12" name="Adopter_Type">
              <a:extLst>
                <a:ext uri="{FF2B5EF4-FFF2-40B4-BE49-F238E27FC236}">
                  <a16:creationId xmlns:a16="http://schemas.microsoft.com/office/drawing/2014/main" id="{441E6677-7A7C-98EB-ABDF-CD8792AA3A4E}"/>
                </a:ext>
              </a:extLst>
            </xdr:cNvPr>
            <xdr:cNvGraphicFramePr/>
          </xdr:nvGraphicFramePr>
          <xdr:xfrm>
            <a:off x="0" y="0"/>
            <a:ext cx="0" cy="0"/>
          </xdr:xfrm>
          <a:graphic>
            <a:graphicData uri="http://schemas.microsoft.com/office/drawing/2010/slicer">
              <sle:slicer xmlns:sle="http://schemas.microsoft.com/office/drawing/2010/slicer" name="Adopter_Type"/>
            </a:graphicData>
          </a:graphic>
        </xdr:graphicFrame>
      </mc:Choice>
      <mc:Fallback>
        <xdr:sp macro="" textlink="">
          <xdr:nvSpPr>
            <xdr:cNvPr id="0" name=""/>
            <xdr:cNvSpPr>
              <a:spLocks noTextEdit="1"/>
            </xdr:cNvSpPr>
          </xdr:nvSpPr>
          <xdr:spPr>
            <a:xfrm>
              <a:off x="2026474" y="2314188"/>
              <a:ext cx="1817648" cy="2401486"/>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110720</xdr:colOff>
      <xdr:row>27</xdr:row>
      <xdr:rowOff>155129</xdr:rowOff>
    </xdr:from>
    <xdr:to>
      <xdr:col>14</xdr:col>
      <xdr:colOff>74951</xdr:colOff>
      <xdr:row>52</xdr:row>
      <xdr:rowOff>99934</xdr:rowOff>
    </xdr:to>
    <xdr:graphicFrame macro="">
      <xdr:nvGraphicFramePr>
        <xdr:cNvPr id="16" name="Chart 15">
          <a:extLst>
            <a:ext uri="{FF2B5EF4-FFF2-40B4-BE49-F238E27FC236}">
              <a16:creationId xmlns:a16="http://schemas.microsoft.com/office/drawing/2014/main" id="{BAF4A328-5924-4120-833A-2C9672E7FF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177021</xdr:colOff>
      <xdr:row>26</xdr:row>
      <xdr:rowOff>941</xdr:rowOff>
    </xdr:from>
    <xdr:to>
      <xdr:col>6</xdr:col>
      <xdr:colOff>169525</xdr:colOff>
      <xdr:row>34</xdr:row>
      <xdr:rowOff>31838</xdr:rowOff>
    </xdr:to>
    <mc:AlternateContent xmlns:mc="http://schemas.openxmlformats.org/markup-compatibility/2006">
      <mc:Choice xmlns:a14="http://schemas.microsoft.com/office/drawing/2010/main" Requires="a14">
        <xdr:graphicFrame macro="">
          <xdr:nvGraphicFramePr>
            <xdr:cNvPr id="17" name="Species 1">
              <a:extLst>
                <a:ext uri="{FF2B5EF4-FFF2-40B4-BE49-F238E27FC236}">
                  <a16:creationId xmlns:a16="http://schemas.microsoft.com/office/drawing/2014/main" id="{0EC5F726-D686-C3E1-AE4C-814B9304E33B}"/>
                </a:ext>
              </a:extLst>
            </xdr:cNvPr>
            <xdr:cNvGraphicFramePr/>
          </xdr:nvGraphicFramePr>
          <xdr:xfrm>
            <a:off x="0" y="0"/>
            <a:ext cx="0" cy="0"/>
          </xdr:xfrm>
          <a:graphic>
            <a:graphicData uri="http://schemas.microsoft.com/office/drawing/2010/slicer">
              <sle:slicer xmlns:sle="http://schemas.microsoft.com/office/drawing/2010/slicer" name="Species 1"/>
            </a:graphicData>
          </a:graphic>
        </xdr:graphicFrame>
      </mc:Choice>
      <mc:Fallback>
        <xdr:sp macro="" textlink="">
          <xdr:nvSpPr>
            <xdr:cNvPr id="0" name=""/>
            <xdr:cNvSpPr>
              <a:spLocks noTextEdit="1"/>
            </xdr:cNvSpPr>
          </xdr:nvSpPr>
          <xdr:spPr>
            <a:xfrm>
              <a:off x="2005821" y="4683777"/>
              <a:ext cx="1821304" cy="147177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190005</xdr:colOff>
      <xdr:row>34</xdr:row>
      <xdr:rowOff>32325</xdr:rowOff>
    </xdr:from>
    <xdr:to>
      <xdr:col>6</xdr:col>
      <xdr:colOff>182509</xdr:colOff>
      <xdr:row>43</xdr:row>
      <xdr:rowOff>92496</xdr:rowOff>
    </xdr:to>
    <mc:AlternateContent xmlns:mc="http://schemas.openxmlformats.org/markup-compatibility/2006">
      <mc:Choice xmlns:a14="http://schemas.microsoft.com/office/drawing/2010/main" Requires="a14">
        <xdr:graphicFrame macro="">
          <xdr:nvGraphicFramePr>
            <xdr:cNvPr id="18" name="Health_Status">
              <a:extLst>
                <a:ext uri="{FF2B5EF4-FFF2-40B4-BE49-F238E27FC236}">
                  <a16:creationId xmlns:a16="http://schemas.microsoft.com/office/drawing/2014/main" id="{08664304-6743-EFD6-D5AD-2973369467BA}"/>
                </a:ext>
              </a:extLst>
            </xdr:cNvPr>
            <xdr:cNvGraphicFramePr/>
          </xdr:nvGraphicFramePr>
          <xdr:xfrm>
            <a:off x="0" y="0"/>
            <a:ext cx="0" cy="0"/>
          </xdr:xfrm>
          <a:graphic>
            <a:graphicData uri="http://schemas.microsoft.com/office/drawing/2010/slicer">
              <sle:slicer xmlns:sle="http://schemas.microsoft.com/office/drawing/2010/slicer" name="Health_Status"/>
            </a:graphicData>
          </a:graphic>
        </xdr:graphicFrame>
      </mc:Choice>
      <mc:Fallback>
        <xdr:sp macro="" textlink="">
          <xdr:nvSpPr>
            <xdr:cNvPr id="0" name=""/>
            <xdr:cNvSpPr>
              <a:spLocks noTextEdit="1"/>
            </xdr:cNvSpPr>
          </xdr:nvSpPr>
          <xdr:spPr>
            <a:xfrm>
              <a:off x="2018805" y="6156034"/>
              <a:ext cx="1821304" cy="1681153"/>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60298</xdr:colOff>
      <xdr:row>12</xdr:row>
      <xdr:rowOff>155128</xdr:rowOff>
    </xdr:from>
    <xdr:to>
      <xdr:col>34</xdr:col>
      <xdr:colOff>349771</xdr:colOff>
      <xdr:row>52</xdr:row>
      <xdr:rowOff>112425</xdr:rowOff>
    </xdr:to>
    <xdr:graphicFrame macro="">
      <xdr:nvGraphicFramePr>
        <xdr:cNvPr id="19" name="Chart 18">
          <a:extLst>
            <a:ext uri="{FF2B5EF4-FFF2-40B4-BE49-F238E27FC236}">
              <a16:creationId xmlns:a16="http://schemas.microsoft.com/office/drawing/2014/main" id="{68E400BE-BDD7-489D-BA5B-94B5B4FA8A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199181</xdr:colOff>
      <xdr:row>43</xdr:row>
      <xdr:rowOff>122996</xdr:rowOff>
    </xdr:from>
    <xdr:to>
      <xdr:col>6</xdr:col>
      <xdr:colOff>181596</xdr:colOff>
      <xdr:row>53</xdr:row>
      <xdr:rowOff>106327</xdr:rowOff>
    </xdr:to>
    <mc:AlternateContent xmlns:mc="http://schemas.openxmlformats.org/markup-compatibility/2006">
      <mc:Choice xmlns:a14="http://schemas.microsoft.com/office/drawing/2010/main" Requires="a14">
        <xdr:graphicFrame macro="">
          <xdr:nvGraphicFramePr>
            <xdr:cNvPr id="20" name="Payment_Method">
              <a:extLst>
                <a:ext uri="{FF2B5EF4-FFF2-40B4-BE49-F238E27FC236}">
                  <a16:creationId xmlns:a16="http://schemas.microsoft.com/office/drawing/2014/main" id="{A2ADEAA0-2C23-884A-B508-ED023C04B338}"/>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2027981" y="7867687"/>
              <a:ext cx="1811215" cy="1784422"/>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na Uzair" refreshedDate="46156.151544907407" createdVersion="8" refreshedVersion="8" minRefreshableVersion="3" recordCount="1200" xr:uid="{BE31B804-F217-460B-9D25-D8767BDF4987}">
  <cacheSource type="worksheet">
    <worksheetSource name="mydata"/>
  </cacheSource>
  <cacheFields count="26">
    <cacheField name="Animal_ID" numFmtId="0">
      <sharedItems/>
    </cacheField>
    <cacheField name="Shelter_Name" numFmtId="0">
      <sharedItems/>
    </cacheField>
    <cacheField name="City" numFmtId="0">
      <sharedItems count="8">
        <s v="Lahore"/>
        <s v="Faisalabad"/>
        <s v="Multan"/>
        <s v="Islamabad"/>
        <s v="Peshawar"/>
        <s v="Rawalpindi"/>
        <s v="Karachi"/>
        <s v="Quetta"/>
      </sharedItems>
    </cacheField>
    <cacheField name="Species" numFmtId="0">
      <sharedItems count="4">
        <s v="Cat"/>
        <s v="Dog"/>
        <s v="Bird"/>
        <s v="Rabbit"/>
      </sharedItems>
    </cacheField>
    <cacheField name="Breed" numFmtId="0">
      <sharedItems/>
    </cacheField>
    <cacheField name="Color" numFmtId="0">
      <sharedItems count="10">
        <s v="Spotted"/>
        <s v="Black &amp; White"/>
        <s v="Tan"/>
        <s v="Brown"/>
        <s v="White"/>
        <s v="Cream"/>
        <s v="Golden"/>
        <s v="Orange"/>
        <s v="Gray"/>
        <s v="Black"/>
      </sharedItems>
    </cacheField>
    <cacheField name="Gender" numFmtId="0">
      <sharedItems/>
    </cacheField>
    <cacheField name="Age_Years" numFmtId="0">
      <sharedItems containsSemiMixedTypes="0" containsString="0" containsNumber="1" minValue="0.1" maxValue="12"/>
    </cacheField>
    <cacheField name="Weight_KG" numFmtId="0">
      <sharedItems containsSemiMixedTypes="0" containsString="0" containsNumber="1" minValue="0.5" maxValue="35"/>
    </cacheField>
    <cacheField name="Health_Status" numFmtId="0">
      <sharedItems count="5">
        <s v="Healthy"/>
        <s v="Vaccinated"/>
        <s v="Recovering"/>
        <s v="Minor Treatment Needed"/>
        <s v="Neutered/Spayed"/>
      </sharedItems>
    </cacheField>
    <cacheField name="Intake_Date" numFmtId="0">
      <sharedItems/>
    </cacheField>
    <cacheField name="Intake_Reason" numFmtId="0">
      <sharedItems/>
    </cacheField>
    <cacheField name="Outcome_Date" numFmtId="0">
      <sharedItems/>
    </cacheField>
    <cacheField name="Outcome_Type" numFmtId="0">
      <sharedItems/>
    </cacheField>
    <cacheField name="Days_In_Shelter" numFmtId="0">
      <sharedItems containsSemiMixedTypes="0" containsString="0" containsNumber="1" containsInteger="1" minValue="1" maxValue="180"/>
    </cacheField>
    <cacheField name="Adopter_Type" numFmtId="0">
      <sharedItems count="6">
        <s v="N/A_x000a_"/>
        <s v="Senior"/>
        <s v="Family"/>
        <s v="Couple"/>
        <s v="Single Adult"/>
        <s v="Individual"/>
      </sharedItems>
    </cacheField>
    <cacheField name="Adoption_Fee_PKR" numFmtId="0">
      <sharedItems containsSemiMixedTypes="0" containsString="0" containsNumber="1" containsInteger="1" minValue="0" maxValue="7981"/>
    </cacheField>
    <cacheField name="Donation_Amount_PKR" numFmtId="0">
      <sharedItems containsSemiMixedTypes="0" containsString="0" containsNumber="1" containsInteger="1" minValue="0" maxValue="5000"/>
    </cacheField>
    <cacheField name="Payment_Method" numFmtId="0">
      <sharedItems count="5">
        <s v="N/A_x000a_"/>
        <s v="Cash"/>
        <s v="Bank Deposit"/>
        <s v="Card"/>
        <s v="Online Transfer"/>
      </sharedItems>
    </cacheField>
    <cacheField name="Source_of_Inquiry" numFmtId="0">
      <sharedItems/>
    </cacheField>
    <cacheField name="Vaccinated" numFmtId="0">
      <sharedItems/>
    </cacheField>
    <cacheField name="Neutered_Spayed" numFmtId="0">
      <sharedItems/>
    </cacheField>
    <cacheField name="Microchipped" numFmtId="0">
      <sharedItems/>
    </cacheField>
    <cacheField name="Year" numFmtId="0">
      <sharedItems containsSemiMixedTypes="0" containsString="0" containsNumber="1" containsInteger="1" minValue="2022" maxValue="2024"/>
    </cacheField>
    <cacheField name="Month" numFmtId="0">
      <sharedItems/>
    </cacheField>
    <cacheField name="Quarter" numFmtId="0">
      <sharedItems/>
    </cacheField>
  </cacheFields>
  <extLst>
    <ext xmlns:x14="http://schemas.microsoft.com/office/spreadsheetml/2009/9/main" uri="{725AE2AE-9491-48be-B2B4-4EB974FC3084}">
      <x14:pivotCacheDefinition pivotCacheId="10712875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A0001"/>
    <s v="Paws &amp; Claws Rescue"/>
    <x v="0"/>
    <x v="0"/>
    <s v="Persian"/>
    <x v="0"/>
    <s v="Female"/>
    <n v="8.9"/>
    <n v="23.8"/>
    <x v="0"/>
    <s v="2023-07-18"/>
    <s v="Stray"/>
    <s v="2023-09-19"/>
    <s v="Returned to Owner"/>
    <n v="63"/>
    <x v="0"/>
    <n v="0"/>
    <n v="0"/>
    <x v="0"/>
    <s v="Walk-in"/>
    <s v="Yes"/>
    <s v="Yes"/>
    <s v="Yes"/>
    <n v="2023"/>
    <s v="July"/>
    <s v="Q3"/>
  </r>
  <r>
    <s v="A0002"/>
    <s v="Second Chance Rescue"/>
    <x v="1"/>
    <x v="0"/>
    <s v="Siamese"/>
    <x v="1"/>
    <s v="Female"/>
    <n v="9.6999999999999993"/>
    <n v="0.7"/>
    <x v="0"/>
    <s v="2024-05-09"/>
    <s v="Owner Surrender"/>
    <s v="2024-07-05"/>
    <s v="Fostered"/>
    <n v="57"/>
    <x v="0"/>
    <n v="0"/>
    <n v="500"/>
    <x v="0"/>
    <s v="Social Media"/>
    <s v="Yes"/>
    <s v="Yes"/>
    <s v="No"/>
    <n v="2024"/>
    <s v="May"/>
    <s v="Q2"/>
  </r>
  <r>
    <s v="A0003"/>
    <s v="Paws &amp; Claws Rescue"/>
    <x v="0"/>
    <x v="0"/>
    <s v="Bengal"/>
    <x v="2"/>
    <s v="Male"/>
    <n v="9.6999999999999993"/>
    <n v="25.7"/>
    <x v="1"/>
    <s v="2023-12-06"/>
    <s v="Abandoned"/>
    <s v="2024-05-09"/>
    <s v="Transferred"/>
    <n v="155"/>
    <x v="0"/>
    <n v="0"/>
    <n v="0"/>
    <x v="0"/>
    <s v="Event"/>
    <s v="Yes"/>
    <s v="No"/>
    <s v="No"/>
    <n v="2023"/>
    <s v="December"/>
    <s v="Q4"/>
  </r>
  <r>
    <s v="A0004"/>
    <s v="Hope Animal Shelter"/>
    <x v="2"/>
    <x v="0"/>
    <s v="Persian"/>
    <x v="3"/>
    <s v="Female"/>
    <n v="1.3"/>
    <n v="10.1"/>
    <x v="0"/>
    <s v="2023-04-12"/>
    <s v="Owner Surrender"/>
    <s v="2023-06-26"/>
    <s v="Adopted"/>
    <n v="75"/>
    <x v="1"/>
    <n v="2453"/>
    <n v="5000"/>
    <x v="1"/>
    <s v="Event"/>
    <s v="Yes"/>
    <s v="No"/>
    <s v="No"/>
    <n v="2023"/>
    <s v="April"/>
    <s v="Q2"/>
  </r>
  <r>
    <s v="A0005"/>
    <s v="Second Chance Rescue"/>
    <x v="3"/>
    <x v="1"/>
    <s v="Husky"/>
    <x v="1"/>
    <s v="Female"/>
    <n v="10.1"/>
    <n v="27.3"/>
    <x v="0"/>
    <s v="2024-02-17"/>
    <s v="Stray"/>
    <s v="2024-04-27"/>
    <s v="Returned to Owner"/>
    <n v="70"/>
    <x v="0"/>
    <n v="0"/>
    <n v="500"/>
    <x v="0"/>
    <s v="Website"/>
    <s v="Yes"/>
    <s v="Yes"/>
    <s v="No"/>
    <n v="2024"/>
    <s v="February"/>
    <s v="Q1"/>
  </r>
  <r>
    <s v="A0006"/>
    <s v="Paws &amp; Claws Rescue"/>
    <x v="1"/>
    <x v="2"/>
    <s v="Lovebird"/>
    <x v="0"/>
    <s v="Female"/>
    <n v="6.8"/>
    <n v="9.6"/>
    <x v="0"/>
    <s v="2022-10-20"/>
    <s v="Owner Surrender"/>
    <s v="2022-12-27"/>
    <s v="Adopted"/>
    <n v="68"/>
    <x v="2"/>
    <n v="1510"/>
    <n v="2000"/>
    <x v="2"/>
    <s v="Walk-in"/>
    <s v="Yes"/>
    <s v="Yes"/>
    <s v="No"/>
    <n v="2022"/>
    <s v="October"/>
    <s v="Q4"/>
  </r>
  <r>
    <s v="A0007"/>
    <s v="City Animal Shelter"/>
    <x v="3"/>
    <x v="1"/>
    <s v="Mixed Breed"/>
    <x v="4"/>
    <s v="Female"/>
    <n v="7.2"/>
    <n v="16.600000000000001"/>
    <x v="2"/>
    <s v="2022-05-11"/>
    <s v="Confiscated"/>
    <s v="2022-08-18"/>
    <s v="Still in Shelter"/>
    <n v="99"/>
    <x v="0"/>
    <n v="0"/>
    <n v="0"/>
    <x v="0"/>
    <s v="Social Media"/>
    <s v="Yes"/>
    <s v="No"/>
    <s v="No"/>
    <n v="2022"/>
    <s v="May"/>
    <s v="Q2"/>
  </r>
  <r>
    <s v="A0008"/>
    <s v="Hope Animal Shelter"/>
    <x v="4"/>
    <x v="1"/>
    <s v="Husky"/>
    <x v="3"/>
    <s v="Female"/>
    <n v="10.5"/>
    <n v="10.8"/>
    <x v="2"/>
    <s v="2022-01-07"/>
    <s v="Owner Surrender"/>
    <s v="2022-03-16"/>
    <s v="Adopted"/>
    <n v="68"/>
    <x v="3"/>
    <n v="7158"/>
    <n v="0"/>
    <x v="1"/>
    <s v="Event"/>
    <s v="Yes"/>
    <s v="No"/>
    <s v="Yes"/>
    <n v="2022"/>
    <s v="January"/>
    <s v="Q1"/>
  </r>
  <r>
    <s v="A0009"/>
    <s v="Furever Home"/>
    <x v="0"/>
    <x v="0"/>
    <s v="Bengal"/>
    <x v="5"/>
    <s v="Male"/>
    <n v="11.4"/>
    <n v="3.5"/>
    <x v="0"/>
    <s v="2023-09-22"/>
    <s v="Confiscated"/>
    <s v="2023-11-23"/>
    <s v="Adopted"/>
    <n v="62"/>
    <x v="4"/>
    <n v="2486"/>
    <n v="1000"/>
    <x v="3"/>
    <s v="Social Media"/>
    <s v="No"/>
    <s v="Yes"/>
    <s v="No"/>
    <n v="2023"/>
    <s v="September"/>
    <s v="Q3"/>
  </r>
  <r>
    <s v="A0010"/>
    <s v="Happy Paws Shelter"/>
    <x v="4"/>
    <x v="0"/>
    <s v="Domestic Shorthair"/>
    <x v="0"/>
    <s v="Male"/>
    <n v="3.1"/>
    <n v="2.7"/>
    <x v="0"/>
    <s v="2024-02-04"/>
    <s v="Stray"/>
    <s v="2024-05-27"/>
    <s v="Fostered"/>
    <n v="113"/>
    <x v="0"/>
    <n v="0"/>
    <n v="0"/>
    <x v="0"/>
    <s v="Walk-in"/>
    <s v="Yes"/>
    <s v="Yes"/>
    <s v="Yes"/>
    <n v="2024"/>
    <s v="February"/>
    <s v="Q1"/>
  </r>
  <r>
    <s v="A0011"/>
    <s v="Second Chance Rescue"/>
    <x v="5"/>
    <x v="3"/>
    <s v="Holland Lop"/>
    <x v="6"/>
    <s v="Female"/>
    <n v="8.1"/>
    <n v="7.9"/>
    <x v="2"/>
    <s v="2024-11-18"/>
    <s v="Transfer from Another Shelter"/>
    <s v="2024-12-31"/>
    <s v="Transferred"/>
    <n v="61"/>
    <x v="0"/>
    <n v="0"/>
    <n v="0"/>
    <x v="0"/>
    <s v="Website"/>
    <s v="Yes"/>
    <s v="Yes"/>
    <s v="No"/>
    <n v="2024"/>
    <s v="November"/>
    <s v="Q4"/>
  </r>
  <r>
    <s v="A0012"/>
    <s v="Happy Paws Shelter"/>
    <x v="4"/>
    <x v="3"/>
    <s v="Dutch"/>
    <x v="6"/>
    <s v="Male"/>
    <n v="4.9000000000000004"/>
    <n v="12.2"/>
    <x v="1"/>
    <s v="2024-04-21"/>
    <s v="Transfer from Another Shelter"/>
    <s v="2024-08-19"/>
    <s v="Adopted"/>
    <n v="120"/>
    <x v="2"/>
    <n v="903"/>
    <n v="0"/>
    <x v="2"/>
    <s v="Website"/>
    <s v="Yes"/>
    <s v="No"/>
    <s v="No"/>
    <n v="2024"/>
    <s v="April"/>
    <s v="Q2"/>
  </r>
  <r>
    <s v="A0013"/>
    <s v="Furever Home"/>
    <x v="5"/>
    <x v="0"/>
    <s v="Domestic Shorthair"/>
    <x v="6"/>
    <s v="Female"/>
    <n v="10.199999999999999"/>
    <n v="6.2"/>
    <x v="0"/>
    <s v="2022-07-20"/>
    <s v="Owner Surrender"/>
    <s v="2022-08-02"/>
    <s v="Adopted"/>
    <n v="13"/>
    <x v="4"/>
    <n v="1882"/>
    <n v="5000"/>
    <x v="1"/>
    <s v="Referral"/>
    <s v="Yes"/>
    <s v="No"/>
    <s v="No"/>
    <n v="2022"/>
    <s v="July"/>
    <s v="Q3"/>
  </r>
  <r>
    <s v="A0014"/>
    <s v="Hope Animal Shelter"/>
    <x v="3"/>
    <x v="2"/>
    <s v="Finch"/>
    <x v="1"/>
    <s v="Male"/>
    <n v="2.7"/>
    <n v="2.5"/>
    <x v="0"/>
    <s v="2024-09-23"/>
    <s v="Born in Shelter"/>
    <s v="2024-11-02"/>
    <s v="Returned to Owner"/>
    <n v="40"/>
    <x v="0"/>
    <n v="0"/>
    <n v="500"/>
    <x v="0"/>
    <s v="Referral"/>
    <s v="Yes"/>
    <s v="Yes"/>
    <s v="Yes"/>
    <n v="2024"/>
    <s v="September"/>
    <s v="Q3"/>
  </r>
  <r>
    <s v="A0015"/>
    <s v="Second Chance Rescue"/>
    <x v="3"/>
    <x v="1"/>
    <s v="German Shepherd"/>
    <x v="0"/>
    <s v="Male"/>
    <n v="1.5"/>
    <n v="31.2"/>
    <x v="3"/>
    <s v="2022-05-20"/>
    <s v="Confiscated"/>
    <s v="2022-11-09"/>
    <s v="Returned to Owner"/>
    <n v="173"/>
    <x v="0"/>
    <n v="0"/>
    <n v="1000"/>
    <x v="0"/>
    <s v="Event"/>
    <s v="Yes"/>
    <s v="No"/>
    <s v="No"/>
    <n v="2022"/>
    <s v="May"/>
    <s v="Q2"/>
  </r>
  <r>
    <s v="A0016"/>
    <s v="Happy Paws Shelter"/>
    <x v="3"/>
    <x v="3"/>
    <s v="Mini Rex"/>
    <x v="7"/>
    <s v="Male"/>
    <n v="3.9"/>
    <n v="26.4"/>
    <x v="0"/>
    <s v="2023-06-28"/>
    <s v="Born in Shelter"/>
    <s v="2023-10-08"/>
    <s v="Adopted"/>
    <n v="102"/>
    <x v="2"/>
    <n v="1728"/>
    <n v="500"/>
    <x v="4"/>
    <s v="Website"/>
    <s v="Yes"/>
    <s v="Yes"/>
    <s v="No"/>
    <n v="2023"/>
    <s v="June"/>
    <s v="Q2"/>
  </r>
  <r>
    <s v="A0017"/>
    <s v="Hope Animal Shelter"/>
    <x v="3"/>
    <x v="3"/>
    <s v="Flemish Giant"/>
    <x v="5"/>
    <s v="Female"/>
    <n v="7.4"/>
    <n v="34.6"/>
    <x v="4"/>
    <s v="2022-11-20"/>
    <s v="Stray"/>
    <s v="2023-03-13"/>
    <s v="Transferred"/>
    <n v="113"/>
    <x v="0"/>
    <n v="0"/>
    <n v="0"/>
    <x v="0"/>
    <s v="Website"/>
    <s v="Yes"/>
    <s v="Yes"/>
    <s v="Yes"/>
    <n v="2022"/>
    <s v="November"/>
    <s v="Q4"/>
  </r>
  <r>
    <s v="A0018"/>
    <s v="City Animal Shelter"/>
    <x v="5"/>
    <x v="0"/>
    <s v="Siamese"/>
    <x v="8"/>
    <s v="Male"/>
    <n v="2.5"/>
    <n v="22.4"/>
    <x v="0"/>
    <s v="2023-07-12"/>
    <s v="Confiscated"/>
    <s v="2023-09-23"/>
    <s v="Returned to Owner"/>
    <n v="73"/>
    <x v="0"/>
    <n v="0"/>
    <n v="500"/>
    <x v="0"/>
    <s v="Referral"/>
    <s v="Yes"/>
    <s v="Yes"/>
    <s v="Yes"/>
    <n v="2023"/>
    <s v="July"/>
    <s v="Q3"/>
  </r>
  <r>
    <s v="A0019"/>
    <s v="Hope Animal Shelter"/>
    <x v="6"/>
    <x v="3"/>
    <s v="Mini Rex"/>
    <x v="5"/>
    <s v="Male"/>
    <n v="6.8"/>
    <n v="4.4000000000000004"/>
    <x v="2"/>
    <s v="2023-06-21"/>
    <s v="Abandoned"/>
    <s v="2023-08-02"/>
    <s v="Fostered"/>
    <n v="42"/>
    <x v="0"/>
    <n v="0"/>
    <n v="1000"/>
    <x v="0"/>
    <s v="Event"/>
    <s v="Yes"/>
    <s v="No"/>
    <s v="No"/>
    <n v="2023"/>
    <s v="June"/>
    <s v="Q2"/>
  </r>
  <r>
    <s v="A0020"/>
    <s v="Happy Paws Shelter"/>
    <x v="2"/>
    <x v="1"/>
    <s v="Bulldog"/>
    <x v="5"/>
    <s v="Female"/>
    <n v="2.6"/>
    <n v="9.1"/>
    <x v="1"/>
    <s v="2024-01-17"/>
    <s v="Confiscated"/>
    <s v="2024-01-28"/>
    <s v="Euthanized"/>
    <n v="11"/>
    <x v="0"/>
    <n v="0"/>
    <n v="0"/>
    <x v="0"/>
    <s v="Website"/>
    <s v="Yes"/>
    <s v="Yes"/>
    <s v="No"/>
    <n v="2024"/>
    <s v="January"/>
    <s v="Q1"/>
  </r>
  <r>
    <s v="A0021"/>
    <s v="Second Chance Rescue"/>
    <x v="7"/>
    <x v="2"/>
    <s v="Parakeet"/>
    <x v="3"/>
    <s v="Male"/>
    <n v="9.6"/>
    <n v="30.3"/>
    <x v="3"/>
    <s v="2023-01-03"/>
    <s v="Stray"/>
    <s v="2023-03-30"/>
    <s v="Still in Shelter"/>
    <n v="86"/>
    <x v="0"/>
    <n v="0"/>
    <n v="0"/>
    <x v="0"/>
    <s v="Referral"/>
    <s v="Yes"/>
    <s v="Yes"/>
    <s v="No"/>
    <n v="2023"/>
    <s v="January"/>
    <s v="Q1"/>
  </r>
  <r>
    <s v="A0022"/>
    <s v="City Animal Shelter"/>
    <x v="2"/>
    <x v="3"/>
    <s v="Flemish Giant"/>
    <x v="5"/>
    <s v="Female"/>
    <n v="4"/>
    <n v="30.3"/>
    <x v="4"/>
    <s v="2023-04-12"/>
    <s v="Born in Shelter"/>
    <s v="2023-06-09"/>
    <s v="Adopted"/>
    <n v="58"/>
    <x v="1"/>
    <n v="1291"/>
    <n v="500"/>
    <x v="1"/>
    <s v="Walk-in"/>
    <s v="Yes"/>
    <s v="Yes"/>
    <s v="No"/>
    <n v="2023"/>
    <s v="April"/>
    <s v="Q2"/>
  </r>
  <r>
    <s v="A0023"/>
    <s v="Happy Paws Shelter"/>
    <x v="1"/>
    <x v="1"/>
    <s v="German Shepherd"/>
    <x v="0"/>
    <s v="Male"/>
    <n v="5.3"/>
    <n v="34.5"/>
    <x v="0"/>
    <s v="2024-06-08"/>
    <s v="Stray"/>
    <s v="2024-09-05"/>
    <s v="Euthanized"/>
    <n v="89"/>
    <x v="0"/>
    <n v="0"/>
    <n v="0"/>
    <x v="0"/>
    <s v="Referral"/>
    <s v="Yes"/>
    <s v="No"/>
    <s v="No"/>
    <n v="2024"/>
    <s v="June"/>
    <s v="Q2"/>
  </r>
  <r>
    <s v="A0024"/>
    <s v="Happy Paws Shelter"/>
    <x v="7"/>
    <x v="3"/>
    <s v="Dutch"/>
    <x v="5"/>
    <s v="Female"/>
    <n v="7.5"/>
    <n v="23.4"/>
    <x v="4"/>
    <s v="2022-05-24"/>
    <s v="Transfer from Another Shelter"/>
    <s v="2022-11-11"/>
    <s v="Euthanized"/>
    <n v="171"/>
    <x v="0"/>
    <n v="0"/>
    <n v="0"/>
    <x v="0"/>
    <s v="Social Media"/>
    <s v="No"/>
    <s v="No"/>
    <s v="No"/>
    <n v="2022"/>
    <s v="May"/>
    <s v="Q2"/>
  </r>
  <r>
    <s v="A0025"/>
    <s v="Paws &amp; Claws Rescue"/>
    <x v="7"/>
    <x v="0"/>
    <s v="Siamese"/>
    <x v="2"/>
    <s v="Male"/>
    <n v="8.1999999999999993"/>
    <n v="31.6"/>
    <x v="0"/>
    <s v="2023-01-28"/>
    <s v="Abandoned"/>
    <s v="2023-05-16"/>
    <s v="Still in Shelter"/>
    <n v="108"/>
    <x v="0"/>
    <n v="0"/>
    <n v="0"/>
    <x v="0"/>
    <s v="Website"/>
    <s v="No"/>
    <s v="No"/>
    <s v="No"/>
    <n v="2023"/>
    <s v="January"/>
    <s v="Q1"/>
  </r>
  <r>
    <s v="A0026"/>
    <s v="Hope Animal Shelter"/>
    <x v="6"/>
    <x v="1"/>
    <s v="Husky"/>
    <x v="4"/>
    <s v="Female"/>
    <n v="9.5"/>
    <n v="33.6"/>
    <x v="1"/>
    <s v="2024-06-24"/>
    <s v="Confiscated"/>
    <s v="2024-12-14"/>
    <s v="Returned to Owner"/>
    <n v="173"/>
    <x v="0"/>
    <n v="0"/>
    <n v="1000"/>
    <x v="0"/>
    <s v="Event"/>
    <s v="Yes"/>
    <s v="Yes"/>
    <s v="No"/>
    <n v="2024"/>
    <s v="June"/>
    <s v="Q2"/>
  </r>
  <r>
    <s v="A0027"/>
    <s v="Happy Paws Shelter"/>
    <x v="5"/>
    <x v="0"/>
    <s v="Siamese"/>
    <x v="2"/>
    <s v="Male"/>
    <n v="11.8"/>
    <n v="21.6"/>
    <x v="4"/>
    <s v="2023-02-12"/>
    <s v="Confiscated"/>
    <s v="2023-03-22"/>
    <s v="Adopted"/>
    <n v="38"/>
    <x v="4"/>
    <n v="1689"/>
    <n v="0"/>
    <x v="2"/>
    <s v="Referral"/>
    <s v="Yes"/>
    <s v="Yes"/>
    <s v="Yes"/>
    <n v="2023"/>
    <s v="February"/>
    <s v="Q1"/>
  </r>
  <r>
    <s v="A0028"/>
    <s v="Second Chance Rescue"/>
    <x v="0"/>
    <x v="0"/>
    <s v="Ragdoll"/>
    <x v="7"/>
    <s v="Male"/>
    <n v="6.3"/>
    <n v="2.2000000000000002"/>
    <x v="2"/>
    <s v="2024-05-20"/>
    <s v="Transfer from Another Shelter"/>
    <s v="2024-07-16"/>
    <s v="Adopted"/>
    <n v="57"/>
    <x v="3"/>
    <n v="4793"/>
    <n v="2000"/>
    <x v="4"/>
    <s v="Referral"/>
    <s v="No"/>
    <s v="No"/>
    <s v="No"/>
    <n v="2024"/>
    <s v="May"/>
    <s v="Q2"/>
  </r>
  <r>
    <s v="A0029"/>
    <s v="Hope Animal Shelter"/>
    <x v="4"/>
    <x v="1"/>
    <s v="Husky"/>
    <x v="8"/>
    <s v="Female"/>
    <n v="9.1999999999999993"/>
    <n v="18.5"/>
    <x v="0"/>
    <s v="2024-07-10"/>
    <s v="Confiscated"/>
    <s v="2024-09-15"/>
    <s v="Returned to Owner"/>
    <n v="67"/>
    <x v="0"/>
    <n v="0"/>
    <n v="500"/>
    <x v="0"/>
    <s v="Social Media"/>
    <s v="Yes"/>
    <s v="No"/>
    <s v="No"/>
    <n v="2024"/>
    <s v="July"/>
    <s v="Q3"/>
  </r>
  <r>
    <s v="A0030"/>
    <s v="Happy Paws Shelter"/>
    <x v="1"/>
    <x v="3"/>
    <s v="Lionhead"/>
    <x v="2"/>
    <s v="Female"/>
    <n v="8.4"/>
    <n v="24.9"/>
    <x v="1"/>
    <s v="2022-06-15"/>
    <s v="Transfer from Another Shelter"/>
    <s v="2022-07-21"/>
    <s v="Adopted"/>
    <n v="36"/>
    <x v="4"/>
    <n v="1447"/>
    <n v="500"/>
    <x v="1"/>
    <s v="Website"/>
    <s v="No"/>
    <s v="No"/>
    <s v="Yes"/>
    <n v="2022"/>
    <s v="June"/>
    <s v="Q2"/>
  </r>
  <r>
    <s v="A0031"/>
    <s v="Furever Home"/>
    <x v="4"/>
    <x v="1"/>
    <s v="Mixed Breed"/>
    <x v="7"/>
    <s v="Male"/>
    <n v="3.7"/>
    <n v="14"/>
    <x v="0"/>
    <s v="2024-09-03"/>
    <s v="Transfer from Another Shelter"/>
    <s v="2024-09-05"/>
    <s v="Euthanized"/>
    <n v="2"/>
    <x v="0"/>
    <n v="0"/>
    <n v="0"/>
    <x v="0"/>
    <s v="Referral"/>
    <s v="Yes"/>
    <s v="No"/>
    <s v="No"/>
    <n v="2024"/>
    <s v="September"/>
    <s v="Q3"/>
  </r>
  <r>
    <s v="A0032"/>
    <s v="Hope Animal Shelter"/>
    <x v="1"/>
    <x v="2"/>
    <s v="Cockatiel"/>
    <x v="3"/>
    <s v="Female"/>
    <n v="6.8"/>
    <n v="1.4"/>
    <x v="0"/>
    <s v="2024-08-15"/>
    <s v="Stray"/>
    <s v="2024-09-17"/>
    <s v="Adopted"/>
    <n v="33"/>
    <x v="1"/>
    <n v="2113"/>
    <n v="1000"/>
    <x v="2"/>
    <s v="Social Media"/>
    <s v="Yes"/>
    <s v="No"/>
    <s v="No"/>
    <n v="2024"/>
    <s v="August"/>
    <s v="Q3"/>
  </r>
  <r>
    <s v="A0033"/>
    <s v="Hope Animal Shelter"/>
    <x v="3"/>
    <x v="3"/>
    <s v="Dutch"/>
    <x v="1"/>
    <s v="Male"/>
    <n v="10"/>
    <n v="16.7"/>
    <x v="4"/>
    <s v="2023-07-24"/>
    <s v="Stray"/>
    <s v="2023-11-09"/>
    <s v="Transferred"/>
    <n v="108"/>
    <x v="0"/>
    <n v="0"/>
    <n v="0"/>
    <x v="0"/>
    <s v="Walk-in"/>
    <s v="Yes"/>
    <s v="Yes"/>
    <s v="No"/>
    <n v="2023"/>
    <s v="July"/>
    <s v="Q3"/>
  </r>
  <r>
    <s v="A0034"/>
    <s v="Hope Animal Shelter"/>
    <x v="7"/>
    <x v="1"/>
    <s v="Golden Retriever"/>
    <x v="1"/>
    <s v="Male"/>
    <n v="6.8"/>
    <n v="8"/>
    <x v="1"/>
    <s v="2023-05-04"/>
    <s v="Born in Shelter"/>
    <s v="2023-06-06"/>
    <s v="Fostered"/>
    <n v="33"/>
    <x v="0"/>
    <n v="0"/>
    <n v="0"/>
    <x v="0"/>
    <s v="Walk-in"/>
    <s v="Yes"/>
    <s v="No"/>
    <s v="Yes"/>
    <n v="2023"/>
    <s v="May"/>
    <s v="Q2"/>
  </r>
  <r>
    <s v="A0035"/>
    <s v="Happy Paws Shelter"/>
    <x v="4"/>
    <x v="1"/>
    <s v="Labrador"/>
    <x v="4"/>
    <s v="Female"/>
    <n v="4.8"/>
    <n v="25.2"/>
    <x v="2"/>
    <s v="2023-10-01"/>
    <s v="Confiscated"/>
    <s v="2024-02-26"/>
    <s v="Still in Shelter"/>
    <n v="148"/>
    <x v="0"/>
    <n v="0"/>
    <n v="0"/>
    <x v="0"/>
    <s v="Event"/>
    <s v="Yes"/>
    <s v="No"/>
    <s v="Yes"/>
    <n v="2023"/>
    <s v="October"/>
    <s v="Q4"/>
  </r>
  <r>
    <s v="A0036"/>
    <s v="Happy Paws Shelter"/>
    <x v="1"/>
    <x v="3"/>
    <s v="Lionhead"/>
    <x v="7"/>
    <s v="Male"/>
    <n v="0.9"/>
    <n v="22.8"/>
    <x v="3"/>
    <s v="2024-05-27"/>
    <s v="Abandoned"/>
    <s v="2024-11-13"/>
    <s v="Euthanized"/>
    <n v="170"/>
    <x v="0"/>
    <n v="0"/>
    <n v="0"/>
    <x v="0"/>
    <s v="Referral"/>
    <s v="Yes"/>
    <s v="No"/>
    <s v="No"/>
    <n v="2024"/>
    <s v="May"/>
    <s v="Q2"/>
  </r>
  <r>
    <s v="A0037"/>
    <s v="City Animal Shelter"/>
    <x v="2"/>
    <x v="0"/>
    <s v="Mixed Breed"/>
    <x v="6"/>
    <s v="Male"/>
    <n v="5.3"/>
    <n v="25.7"/>
    <x v="0"/>
    <s v="2023-07-08"/>
    <s v="Transfer from Another Shelter"/>
    <s v="2023-12-13"/>
    <s v="Fostered"/>
    <n v="158"/>
    <x v="0"/>
    <n v="0"/>
    <n v="1000"/>
    <x v="0"/>
    <s v="Website"/>
    <s v="No"/>
    <s v="No"/>
    <s v="No"/>
    <n v="2023"/>
    <s v="July"/>
    <s v="Q3"/>
  </r>
  <r>
    <s v="A0038"/>
    <s v="City Animal Shelter"/>
    <x v="7"/>
    <x v="3"/>
    <s v="Holland Lop"/>
    <x v="5"/>
    <s v="Male"/>
    <n v="4.3"/>
    <n v="9.4"/>
    <x v="1"/>
    <s v="2024-10-09"/>
    <s v="Owner Surrender"/>
    <s v="2024-12-31"/>
    <s v="Adopted"/>
    <n v="84"/>
    <x v="5"/>
    <n v="2497"/>
    <n v="0"/>
    <x v="3"/>
    <s v="Referral"/>
    <s v="No"/>
    <s v="No"/>
    <s v="No"/>
    <n v="2024"/>
    <s v="October"/>
    <s v="Q4"/>
  </r>
  <r>
    <s v="A0039"/>
    <s v="Hope Animal Shelter"/>
    <x v="2"/>
    <x v="1"/>
    <s v="Husky"/>
    <x v="7"/>
    <s v="Female"/>
    <n v="4.9000000000000004"/>
    <n v="8.9"/>
    <x v="3"/>
    <s v="2024-07-06"/>
    <s v="Confiscated"/>
    <s v="2024-07-11"/>
    <s v="Adopted"/>
    <n v="5"/>
    <x v="3"/>
    <n v="5410"/>
    <n v="0"/>
    <x v="4"/>
    <s v="Social Media"/>
    <s v="No"/>
    <s v="No"/>
    <s v="No"/>
    <n v="2024"/>
    <s v="July"/>
    <s v="Q3"/>
  </r>
  <r>
    <s v="A0040"/>
    <s v="Hope Animal Shelter"/>
    <x v="6"/>
    <x v="0"/>
    <s v="Siamese"/>
    <x v="6"/>
    <s v="Male"/>
    <n v="1.5"/>
    <n v="19"/>
    <x v="4"/>
    <s v="2022-09-05"/>
    <s v="Transfer from Another Shelter"/>
    <s v="2022-10-25"/>
    <s v="Euthanized"/>
    <n v="50"/>
    <x v="0"/>
    <n v="0"/>
    <n v="0"/>
    <x v="0"/>
    <s v="Social Media"/>
    <s v="Yes"/>
    <s v="Yes"/>
    <s v="No"/>
    <n v="2022"/>
    <s v="September"/>
    <s v="Q3"/>
  </r>
  <r>
    <s v="A0041"/>
    <s v="City Animal Shelter"/>
    <x v="3"/>
    <x v="0"/>
    <s v="Siamese"/>
    <x v="9"/>
    <s v="Female"/>
    <n v="0.3"/>
    <n v="18.899999999999999"/>
    <x v="4"/>
    <s v="2024-01-10"/>
    <s v="Owner Surrender"/>
    <s v="2024-02-25"/>
    <s v="Transferred"/>
    <n v="46"/>
    <x v="0"/>
    <n v="0"/>
    <n v="0"/>
    <x v="0"/>
    <s v="Referral"/>
    <s v="Yes"/>
    <s v="Yes"/>
    <s v="No"/>
    <n v="2024"/>
    <s v="January"/>
    <s v="Q1"/>
  </r>
  <r>
    <s v="A0042"/>
    <s v="Happy Paws Shelter"/>
    <x v="1"/>
    <x v="1"/>
    <s v="Husky"/>
    <x v="7"/>
    <s v="Male"/>
    <n v="11.3"/>
    <n v="17"/>
    <x v="1"/>
    <s v="2024-06-21"/>
    <s v="Confiscated"/>
    <s v="2024-09-17"/>
    <s v="Adopted"/>
    <n v="88"/>
    <x v="5"/>
    <n v="3420"/>
    <n v="0"/>
    <x v="3"/>
    <s v="Website"/>
    <s v="Yes"/>
    <s v="Yes"/>
    <s v="No"/>
    <n v="2024"/>
    <s v="June"/>
    <s v="Q2"/>
  </r>
  <r>
    <s v="A0043"/>
    <s v="Paws &amp; Claws Rescue"/>
    <x v="1"/>
    <x v="0"/>
    <s v="Maine Coon"/>
    <x v="8"/>
    <s v="Male"/>
    <n v="5.5"/>
    <n v="15.8"/>
    <x v="1"/>
    <s v="2024-05-02"/>
    <s v="Confiscated"/>
    <s v="2024-10-05"/>
    <s v="Returned to Owner"/>
    <n v="156"/>
    <x v="0"/>
    <n v="0"/>
    <n v="1000"/>
    <x v="0"/>
    <s v="Walk-in"/>
    <s v="Yes"/>
    <s v="No"/>
    <s v="No"/>
    <n v="2024"/>
    <s v="May"/>
    <s v="Q2"/>
  </r>
  <r>
    <s v="A0044"/>
    <s v="Furever Home"/>
    <x v="5"/>
    <x v="0"/>
    <s v="Mixed Breed"/>
    <x v="0"/>
    <s v="Female"/>
    <n v="6.7"/>
    <n v="5.9"/>
    <x v="0"/>
    <s v="2022-06-16"/>
    <s v="Stray"/>
    <s v="2022-07-27"/>
    <s v="Returned to Owner"/>
    <n v="41"/>
    <x v="0"/>
    <n v="0"/>
    <n v="0"/>
    <x v="0"/>
    <s v="Website"/>
    <s v="Yes"/>
    <s v="No"/>
    <s v="No"/>
    <n v="2022"/>
    <s v="June"/>
    <s v="Q2"/>
  </r>
  <r>
    <s v="A0045"/>
    <s v="Second Chance Rescue"/>
    <x v="7"/>
    <x v="1"/>
    <s v="German Shepherd"/>
    <x v="3"/>
    <s v="Male"/>
    <n v="1.5"/>
    <n v="8.3000000000000007"/>
    <x v="0"/>
    <s v="2023-04-24"/>
    <s v="Owner Surrender"/>
    <s v="2023-07-01"/>
    <s v="Returned to Owner"/>
    <n v="68"/>
    <x v="0"/>
    <n v="0"/>
    <n v="1000"/>
    <x v="0"/>
    <s v="Social Media"/>
    <s v="Yes"/>
    <s v="No"/>
    <s v="Yes"/>
    <n v="2023"/>
    <s v="April"/>
    <s v="Q2"/>
  </r>
  <r>
    <s v="A0046"/>
    <s v="Furever Home"/>
    <x v="2"/>
    <x v="1"/>
    <s v="Bulldog"/>
    <x v="0"/>
    <s v="Female"/>
    <n v="1.1000000000000001"/>
    <n v="1.9"/>
    <x v="0"/>
    <s v="2024-04-04"/>
    <s v="Stray"/>
    <s v="2024-06-13"/>
    <s v="Fostered"/>
    <n v="70"/>
    <x v="0"/>
    <n v="0"/>
    <n v="1000"/>
    <x v="0"/>
    <s v="Website"/>
    <s v="Yes"/>
    <s v="No"/>
    <s v="No"/>
    <n v="2024"/>
    <s v="April"/>
    <s v="Q2"/>
  </r>
  <r>
    <s v="A0047"/>
    <s v="Hope Animal Shelter"/>
    <x v="5"/>
    <x v="1"/>
    <s v="Labrador"/>
    <x v="4"/>
    <s v="Female"/>
    <n v="2.2999999999999998"/>
    <n v="20.7"/>
    <x v="0"/>
    <s v="2022-12-25"/>
    <s v="Transfer from Another Shelter"/>
    <s v="2023-04-25"/>
    <s v="Fostered"/>
    <n v="121"/>
    <x v="0"/>
    <n v="0"/>
    <n v="500"/>
    <x v="0"/>
    <s v="Social Media"/>
    <s v="Yes"/>
    <s v="No"/>
    <s v="Yes"/>
    <n v="2022"/>
    <s v="December"/>
    <s v="Q4"/>
  </r>
  <r>
    <s v="A0048"/>
    <s v="Paws &amp; Claws Rescue"/>
    <x v="3"/>
    <x v="1"/>
    <s v="Beagle"/>
    <x v="7"/>
    <s v="Male"/>
    <n v="8"/>
    <n v="14.3"/>
    <x v="0"/>
    <s v="2024-04-23"/>
    <s v="Abandoned"/>
    <s v="2024-10-18"/>
    <s v="Fostered"/>
    <n v="178"/>
    <x v="0"/>
    <n v="0"/>
    <n v="500"/>
    <x v="0"/>
    <s v="Social Media"/>
    <s v="Yes"/>
    <s v="No"/>
    <s v="Yes"/>
    <n v="2024"/>
    <s v="April"/>
    <s v="Q2"/>
  </r>
  <r>
    <s v="A0049"/>
    <s v="Furever Home"/>
    <x v="3"/>
    <x v="0"/>
    <s v="Domestic Shorthair"/>
    <x v="6"/>
    <s v="Female"/>
    <n v="7.5"/>
    <n v="17.7"/>
    <x v="1"/>
    <s v="2024-04-26"/>
    <s v="Owner Surrender"/>
    <s v="2024-05-10"/>
    <s v="Returned to Owner"/>
    <n v="14"/>
    <x v="0"/>
    <n v="0"/>
    <n v="500"/>
    <x v="0"/>
    <s v="Social Media"/>
    <s v="No"/>
    <s v="No"/>
    <s v="No"/>
    <n v="2024"/>
    <s v="April"/>
    <s v="Q2"/>
  </r>
  <r>
    <s v="A0050"/>
    <s v="Happy Paws Shelter"/>
    <x v="4"/>
    <x v="0"/>
    <s v="Persian"/>
    <x v="4"/>
    <s v="Female"/>
    <n v="6.7"/>
    <n v="19.600000000000001"/>
    <x v="0"/>
    <s v="2023-05-06"/>
    <s v="Confiscated"/>
    <s v="2023-06-16"/>
    <s v="Transferred"/>
    <n v="41"/>
    <x v="0"/>
    <n v="0"/>
    <n v="0"/>
    <x v="0"/>
    <s v="Website"/>
    <s v="No"/>
    <s v="No"/>
    <s v="No"/>
    <n v="2023"/>
    <s v="May"/>
    <s v="Q2"/>
  </r>
  <r>
    <s v="A0051"/>
    <s v="Furever Home"/>
    <x v="4"/>
    <x v="0"/>
    <s v="Mixed Breed"/>
    <x v="0"/>
    <s v="Male"/>
    <n v="3"/>
    <n v="19.5"/>
    <x v="2"/>
    <s v="2023-07-14"/>
    <s v="Stray"/>
    <s v="2023-10-29"/>
    <s v="Fostered"/>
    <n v="107"/>
    <x v="0"/>
    <n v="0"/>
    <n v="1000"/>
    <x v="0"/>
    <s v="Social Media"/>
    <s v="No"/>
    <s v="No"/>
    <s v="No"/>
    <n v="2023"/>
    <s v="July"/>
    <s v="Q3"/>
  </r>
  <r>
    <s v="A0052"/>
    <s v="City Animal Shelter"/>
    <x v="1"/>
    <x v="1"/>
    <s v="Bulldog"/>
    <x v="7"/>
    <s v="Female"/>
    <n v="5.4"/>
    <n v="17.2"/>
    <x v="2"/>
    <s v="2023-09-04"/>
    <s v="Owner Surrender"/>
    <s v="2024-02-02"/>
    <s v="Fostered"/>
    <n v="151"/>
    <x v="0"/>
    <n v="0"/>
    <n v="0"/>
    <x v="0"/>
    <s v="Website"/>
    <s v="No"/>
    <s v="Yes"/>
    <s v="No"/>
    <n v="2023"/>
    <s v="September"/>
    <s v="Q3"/>
  </r>
  <r>
    <s v="A0053"/>
    <s v="Hope Animal Shelter"/>
    <x v="6"/>
    <x v="1"/>
    <s v="Beagle"/>
    <x v="7"/>
    <s v="Male"/>
    <n v="11.9"/>
    <n v="27.8"/>
    <x v="0"/>
    <s v="2024-08-26"/>
    <s v="Born in Shelter"/>
    <s v="2024-12-02"/>
    <s v="Still in Shelter"/>
    <n v="98"/>
    <x v="0"/>
    <n v="0"/>
    <n v="0"/>
    <x v="0"/>
    <s v="Event"/>
    <s v="Yes"/>
    <s v="Yes"/>
    <s v="No"/>
    <n v="2024"/>
    <s v="August"/>
    <s v="Q3"/>
  </r>
  <r>
    <s v="A0054"/>
    <s v="Furever Home"/>
    <x v="7"/>
    <x v="0"/>
    <s v="Maine Coon"/>
    <x v="1"/>
    <s v="Female"/>
    <n v="7.9"/>
    <n v="5.8"/>
    <x v="4"/>
    <s v="2024-07-24"/>
    <s v="Stray"/>
    <s v="2024-07-28"/>
    <s v="Adopted"/>
    <n v="4"/>
    <x v="1"/>
    <n v="3179"/>
    <n v="5000"/>
    <x v="2"/>
    <s v="Social Media"/>
    <s v="No"/>
    <s v="No"/>
    <s v="Yes"/>
    <n v="2024"/>
    <s v="July"/>
    <s v="Q3"/>
  </r>
  <r>
    <s v="A0055"/>
    <s v="Furever Home"/>
    <x v="0"/>
    <x v="1"/>
    <s v="German Shepherd"/>
    <x v="4"/>
    <s v="Female"/>
    <n v="12"/>
    <n v="26.3"/>
    <x v="0"/>
    <s v="2023-04-26"/>
    <s v="Confiscated"/>
    <s v="2023-10-05"/>
    <s v="Transferred"/>
    <n v="162"/>
    <x v="0"/>
    <n v="0"/>
    <n v="0"/>
    <x v="0"/>
    <s v="Social Media"/>
    <s v="Yes"/>
    <s v="Yes"/>
    <s v="No"/>
    <n v="2023"/>
    <s v="April"/>
    <s v="Q2"/>
  </r>
  <r>
    <s v="A0056"/>
    <s v="Paws &amp; Claws Rescue"/>
    <x v="6"/>
    <x v="1"/>
    <s v="Bulldog"/>
    <x v="3"/>
    <s v="Male"/>
    <n v="1.8"/>
    <n v="18.8"/>
    <x v="0"/>
    <s v="2024-01-05"/>
    <s v="Born in Shelter"/>
    <s v="2024-04-10"/>
    <s v="Still in Shelter"/>
    <n v="96"/>
    <x v="0"/>
    <n v="0"/>
    <n v="0"/>
    <x v="0"/>
    <s v="Referral"/>
    <s v="Yes"/>
    <s v="No"/>
    <s v="No"/>
    <n v="2024"/>
    <s v="January"/>
    <s v="Q1"/>
  </r>
  <r>
    <s v="A0057"/>
    <s v="Furever Home"/>
    <x v="7"/>
    <x v="1"/>
    <s v="Husky"/>
    <x v="5"/>
    <s v="Male"/>
    <n v="8"/>
    <n v="31.5"/>
    <x v="0"/>
    <s v="2023-06-05"/>
    <s v="Transfer from Another Shelter"/>
    <s v="2023-10-01"/>
    <s v="Transferred"/>
    <n v="118"/>
    <x v="0"/>
    <n v="0"/>
    <n v="0"/>
    <x v="0"/>
    <s v="Social Media"/>
    <s v="Yes"/>
    <s v="No"/>
    <s v="No"/>
    <n v="2023"/>
    <s v="June"/>
    <s v="Q2"/>
  </r>
  <r>
    <s v="A0058"/>
    <s v="Furever Home"/>
    <x v="2"/>
    <x v="0"/>
    <s v="Domestic Shorthair"/>
    <x v="0"/>
    <s v="Female"/>
    <n v="10.3"/>
    <n v="4.2"/>
    <x v="4"/>
    <s v="2023-09-11"/>
    <s v="Abandoned"/>
    <s v="2023-11-01"/>
    <s v="Still in Shelter"/>
    <n v="51"/>
    <x v="0"/>
    <n v="0"/>
    <n v="0"/>
    <x v="0"/>
    <s v="Walk-in"/>
    <s v="No"/>
    <s v="No"/>
    <s v="Yes"/>
    <n v="2023"/>
    <s v="September"/>
    <s v="Q3"/>
  </r>
  <r>
    <s v="A0059"/>
    <s v="City Animal Shelter"/>
    <x v="6"/>
    <x v="1"/>
    <s v="Labrador"/>
    <x v="4"/>
    <s v="Male"/>
    <n v="2.7"/>
    <n v="7.1"/>
    <x v="0"/>
    <s v="2024-10-14"/>
    <s v="Transfer from Another Shelter"/>
    <s v="2024-12-27"/>
    <s v="Returned to Owner"/>
    <n v="74"/>
    <x v="0"/>
    <n v="0"/>
    <n v="500"/>
    <x v="0"/>
    <s v="Walk-in"/>
    <s v="Yes"/>
    <s v="No"/>
    <s v="No"/>
    <n v="2024"/>
    <s v="October"/>
    <s v="Q4"/>
  </r>
  <r>
    <s v="A0060"/>
    <s v="City Animal Shelter"/>
    <x v="7"/>
    <x v="0"/>
    <s v="Bengal"/>
    <x v="3"/>
    <s v="Female"/>
    <n v="9.5"/>
    <n v="30.7"/>
    <x v="2"/>
    <s v="2023-11-01"/>
    <s v="Transfer from Another Shelter"/>
    <s v="2024-02-16"/>
    <s v="Adopted"/>
    <n v="107"/>
    <x v="1"/>
    <n v="2322"/>
    <n v="0"/>
    <x v="4"/>
    <s v="Walk-in"/>
    <s v="No"/>
    <s v="Yes"/>
    <s v="No"/>
    <n v="2023"/>
    <s v="November"/>
    <s v="Q4"/>
  </r>
  <r>
    <s v="A0061"/>
    <s v="Furever Home"/>
    <x v="2"/>
    <x v="1"/>
    <s v="Mixed Breed"/>
    <x v="8"/>
    <s v="Female"/>
    <n v="0.3"/>
    <n v="19"/>
    <x v="2"/>
    <s v="2024-01-20"/>
    <s v="Confiscated"/>
    <s v="2024-02-13"/>
    <s v="Still in Shelter"/>
    <n v="24"/>
    <x v="0"/>
    <n v="0"/>
    <n v="0"/>
    <x v="0"/>
    <s v="Social Media"/>
    <s v="Yes"/>
    <s v="No"/>
    <s v="No"/>
    <n v="2024"/>
    <s v="January"/>
    <s v="Q1"/>
  </r>
  <r>
    <s v="A0062"/>
    <s v="Hope Animal Shelter"/>
    <x v="7"/>
    <x v="1"/>
    <s v="Labrador"/>
    <x v="2"/>
    <s v="Male"/>
    <n v="7.7"/>
    <n v="16.5"/>
    <x v="0"/>
    <s v="2023-11-03"/>
    <s v="Stray"/>
    <s v="2024-04-08"/>
    <s v="Returned to Owner"/>
    <n v="157"/>
    <x v="0"/>
    <n v="0"/>
    <n v="0"/>
    <x v="0"/>
    <s v="Walk-in"/>
    <s v="Yes"/>
    <s v="No"/>
    <s v="Yes"/>
    <n v="2023"/>
    <s v="November"/>
    <s v="Q4"/>
  </r>
  <r>
    <s v="A0063"/>
    <s v="Paws &amp; Claws Rescue"/>
    <x v="1"/>
    <x v="0"/>
    <s v="Siamese"/>
    <x v="0"/>
    <s v="Male"/>
    <n v="8.1"/>
    <n v="26.1"/>
    <x v="3"/>
    <s v="2022-10-05"/>
    <s v="Confiscated"/>
    <s v="2023-01-13"/>
    <s v="Fostered"/>
    <n v="100"/>
    <x v="0"/>
    <n v="0"/>
    <n v="500"/>
    <x v="0"/>
    <s v="Walk-in"/>
    <s v="No"/>
    <s v="No"/>
    <s v="No"/>
    <n v="2022"/>
    <s v="October"/>
    <s v="Q4"/>
  </r>
  <r>
    <s v="A0064"/>
    <s v="Happy Paws Shelter"/>
    <x v="2"/>
    <x v="0"/>
    <s v="Persian"/>
    <x v="5"/>
    <s v="Female"/>
    <n v="11.4"/>
    <n v="30"/>
    <x v="0"/>
    <s v="2024-01-29"/>
    <s v="Transfer from Another Shelter"/>
    <s v="2024-03-25"/>
    <s v="Fostered"/>
    <n v="56"/>
    <x v="0"/>
    <n v="0"/>
    <n v="1000"/>
    <x v="0"/>
    <s v="Social Media"/>
    <s v="Yes"/>
    <s v="Yes"/>
    <s v="No"/>
    <n v="2024"/>
    <s v="January"/>
    <s v="Q1"/>
  </r>
  <r>
    <s v="A0065"/>
    <s v="Paws &amp; Claws Rescue"/>
    <x v="4"/>
    <x v="0"/>
    <s v="Mixed Breed"/>
    <x v="4"/>
    <s v="Male"/>
    <n v="4.0999999999999996"/>
    <n v="34.6"/>
    <x v="1"/>
    <s v="2023-03-11"/>
    <s v="Owner Surrender"/>
    <s v="2023-08-23"/>
    <s v="Adopted"/>
    <n v="165"/>
    <x v="2"/>
    <n v="1707"/>
    <n v="5000"/>
    <x v="4"/>
    <s v="Website"/>
    <s v="Yes"/>
    <s v="No"/>
    <s v="No"/>
    <n v="2023"/>
    <s v="March"/>
    <s v="Q1"/>
  </r>
  <r>
    <s v="A0066"/>
    <s v="Paws &amp; Claws Rescue"/>
    <x v="2"/>
    <x v="1"/>
    <s v="Bulldog"/>
    <x v="9"/>
    <s v="Male"/>
    <n v="4.4000000000000004"/>
    <n v="27.7"/>
    <x v="0"/>
    <s v="2022-12-24"/>
    <s v="Stray"/>
    <s v="2023-01-22"/>
    <s v="Adopted"/>
    <n v="29"/>
    <x v="2"/>
    <n v="4079"/>
    <n v="0"/>
    <x v="2"/>
    <s v="Event"/>
    <s v="Yes"/>
    <s v="No"/>
    <s v="Yes"/>
    <n v="2022"/>
    <s v="December"/>
    <s v="Q4"/>
  </r>
  <r>
    <s v="A0067"/>
    <s v="Hope Animal Shelter"/>
    <x v="7"/>
    <x v="1"/>
    <s v="Husky"/>
    <x v="7"/>
    <s v="Male"/>
    <n v="2.7"/>
    <n v="21.7"/>
    <x v="0"/>
    <s v="2024-01-12"/>
    <s v="Transfer from Another Shelter"/>
    <s v="2024-05-23"/>
    <s v="Adopted"/>
    <n v="132"/>
    <x v="4"/>
    <n v="6702"/>
    <n v="1000"/>
    <x v="2"/>
    <s v="Walk-in"/>
    <s v="No"/>
    <s v="No"/>
    <s v="No"/>
    <n v="2024"/>
    <s v="January"/>
    <s v="Q1"/>
  </r>
  <r>
    <s v="A0068"/>
    <s v="Paws &amp; Claws Rescue"/>
    <x v="2"/>
    <x v="0"/>
    <s v="Persian"/>
    <x v="2"/>
    <s v="Female"/>
    <n v="3.4"/>
    <n v="22.3"/>
    <x v="3"/>
    <s v="2023-10-22"/>
    <s v="Born in Shelter"/>
    <s v="2024-03-26"/>
    <s v="Adopted"/>
    <n v="156"/>
    <x v="3"/>
    <n v="1769"/>
    <n v="0"/>
    <x v="2"/>
    <s v="Walk-in"/>
    <s v="Yes"/>
    <s v="No"/>
    <s v="No"/>
    <n v="2023"/>
    <s v="October"/>
    <s v="Q4"/>
  </r>
  <r>
    <s v="A0069"/>
    <s v="Hope Animal Shelter"/>
    <x v="0"/>
    <x v="2"/>
    <s v="Lovebird"/>
    <x v="1"/>
    <s v="Female"/>
    <n v="9.9"/>
    <n v="14.3"/>
    <x v="0"/>
    <s v="2023-04-13"/>
    <s v="Confiscated"/>
    <s v="2023-07-28"/>
    <s v="Euthanized"/>
    <n v="106"/>
    <x v="0"/>
    <n v="0"/>
    <n v="0"/>
    <x v="0"/>
    <s v="Social Media"/>
    <s v="Yes"/>
    <s v="Yes"/>
    <s v="No"/>
    <n v="2023"/>
    <s v="April"/>
    <s v="Q2"/>
  </r>
  <r>
    <s v="A0070"/>
    <s v="Second Chance Rescue"/>
    <x v="3"/>
    <x v="0"/>
    <s v="Persian"/>
    <x v="0"/>
    <s v="Female"/>
    <n v="1.2"/>
    <n v="26"/>
    <x v="4"/>
    <s v="2022-06-24"/>
    <s v="Stray"/>
    <s v="2022-07-18"/>
    <s v="Still in Shelter"/>
    <n v="24"/>
    <x v="0"/>
    <n v="0"/>
    <n v="0"/>
    <x v="0"/>
    <s v="Referral"/>
    <s v="Yes"/>
    <s v="No"/>
    <s v="No"/>
    <n v="2022"/>
    <s v="June"/>
    <s v="Q2"/>
  </r>
  <r>
    <s v="A0071"/>
    <s v="Second Chance Rescue"/>
    <x v="0"/>
    <x v="1"/>
    <s v="Bulldog"/>
    <x v="1"/>
    <s v="Female"/>
    <n v="2.6"/>
    <n v="23.2"/>
    <x v="0"/>
    <s v="2023-10-02"/>
    <s v="Abandoned"/>
    <s v="2024-01-01"/>
    <s v="Adopted"/>
    <n v="91"/>
    <x v="3"/>
    <n v="7734"/>
    <n v="1000"/>
    <x v="3"/>
    <s v="Referral"/>
    <s v="Yes"/>
    <s v="No"/>
    <s v="No"/>
    <n v="2023"/>
    <s v="October"/>
    <s v="Q4"/>
  </r>
  <r>
    <s v="A0072"/>
    <s v="Second Chance Rescue"/>
    <x v="6"/>
    <x v="1"/>
    <s v="Golden Retriever"/>
    <x v="0"/>
    <s v="Female"/>
    <n v="11.1"/>
    <n v="12.6"/>
    <x v="0"/>
    <s v="2023-07-14"/>
    <s v="Owner Surrender"/>
    <s v="2024-01-10"/>
    <s v="Transferred"/>
    <n v="180"/>
    <x v="0"/>
    <n v="0"/>
    <n v="0"/>
    <x v="0"/>
    <s v="Walk-in"/>
    <s v="Yes"/>
    <s v="No"/>
    <s v="No"/>
    <n v="2023"/>
    <s v="July"/>
    <s v="Q3"/>
  </r>
  <r>
    <s v="A0073"/>
    <s v="Paws &amp; Claws Rescue"/>
    <x v="0"/>
    <x v="2"/>
    <s v="Lovebird"/>
    <x v="9"/>
    <s v="Male"/>
    <n v="8.6999999999999993"/>
    <n v="27.3"/>
    <x v="0"/>
    <s v="2024-07-18"/>
    <s v="Born in Shelter"/>
    <s v="2024-10-14"/>
    <s v="Adopted"/>
    <n v="88"/>
    <x v="5"/>
    <n v="2015"/>
    <n v="0"/>
    <x v="1"/>
    <s v="Social Media"/>
    <s v="No"/>
    <s v="No"/>
    <s v="No"/>
    <n v="2024"/>
    <s v="July"/>
    <s v="Q3"/>
  </r>
  <r>
    <s v="A0074"/>
    <s v="Hope Animal Shelter"/>
    <x v="5"/>
    <x v="1"/>
    <s v="Husky"/>
    <x v="5"/>
    <s v="Female"/>
    <n v="4.2"/>
    <n v="4.3"/>
    <x v="0"/>
    <s v="2024-04-28"/>
    <s v="Owner Surrender"/>
    <s v="2024-07-07"/>
    <s v="Returned to Owner"/>
    <n v="70"/>
    <x v="0"/>
    <n v="0"/>
    <n v="0"/>
    <x v="0"/>
    <s v="Referral"/>
    <s v="Yes"/>
    <s v="Yes"/>
    <s v="No"/>
    <n v="2024"/>
    <s v="April"/>
    <s v="Q2"/>
  </r>
  <r>
    <s v="A0075"/>
    <s v="Hope Animal Shelter"/>
    <x v="1"/>
    <x v="0"/>
    <s v="Siamese"/>
    <x v="3"/>
    <s v="Male"/>
    <n v="4"/>
    <n v="0.8"/>
    <x v="3"/>
    <s v="2022-10-09"/>
    <s v="Born in Shelter"/>
    <s v="2022-12-14"/>
    <s v="Transferred"/>
    <n v="66"/>
    <x v="0"/>
    <n v="0"/>
    <n v="0"/>
    <x v="0"/>
    <s v="Website"/>
    <s v="Yes"/>
    <s v="Yes"/>
    <s v="No"/>
    <n v="2022"/>
    <s v="October"/>
    <s v="Q4"/>
  </r>
  <r>
    <s v="A0076"/>
    <s v="Hope Animal Shelter"/>
    <x v="1"/>
    <x v="1"/>
    <s v="Mixed Breed"/>
    <x v="8"/>
    <s v="Male"/>
    <n v="5.2"/>
    <n v="14.5"/>
    <x v="3"/>
    <s v="2022-02-08"/>
    <s v="Stray"/>
    <s v="2022-06-06"/>
    <s v="Adopted"/>
    <n v="118"/>
    <x v="1"/>
    <n v="5564"/>
    <n v="1000"/>
    <x v="3"/>
    <s v="Event"/>
    <s v="No"/>
    <s v="No"/>
    <s v="No"/>
    <n v="2022"/>
    <s v="February"/>
    <s v="Q1"/>
  </r>
  <r>
    <s v="A0077"/>
    <s v="Furever Home"/>
    <x v="7"/>
    <x v="0"/>
    <s v="Domestic Shorthair"/>
    <x v="1"/>
    <s v="Male"/>
    <n v="7.1"/>
    <n v="18.600000000000001"/>
    <x v="0"/>
    <s v="2022-08-05"/>
    <s v="Owner Surrender"/>
    <s v="2022-10-07"/>
    <s v="Still in Shelter"/>
    <n v="63"/>
    <x v="0"/>
    <n v="0"/>
    <n v="0"/>
    <x v="0"/>
    <s v="Walk-in"/>
    <s v="Yes"/>
    <s v="No"/>
    <s v="No"/>
    <n v="2022"/>
    <s v="August"/>
    <s v="Q3"/>
  </r>
  <r>
    <s v="A0078"/>
    <s v="Hope Animal Shelter"/>
    <x v="0"/>
    <x v="3"/>
    <s v="Flemish Giant"/>
    <x v="3"/>
    <s v="Female"/>
    <n v="2.4"/>
    <n v="21.3"/>
    <x v="3"/>
    <s v="2022-10-30"/>
    <s v="Born in Shelter"/>
    <s v="2022-12-30"/>
    <s v="Adopted"/>
    <n v="61"/>
    <x v="3"/>
    <n v="1099"/>
    <n v="0"/>
    <x v="2"/>
    <s v="Event"/>
    <s v="Yes"/>
    <s v="No"/>
    <s v="No"/>
    <n v="2022"/>
    <s v="October"/>
    <s v="Q4"/>
  </r>
  <r>
    <s v="A0079"/>
    <s v="City Animal Shelter"/>
    <x v="0"/>
    <x v="1"/>
    <s v="Husky"/>
    <x v="8"/>
    <s v="Female"/>
    <n v="9.6"/>
    <n v="20.9"/>
    <x v="3"/>
    <s v="2022-05-20"/>
    <s v="Stray"/>
    <s v="2022-09-18"/>
    <s v="Fostered"/>
    <n v="121"/>
    <x v="0"/>
    <n v="0"/>
    <n v="500"/>
    <x v="0"/>
    <s v="Walk-in"/>
    <s v="Yes"/>
    <s v="No"/>
    <s v="Yes"/>
    <n v="2022"/>
    <s v="May"/>
    <s v="Q2"/>
  </r>
  <r>
    <s v="A0080"/>
    <s v="Hope Animal Shelter"/>
    <x v="4"/>
    <x v="0"/>
    <s v="Maine Coon"/>
    <x v="1"/>
    <s v="Female"/>
    <n v="5.5"/>
    <n v="28.4"/>
    <x v="1"/>
    <s v="2024-11-04"/>
    <s v="Owner Surrender"/>
    <s v="2024-12-31"/>
    <s v="Fostered"/>
    <n v="99"/>
    <x v="0"/>
    <n v="0"/>
    <n v="0"/>
    <x v="0"/>
    <s v="Walk-in"/>
    <s v="No"/>
    <s v="Yes"/>
    <s v="No"/>
    <n v="2024"/>
    <s v="November"/>
    <s v="Q4"/>
  </r>
  <r>
    <s v="A0081"/>
    <s v="Paws &amp; Claws Rescue"/>
    <x v="6"/>
    <x v="0"/>
    <s v="Maine Coon"/>
    <x v="1"/>
    <s v="Female"/>
    <n v="11.9"/>
    <n v="18.600000000000001"/>
    <x v="0"/>
    <s v="2022-12-20"/>
    <s v="Transfer from Another Shelter"/>
    <s v="2022-12-31"/>
    <s v="Returned to Owner"/>
    <n v="11"/>
    <x v="0"/>
    <n v="0"/>
    <n v="1000"/>
    <x v="0"/>
    <s v="Referral"/>
    <s v="Yes"/>
    <s v="No"/>
    <s v="Yes"/>
    <n v="2022"/>
    <s v="December"/>
    <s v="Q4"/>
  </r>
  <r>
    <s v="A0082"/>
    <s v="Hope Animal Shelter"/>
    <x v="6"/>
    <x v="3"/>
    <s v="Holland Lop"/>
    <x v="1"/>
    <s v="Male"/>
    <n v="3.5"/>
    <n v="25.5"/>
    <x v="1"/>
    <s v="2023-11-07"/>
    <s v="Confiscated"/>
    <s v="2023-12-02"/>
    <s v="Still in Shelter"/>
    <n v="25"/>
    <x v="0"/>
    <n v="0"/>
    <n v="0"/>
    <x v="0"/>
    <s v="Website"/>
    <s v="Yes"/>
    <s v="No"/>
    <s v="No"/>
    <n v="2023"/>
    <s v="November"/>
    <s v="Q4"/>
  </r>
  <r>
    <s v="A0083"/>
    <s v="Second Chance Rescue"/>
    <x v="0"/>
    <x v="1"/>
    <s v="German Shepherd"/>
    <x v="2"/>
    <s v="Female"/>
    <n v="7.8"/>
    <n v="11.8"/>
    <x v="0"/>
    <s v="2023-09-27"/>
    <s v="Abandoned"/>
    <s v="2024-02-18"/>
    <s v="Still in Shelter"/>
    <n v="144"/>
    <x v="0"/>
    <n v="0"/>
    <n v="0"/>
    <x v="0"/>
    <s v="Social Media"/>
    <s v="Yes"/>
    <s v="Yes"/>
    <s v="No"/>
    <n v="2023"/>
    <s v="September"/>
    <s v="Q3"/>
  </r>
  <r>
    <s v="A0084"/>
    <s v="Paws &amp; Claws Rescue"/>
    <x v="3"/>
    <x v="1"/>
    <s v="Poodle"/>
    <x v="1"/>
    <s v="Male"/>
    <n v="10.1"/>
    <n v="4"/>
    <x v="1"/>
    <s v="2023-04-09"/>
    <s v="Transfer from Another Shelter"/>
    <s v="2023-05-15"/>
    <s v="Adopted"/>
    <n v="36"/>
    <x v="2"/>
    <n v="3632"/>
    <n v="0"/>
    <x v="3"/>
    <s v="Website"/>
    <s v="Yes"/>
    <s v="No"/>
    <s v="No"/>
    <n v="2023"/>
    <s v="April"/>
    <s v="Q2"/>
  </r>
  <r>
    <s v="A0085"/>
    <s v="Furever Home"/>
    <x v="4"/>
    <x v="1"/>
    <s v="Mixed Breed"/>
    <x v="5"/>
    <s v="Male"/>
    <n v="7.4"/>
    <n v="26.5"/>
    <x v="0"/>
    <s v="2024-01-17"/>
    <s v="Transfer from Another Shelter"/>
    <s v="2024-07-09"/>
    <s v="Returned to Owner"/>
    <n v="174"/>
    <x v="0"/>
    <n v="0"/>
    <n v="1000"/>
    <x v="0"/>
    <s v="Website"/>
    <s v="Yes"/>
    <s v="No"/>
    <s v="No"/>
    <n v="2024"/>
    <s v="January"/>
    <s v="Q1"/>
  </r>
  <r>
    <s v="A0086"/>
    <s v="Paws &amp; Claws Rescue"/>
    <x v="6"/>
    <x v="1"/>
    <s v="Bulldog"/>
    <x v="8"/>
    <s v="Male"/>
    <n v="11.6"/>
    <n v="28.7"/>
    <x v="4"/>
    <s v="2024-02-22"/>
    <s v="Transfer from Another Shelter"/>
    <s v="2024-06-30"/>
    <s v="Still in Shelter"/>
    <n v="129"/>
    <x v="0"/>
    <n v="0"/>
    <n v="0"/>
    <x v="0"/>
    <s v="Social Media"/>
    <s v="Yes"/>
    <s v="No"/>
    <s v="Yes"/>
    <n v="2024"/>
    <s v="February"/>
    <s v="Q1"/>
  </r>
  <r>
    <s v="A0087"/>
    <s v="Second Chance Rescue"/>
    <x v="5"/>
    <x v="0"/>
    <s v="Persian"/>
    <x v="1"/>
    <s v="Male"/>
    <n v="10"/>
    <n v="3.7"/>
    <x v="3"/>
    <s v="2022-11-25"/>
    <s v="Stray"/>
    <s v="2023-02-03"/>
    <s v="Fostered"/>
    <n v="70"/>
    <x v="0"/>
    <n v="0"/>
    <n v="0"/>
    <x v="0"/>
    <s v="Referral"/>
    <s v="Yes"/>
    <s v="Yes"/>
    <s v="No"/>
    <n v="2022"/>
    <s v="November"/>
    <s v="Q4"/>
  </r>
  <r>
    <s v="A0088"/>
    <s v="Hope Animal Shelter"/>
    <x v="2"/>
    <x v="0"/>
    <s v="Bengal"/>
    <x v="3"/>
    <s v="Male"/>
    <n v="11.2"/>
    <n v="29.5"/>
    <x v="0"/>
    <s v="2023-04-05"/>
    <s v="Abandoned"/>
    <s v="2023-04-13"/>
    <s v="Euthanized"/>
    <n v="8"/>
    <x v="0"/>
    <n v="0"/>
    <n v="0"/>
    <x v="0"/>
    <s v="Referral"/>
    <s v="Yes"/>
    <s v="No"/>
    <s v="No"/>
    <n v="2023"/>
    <s v="April"/>
    <s v="Q2"/>
  </r>
  <r>
    <s v="A0089"/>
    <s v="Hope Animal Shelter"/>
    <x v="1"/>
    <x v="1"/>
    <s v="Labrador"/>
    <x v="4"/>
    <s v="Female"/>
    <n v="2.7"/>
    <n v="5.7"/>
    <x v="0"/>
    <s v="2022-06-12"/>
    <s v="Abandoned"/>
    <s v="2022-06-17"/>
    <s v="Transferred"/>
    <n v="5"/>
    <x v="0"/>
    <n v="0"/>
    <n v="0"/>
    <x v="0"/>
    <s v="Walk-in"/>
    <s v="Yes"/>
    <s v="Yes"/>
    <s v="No"/>
    <n v="2022"/>
    <s v="June"/>
    <s v="Q2"/>
  </r>
  <r>
    <s v="A0090"/>
    <s v="Hope Animal Shelter"/>
    <x v="6"/>
    <x v="1"/>
    <s v="Husky"/>
    <x v="8"/>
    <s v="Female"/>
    <n v="7.6"/>
    <n v="20.3"/>
    <x v="0"/>
    <s v="2022-05-09"/>
    <s v="Born in Shelter"/>
    <s v="2022-06-07"/>
    <s v="Fostered"/>
    <n v="29"/>
    <x v="0"/>
    <n v="0"/>
    <n v="0"/>
    <x v="0"/>
    <s v="Social Media"/>
    <s v="Yes"/>
    <s v="No"/>
    <s v="No"/>
    <n v="2022"/>
    <s v="May"/>
    <s v="Q2"/>
  </r>
  <r>
    <s v="A0091"/>
    <s v="Paws &amp; Claws Rescue"/>
    <x v="3"/>
    <x v="1"/>
    <s v="German Shepherd"/>
    <x v="2"/>
    <s v="Female"/>
    <n v="6.1"/>
    <n v="34.6"/>
    <x v="0"/>
    <s v="2024-12-08"/>
    <s v="Confiscated"/>
    <s v="2024-12-31"/>
    <s v="Adopted"/>
    <n v="93"/>
    <x v="4"/>
    <n v="7309"/>
    <n v="1000"/>
    <x v="4"/>
    <s v="Social Media"/>
    <s v="Yes"/>
    <s v="No"/>
    <s v="Yes"/>
    <n v="2024"/>
    <s v="December"/>
    <s v="Q4"/>
  </r>
  <r>
    <s v="A0092"/>
    <s v="City Animal Shelter"/>
    <x v="6"/>
    <x v="3"/>
    <s v="Mini Rex"/>
    <x v="7"/>
    <s v="Female"/>
    <n v="1.7"/>
    <n v="12.7"/>
    <x v="4"/>
    <s v="2022-08-01"/>
    <s v="Owner Surrender"/>
    <s v="2022-12-28"/>
    <s v="Euthanized"/>
    <n v="149"/>
    <x v="0"/>
    <n v="0"/>
    <n v="0"/>
    <x v="0"/>
    <s v="Website"/>
    <s v="Yes"/>
    <s v="No"/>
    <s v="No"/>
    <n v="2022"/>
    <s v="August"/>
    <s v="Q3"/>
  </r>
  <r>
    <s v="A0093"/>
    <s v="Furever Home"/>
    <x v="5"/>
    <x v="1"/>
    <s v="Bulldog"/>
    <x v="8"/>
    <s v="Male"/>
    <n v="3.9"/>
    <n v="11.2"/>
    <x v="2"/>
    <s v="2023-02-17"/>
    <s v="Confiscated"/>
    <s v="2023-03-01"/>
    <s v="Returned to Owner"/>
    <n v="12"/>
    <x v="0"/>
    <n v="0"/>
    <n v="0"/>
    <x v="0"/>
    <s v="Website"/>
    <s v="Yes"/>
    <s v="No"/>
    <s v="Yes"/>
    <n v="2023"/>
    <s v="February"/>
    <s v="Q1"/>
  </r>
  <r>
    <s v="A0094"/>
    <s v="Furever Home"/>
    <x v="2"/>
    <x v="3"/>
    <s v="Flemish Giant"/>
    <x v="3"/>
    <s v="Female"/>
    <n v="10.7"/>
    <n v="26.1"/>
    <x v="4"/>
    <s v="2022-09-12"/>
    <s v="Transfer from Another Shelter"/>
    <s v="2022-12-16"/>
    <s v="Still in Shelter"/>
    <n v="95"/>
    <x v="0"/>
    <n v="0"/>
    <n v="0"/>
    <x v="0"/>
    <s v="Social Media"/>
    <s v="Yes"/>
    <s v="Yes"/>
    <s v="No"/>
    <n v="2022"/>
    <s v="September"/>
    <s v="Q3"/>
  </r>
  <r>
    <s v="A0095"/>
    <s v="Hope Animal Shelter"/>
    <x v="7"/>
    <x v="0"/>
    <s v="Domestic Shorthair"/>
    <x v="8"/>
    <s v="Female"/>
    <n v="3.9"/>
    <n v="3.3"/>
    <x v="1"/>
    <s v="2023-01-05"/>
    <s v="Confiscated"/>
    <s v="2023-05-25"/>
    <s v="Transferred"/>
    <n v="140"/>
    <x v="0"/>
    <n v="0"/>
    <n v="0"/>
    <x v="0"/>
    <s v="Referral"/>
    <s v="Yes"/>
    <s v="No"/>
    <s v="No"/>
    <n v="2023"/>
    <s v="January"/>
    <s v="Q1"/>
  </r>
  <r>
    <s v="A0096"/>
    <s v="Happy Paws Shelter"/>
    <x v="0"/>
    <x v="3"/>
    <s v="Dutch"/>
    <x v="2"/>
    <s v="Female"/>
    <n v="3.4"/>
    <n v="34.299999999999997"/>
    <x v="1"/>
    <s v="2022-03-28"/>
    <s v="Confiscated"/>
    <s v="2022-06-27"/>
    <s v="Still in Shelter"/>
    <n v="91"/>
    <x v="0"/>
    <n v="0"/>
    <n v="0"/>
    <x v="0"/>
    <s v="Website"/>
    <s v="Yes"/>
    <s v="Yes"/>
    <s v="No"/>
    <n v="2022"/>
    <s v="March"/>
    <s v="Q1"/>
  </r>
  <r>
    <s v="A0097"/>
    <s v="Happy Paws Shelter"/>
    <x v="6"/>
    <x v="1"/>
    <s v="Golden Retriever"/>
    <x v="7"/>
    <s v="Female"/>
    <n v="4.4000000000000004"/>
    <n v="33.299999999999997"/>
    <x v="0"/>
    <s v="2022-05-18"/>
    <s v="Transfer from Another Shelter"/>
    <s v="2022-07-18"/>
    <s v="Euthanized"/>
    <n v="61"/>
    <x v="0"/>
    <n v="0"/>
    <n v="0"/>
    <x v="0"/>
    <s v="Walk-in"/>
    <s v="Yes"/>
    <s v="No"/>
    <s v="No"/>
    <n v="2022"/>
    <s v="May"/>
    <s v="Q2"/>
  </r>
  <r>
    <s v="A0098"/>
    <s v="Paws &amp; Claws Rescue"/>
    <x v="0"/>
    <x v="2"/>
    <s v="Canary"/>
    <x v="8"/>
    <s v="Female"/>
    <n v="2.2999999999999998"/>
    <n v="18.399999999999999"/>
    <x v="4"/>
    <s v="2023-07-25"/>
    <s v="Transfer from Another Shelter"/>
    <s v="2023-09-27"/>
    <s v="Adopted"/>
    <n v="64"/>
    <x v="2"/>
    <n v="606"/>
    <n v="2000"/>
    <x v="4"/>
    <s v="Referral"/>
    <s v="Yes"/>
    <s v="Yes"/>
    <s v="No"/>
    <n v="2023"/>
    <s v="July"/>
    <s v="Q3"/>
  </r>
  <r>
    <s v="A0099"/>
    <s v="Hope Animal Shelter"/>
    <x v="2"/>
    <x v="0"/>
    <s v="Domestic Shorthair"/>
    <x v="4"/>
    <s v="Female"/>
    <n v="11.6"/>
    <n v="34.5"/>
    <x v="0"/>
    <s v="2022-12-20"/>
    <s v="Owner Surrender"/>
    <s v="2023-04-13"/>
    <s v="Adopted"/>
    <n v="114"/>
    <x v="2"/>
    <n v="4819"/>
    <n v="2000"/>
    <x v="4"/>
    <s v="Event"/>
    <s v="Yes"/>
    <s v="Yes"/>
    <s v="No"/>
    <n v="2022"/>
    <s v="December"/>
    <s v="Q4"/>
  </r>
  <r>
    <s v="A0100"/>
    <s v="Paws &amp; Claws Rescue"/>
    <x v="6"/>
    <x v="1"/>
    <s v="Poodle"/>
    <x v="0"/>
    <s v="Male"/>
    <n v="6.7"/>
    <n v="13.2"/>
    <x v="0"/>
    <s v="2024-10-08"/>
    <s v="Abandoned"/>
    <s v="2024-10-15"/>
    <s v="Euthanized"/>
    <n v="7"/>
    <x v="0"/>
    <n v="0"/>
    <n v="0"/>
    <x v="0"/>
    <s v="Referral"/>
    <s v="No"/>
    <s v="No"/>
    <s v="No"/>
    <n v="2024"/>
    <s v="October"/>
    <s v="Q4"/>
  </r>
  <r>
    <s v="A0101"/>
    <s v="Hope Animal Shelter"/>
    <x v="2"/>
    <x v="2"/>
    <s v="Finch"/>
    <x v="3"/>
    <s v="Male"/>
    <n v="7.7"/>
    <n v="16"/>
    <x v="2"/>
    <s v="2022-06-01"/>
    <s v="Owner Surrender"/>
    <s v="2022-07-04"/>
    <s v="Euthanized"/>
    <n v="33"/>
    <x v="0"/>
    <n v="0"/>
    <n v="0"/>
    <x v="0"/>
    <s v="Referral"/>
    <s v="Yes"/>
    <s v="Yes"/>
    <s v="No"/>
    <n v="2022"/>
    <s v="June"/>
    <s v="Q2"/>
  </r>
  <r>
    <s v="A0102"/>
    <s v="City Animal Shelter"/>
    <x v="0"/>
    <x v="0"/>
    <s v="Siamese"/>
    <x v="8"/>
    <s v="Male"/>
    <n v="11.4"/>
    <n v="18.399999999999999"/>
    <x v="4"/>
    <s v="2022-11-28"/>
    <s v="Born in Shelter"/>
    <s v="2023-02-19"/>
    <s v="Returned to Owner"/>
    <n v="83"/>
    <x v="0"/>
    <n v="0"/>
    <n v="500"/>
    <x v="0"/>
    <s v="Social Media"/>
    <s v="Yes"/>
    <s v="No"/>
    <s v="No"/>
    <n v="2022"/>
    <s v="November"/>
    <s v="Q4"/>
  </r>
  <r>
    <s v="A0103"/>
    <s v="Hope Animal Shelter"/>
    <x v="2"/>
    <x v="1"/>
    <s v="German Shepherd"/>
    <x v="0"/>
    <s v="Male"/>
    <n v="1.9"/>
    <n v="23.2"/>
    <x v="2"/>
    <s v="2024-10-26"/>
    <s v="Stray"/>
    <s v="2024-12-31"/>
    <s v="Adopted"/>
    <n v="165"/>
    <x v="5"/>
    <n v="7848"/>
    <n v="1000"/>
    <x v="1"/>
    <s v="Event"/>
    <s v="Yes"/>
    <s v="No"/>
    <s v="No"/>
    <n v="2024"/>
    <s v="October"/>
    <s v="Q4"/>
  </r>
  <r>
    <s v="A0104"/>
    <s v="Second Chance Rescue"/>
    <x v="1"/>
    <x v="1"/>
    <s v="Mixed Breed"/>
    <x v="8"/>
    <s v="Female"/>
    <n v="7.7"/>
    <n v="10.9"/>
    <x v="0"/>
    <s v="2022-03-04"/>
    <s v="Confiscated"/>
    <s v="2022-07-10"/>
    <s v="Transferred"/>
    <n v="128"/>
    <x v="0"/>
    <n v="0"/>
    <n v="0"/>
    <x v="0"/>
    <s v="Walk-in"/>
    <s v="Yes"/>
    <s v="No"/>
    <s v="No"/>
    <n v="2022"/>
    <s v="March"/>
    <s v="Q1"/>
  </r>
  <r>
    <s v="A0105"/>
    <s v="City Animal Shelter"/>
    <x v="1"/>
    <x v="1"/>
    <s v="Husky"/>
    <x v="3"/>
    <s v="Female"/>
    <n v="8.6"/>
    <n v="25.8"/>
    <x v="1"/>
    <s v="2023-02-22"/>
    <s v="Born in Shelter"/>
    <s v="2023-05-21"/>
    <s v="Adopted"/>
    <n v="88"/>
    <x v="5"/>
    <n v="5560"/>
    <n v="5000"/>
    <x v="4"/>
    <s v="Website"/>
    <s v="No"/>
    <s v="Yes"/>
    <s v="No"/>
    <n v="2023"/>
    <s v="February"/>
    <s v="Q1"/>
  </r>
  <r>
    <s v="A0106"/>
    <s v="Second Chance Rescue"/>
    <x v="2"/>
    <x v="1"/>
    <s v="Poodle"/>
    <x v="0"/>
    <s v="Female"/>
    <n v="10.4"/>
    <n v="14.9"/>
    <x v="0"/>
    <s v="2022-10-16"/>
    <s v="Owner Surrender"/>
    <s v="2022-11-10"/>
    <s v="Adopted"/>
    <n v="25"/>
    <x v="4"/>
    <n v="5377"/>
    <n v="500"/>
    <x v="2"/>
    <s v="Referral"/>
    <s v="Yes"/>
    <s v="No"/>
    <s v="Yes"/>
    <n v="2022"/>
    <s v="October"/>
    <s v="Q4"/>
  </r>
  <r>
    <s v="A0107"/>
    <s v="City Animal Shelter"/>
    <x v="5"/>
    <x v="0"/>
    <s v="Domestic Shorthair"/>
    <x v="0"/>
    <s v="Female"/>
    <n v="7"/>
    <n v="2.2000000000000002"/>
    <x v="0"/>
    <s v="2024-11-01"/>
    <s v="Born in Shelter"/>
    <s v="2024-12-31"/>
    <s v="Returned to Owner"/>
    <n v="118"/>
    <x v="0"/>
    <n v="0"/>
    <n v="0"/>
    <x v="0"/>
    <s v="Walk-in"/>
    <s v="Yes"/>
    <s v="No"/>
    <s v="No"/>
    <n v="2024"/>
    <s v="November"/>
    <s v="Q4"/>
  </r>
  <r>
    <s v="A0108"/>
    <s v="Paws &amp; Claws Rescue"/>
    <x v="4"/>
    <x v="0"/>
    <s v="Mixed Breed"/>
    <x v="1"/>
    <s v="Female"/>
    <n v="0.6"/>
    <n v="2.2999999999999998"/>
    <x v="0"/>
    <s v="2024-01-20"/>
    <s v="Transfer from Another Shelter"/>
    <s v="2024-05-03"/>
    <s v="Euthanized"/>
    <n v="104"/>
    <x v="0"/>
    <n v="0"/>
    <n v="0"/>
    <x v="0"/>
    <s v="Event"/>
    <s v="No"/>
    <s v="No"/>
    <s v="No"/>
    <n v="2024"/>
    <s v="January"/>
    <s v="Q1"/>
  </r>
  <r>
    <s v="A0109"/>
    <s v="Paws &amp; Claws Rescue"/>
    <x v="2"/>
    <x v="1"/>
    <s v="German Shepherd"/>
    <x v="3"/>
    <s v="Male"/>
    <n v="4.5"/>
    <n v="34.5"/>
    <x v="1"/>
    <s v="2022-09-21"/>
    <s v="Born in Shelter"/>
    <s v="2022-10-16"/>
    <s v="Still in Shelter"/>
    <n v="25"/>
    <x v="0"/>
    <n v="0"/>
    <n v="0"/>
    <x v="0"/>
    <s v="Referral"/>
    <s v="Yes"/>
    <s v="Yes"/>
    <s v="Yes"/>
    <n v="2022"/>
    <s v="September"/>
    <s v="Q3"/>
  </r>
  <r>
    <s v="A0110"/>
    <s v="City Animal Shelter"/>
    <x v="2"/>
    <x v="1"/>
    <s v="Beagle"/>
    <x v="3"/>
    <s v="Female"/>
    <n v="7.3"/>
    <n v="18.3"/>
    <x v="1"/>
    <s v="2024-08-28"/>
    <s v="Confiscated"/>
    <s v="2024-12-31"/>
    <s v="Fostered"/>
    <n v="133"/>
    <x v="0"/>
    <n v="0"/>
    <n v="0"/>
    <x v="0"/>
    <s v="Social Media"/>
    <s v="Yes"/>
    <s v="No"/>
    <s v="No"/>
    <n v="2024"/>
    <s v="August"/>
    <s v="Q3"/>
  </r>
  <r>
    <s v="A0111"/>
    <s v="Furever Home"/>
    <x v="7"/>
    <x v="1"/>
    <s v="Bulldog"/>
    <x v="9"/>
    <s v="Female"/>
    <n v="4"/>
    <n v="4.3"/>
    <x v="0"/>
    <s v="2024-08-30"/>
    <s v="Confiscated"/>
    <s v="2024-09-04"/>
    <s v="Euthanized"/>
    <n v="5"/>
    <x v="0"/>
    <n v="0"/>
    <n v="0"/>
    <x v="0"/>
    <s v="Event"/>
    <s v="Yes"/>
    <s v="No"/>
    <s v="Yes"/>
    <n v="2024"/>
    <s v="August"/>
    <s v="Q3"/>
  </r>
  <r>
    <s v="A0112"/>
    <s v="Happy Paws Shelter"/>
    <x v="0"/>
    <x v="1"/>
    <s v="Husky"/>
    <x v="6"/>
    <s v="Male"/>
    <n v="1.9"/>
    <n v="24"/>
    <x v="3"/>
    <s v="2022-12-16"/>
    <s v="Abandoned"/>
    <s v="2023-04-30"/>
    <s v="Still in Shelter"/>
    <n v="135"/>
    <x v="0"/>
    <n v="0"/>
    <n v="0"/>
    <x v="0"/>
    <s v="Referral"/>
    <s v="Yes"/>
    <s v="No"/>
    <s v="No"/>
    <n v="2022"/>
    <s v="December"/>
    <s v="Q4"/>
  </r>
  <r>
    <s v="A0113"/>
    <s v="Furever Home"/>
    <x v="1"/>
    <x v="2"/>
    <s v="Finch"/>
    <x v="1"/>
    <s v="Male"/>
    <n v="6.8"/>
    <n v="34.9"/>
    <x v="3"/>
    <s v="2024-08-23"/>
    <s v="Born in Shelter"/>
    <s v="2024-09-08"/>
    <s v="Adopted"/>
    <n v="16"/>
    <x v="1"/>
    <n v="2624"/>
    <n v="0"/>
    <x v="4"/>
    <s v="Social Media"/>
    <s v="No"/>
    <s v="Yes"/>
    <s v="No"/>
    <n v="2024"/>
    <s v="August"/>
    <s v="Q3"/>
  </r>
  <r>
    <s v="A0114"/>
    <s v="Hope Animal Shelter"/>
    <x v="5"/>
    <x v="0"/>
    <s v="Maine Coon"/>
    <x v="1"/>
    <s v="Female"/>
    <n v="9.3000000000000007"/>
    <n v="24.8"/>
    <x v="0"/>
    <s v="2023-09-04"/>
    <s v="Born in Shelter"/>
    <s v="2023-11-01"/>
    <s v="Transferred"/>
    <n v="58"/>
    <x v="0"/>
    <n v="0"/>
    <n v="0"/>
    <x v="0"/>
    <s v="Social Media"/>
    <s v="Yes"/>
    <s v="Yes"/>
    <s v="No"/>
    <n v="2023"/>
    <s v="September"/>
    <s v="Q3"/>
  </r>
  <r>
    <s v="A0115"/>
    <s v="Hope Animal Shelter"/>
    <x v="7"/>
    <x v="2"/>
    <s v="Canary"/>
    <x v="7"/>
    <s v="Male"/>
    <n v="1"/>
    <n v="32.4"/>
    <x v="0"/>
    <s v="2022-10-27"/>
    <s v="Born in Shelter"/>
    <s v="2023-01-10"/>
    <s v="Adopted"/>
    <n v="75"/>
    <x v="1"/>
    <n v="1678"/>
    <n v="2000"/>
    <x v="4"/>
    <s v="Website"/>
    <s v="Yes"/>
    <s v="No"/>
    <s v="No"/>
    <n v="2022"/>
    <s v="October"/>
    <s v="Q4"/>
  </r>
  <r>
    <s v="A0116"/>
    <s v="Furever Home"/>
    <x v="0"/>
    <x v="1"/>
    <s v="Labrador"/>
    <x v="3"/>
    <s v="Male"/>
    <n v="1.3"/>
    <n v="11.9"/>
    <x v="1"/>
    <s v="2024-12-23"/>
    <s v="Owner Surrender"/>
    <s v="2024-12-31"/>
    <s v="Returned to Owner"/>
    <n v="58"/>
    <x v="0"/>
    <n v="0"/>
    <n v="0"/>
    <x v="0"/>
    <s v="Referral"/>
    <s v="No"/>
    <s v="No"/>
    <s v="No"/>
    <n v="2024"/>
    <s v="December"/>
    <s v="Q4"/>
  </r>
  <r>
    <s v="A0117"/>
    <s v="Hope Animal Shelter"/>
    <x v="3"/>
    <x v="0"/>
    <s v="Bengal"/>
    <x v="3"/>
    <s v="Female"/>
    <n v="7.9"/>
    <n v="8.5"/>
    <x v="2"/>
    <s v="2023-08-08"/>
    <s v="Owner Surrender"/>
    <s v="2024-01-21"/>
    <s v="Adopted"/>
    <n v="166"/>
    <x v="5"/>
    <n v="4648"/>
    <n v="0"/>
    <x v="2"/>
    <s v="Referral"/>
    <s v="Yes"/>
    <s v="No"/>
    <s v="No"/>
    <n v="2023"/>
    <s v="August"/>
    <s v="Q3"/>
  </r>
  <r>
    <s v="A0118"/>
    <s v="Paws &amp; Claws Rescue"/>
    <x v="5"/>
    <x v="1"/>
    <s v="Labrador"/>
    <x v="3"/>
    <s v="Female"/>
    <n v="5.5"/>
    <n v="22.6"/>
    <x v="0"/>
    <s v="2023-09-04"/>
    <s v="Owner Surrender"/>
    <s v="2024-01-28"/>
    <s v="Adopted"/>
    <n v="146"/>
    <x v="5"/>
    <n v="5744"/>
    <n v="0"/>
    <x v="4"/>
    <s v="Website"/>
    <s v="No"/>
    <s v="No"/>
    <s v="No"/>
    <n v="2023"/>
    <s v="September"/>
    <s v="Q3"/>
  </r>
  <r>
    <s v="A0119"/>
    <s v="Furever Home"/>
    <x v="1"/>
    <x v="1"/>
    <s v="Labrador"/>
    <x v="5"/>
    <s v="Female"/>
    <n v="7.4"/>
    <n v="22.5"/>
    <x v="0"/>
    <s v="2023-11-22"/>
    <s v="Transfer from Another Shelter"/>
    <s v="2024-02-06"/>
    <s v="Returned to Owner"/>
    <n v="76"/>
    <x v="0"/>
    <n v="0"/>
    <n v="0"/>
    <x v="0"/>
    <s v="Walk-in"/>
    <s v="Yes"/>
    <s v="Yes"/>
    <s v="No"/>
    <n v="2023"/>
    <s v="November"/>
    <s v="Q4"/>
  </r>
  <r>
    <s v="A0120"/>
    <s v="City Animal Shelter"/>
    <x v="7"/>
    <x v="3"/>
    <s v="Mini Rex"/>
    <x v="0"/>
    <s v="Male"/>
    <n v="2.9"/>
    <n v="26.5"/>
    <x v="0"/>
    <s v="2022-01-14"/>
    <s v="Confiscated"/>
    <s v="2022-03-22"/>
    <s v="Still in Shelter"/>
    <n v="67"/>
    <x v="0"/>
    <n v="0"/>
    <n v="0"/>
    <x v="0"/>
    <s v="Social Media"/>
    <s v="Yes"/>
    <s v="Yes"/>
    <s v="Yes"/>
    <n v="2022"/>
    <s v="January"/>
    <s v="Q1"/>
  </r>
  <r>
    <s v="A0121"/>
    <s v="City Animal Shelter"/>
    <x v="2"/>
    <x v="1"/>
    <s v="Bulldog"/>
    <x v="0"/>
    <s v="Male"/>
    <n v="8.3000000000000007"/>
    <n v="22.5"/>
    <x v="0"/>
    <s v="2022-11-24"/>
    <s v="Owner Surrender"/>
    <s v="2023-03-08"/>
    <s v="Transferred"/>
    <n v="104"/>
    <x v="0"/>
    <n v="0"/>
    <n v="0"/>
    <x v="0"/>
    <s v="Referral"/>
    <s v="Yes"/>
    <s v="No"/>
    <s v="No"/>
    <n v="2022"/>
    <s v="November"/>
    <s v="Q4"/>
  </r>
  <r>
    <s v="A0122"/>
    <s v="Happy Paws Shelter"/>
    <x v="5"/>
    <x v="2"/>
    <s v="Finch"/>
    <x v="5"/>
    <s v="Female"/>
    <n v="8.1999999999999993"/>
    <n v="21.1"/>
    <x v="0"/>
    <s v="2024-08-22"/>
    <s v="Born in Shelter"/>
    <s v="2024-12-31"/>
    <s v="Returned to Owner"/>
    <n v="138"/>
    <x v="0"/>
    <n v="0"/>
    <n v="0"/>
    <x v="0"/>
    <s v="Walk-in"/>
    <s v="Yes"/>
    <s v="No"/>
    <s v="No"/>
    <n v="2024"/>
    <s v="August"/>
    <s v="Q3"/>
  </r>
  <r>
    <s v="A0123"/>
    <s v="Furever Home"/>
    <x v="0"/>
    <x v="1"/>
    <s v="Golden Retriever"/>
    <x v="5"/>
    <s v="Female"/>
    <n v="8.1999999999999993"/>
    <n v="25.2"/>
    <x v="2"/>
    <s v="2022-12-03"/>
    <s v="Stray"/>
    <s v="2023-02-25"/>
    <s v="Fostered"/>
    <n v="84"/>
    <x v="0"/>
    <n v="0"/>
    <n v="0"/>
    <x v="0"/>
    <s v="Referral"/>
    <s v="Yes"/>
    <s v="No"/>
    <s v="No"/>
    <n v="2022"/>
    <s v="December"/>
    <s v="Q4"/>
  </r>
  <r>
    <s v="A0124"/>
    <s v="Happy Paws Shelter"/>
    <x v="4"/>
    <x v="1"/>
    <s v="Labrador"/>
    <x v="0"/>
    <s v="Male"/>
    <n v="8.6999999999999993"/>
    <n v="14.2"/>
    <x v="0"/>
    <s v="2024-08-04"/>
    <s v="Transfer from Another Shelter"/>
    <s v="2024-12-31"/>
    <s v="Transferred"/>
    <n v="173"/>
    <x v="0"/>
    <n v="0"/>
    <n v="0"/>
    <x v="0"/>
    <s v="Social Media"/>
    <s v="Yes"/>
    <s v="No"/>
    <s v="Yes"/>
    <n v="2024"/>
    <s v="August"/>
    <s v="Q3"/>
  </r>
  <r>
    <s v="A0125"/>
    <s v="Hope Animal Shelter"/>
    <x v="1"/>
    <x v="0"/>
    <s v="Domestic Shorthair"/>
    <x v="1"/>
    <s v="Female"/>
    <n v="2.2000000000000002"/>
    <n v="5.2"/>
    <x v="3"/>
    <s v="2022-03-06"/>
    <s v="Transfer from Another Shelter"/>
    <s v="2022-05-19"/>
    <s v="Still in Shelter"/>
    <n v="74"/>
    <x v="0"/>
    <n v="0"/>
    <n v="0"/>
    <x v="0"/>
    <s v="Referral"/>
    <s v="Yes"/>
    <s v="No"/>
    <s v="No"/>
    <n v="2022"/>
    <s v="March"/>
    <s v="Q1"/>
  </r>
  <r>
    <s v="A0126"/>
    <s v="Second Chance Rescue"/>
    <x v="3"/>
    <x v="3"/>
    <s v="Holland Lop"/>
    <x v="9"/>
    <s v="Female"/>
    <n v="6.4"/>
    <n v="25.6"/>
    <x v="3"/>
    <s v="2023-01-01"/>
    <s v="Confiscated"/>
    <s v="2023-05-19"/>
    <s v="Still in Shelter"/>
    <n v="138"/>
    <x v="0"/>
    <n v="0"/>
    <n v="0"/>
    <x v="0"/>
    <s v="Event"/>
    <s v="No"/>
    <s v="No"/>
    <s v="No"/>
    <n v="2023"/>
    <s v="January"/>
    <s v="Q1"/>
  </r>
  <r>
    <s v="A0127"/>
    <s v="Happy Paws Shelter"/>
    <x v="3"/>
    <x v="1"/>
    <s v="Poodle"/>
    <x v="2"/>
    <s v="Male"/>
    <n v="11.3"/>
    <n v="25.5"/>
    <x v="0"/>
    <s v="2024-08-01"/>
    <s v="Owner Surrender"/>
    <s v="2024-10-29"/>
    <s v="Adopted"/>
    <n v="89"/>
    <x v="5"/>
    <n v="5258"/>
    <n v="0"/>
    <x v="1"/>
    <s v="Event"/>
    <s v="Yes"/>
    <s v="No"/>
    <s v="Yes"/>
    <n v="2024"/>
    <s v="August"/>
    <s v="Q3"/>
  </r>
  <r>
    <s v="A0128"/>
    <s v="Second Chance Rescue"/>
    <x v="7"/>
    <x v="1"/>
    <s v="Labrador"/>
    <x v="6"/>
    <s v="Female"/>
    <n v="9.1"/>
    <n v="27.3"/>
    <x v="1"/>
    <s v="2024-04-03"/>
    <s v="Born in Shelter"/>
    <s v="2024-07-25"/>
    <s v="Returned to Owner"/>
    <n v="113"/>
    <x v="0"/>
    <n v="0"/>
    <n v="0"/>
    <x v="0"/>
    <s v="Social Media"/>
    <s v="Yes"/>
    <s v="No"/>
    <s v="No"/>
    <n v="2024"/>
    <s v="April"/>
    <s v="Q2"/>
  </r>
  <r>
    <s v="A0129"/>
    <s v="Hope Animal Shelter"/>
    <x v="6"/>
    <x v="0"/>
    <s v="Siamese"/>
    <x v="2"/>
    <s v="Female"/>
    <n v="0.8"/>
    <n v="33.200000000000003"/>
    <x v="0"/>
    <s v="2024-04-26"/>
    <s v="Abandoned"/>
    <s v="2024-07-12"/>
    <s v="Transferred"/>
    <n v="77"/>
    <x v="0"/>
    <n v="0"/>
    <n v="0"/>
    <x v="0"/>
    <s v="Referral"/>
    <s v="Yes"/>
    <s v="No"/>
    <s v="No"/>
    <n v="2024"/>
    <s v="April"/>
    <s v="Q2"/>
  </r>
  <r>
    <s v="A0130"/>
    <s v="Hope Animal Shelter"/>
    <x v="6"/>
    <x v="2"/>
    <s v="Cockatiel"/>
    <x v="7"/>
    <s v="Male"/>
    <n v="3"/>
    <n v="8.3000000000000007"/>
    <x v="1"/>
    <s v="2023-09-07"/>
    <s v="Transfer from Another Shelter"/>
    <s v="2023-12-13"/>
    <s v="Adopted"/>
    <n v="97"/>
    <x v="4"/>
    <n v="2703"/>
    <n v="500"/>
    <x v="3"/>
    <s v="Referral"/>
    <s v="Yes"/>
    <s v="No"/>
    <s v="No"/>
    <n v="2023"/>
    <s v="September"/>
    <s v="Q3"/>
  </r>
  <r>
    <s v="A0131"/>
    <s v="Furever Home"/>
    <x v="3"/>
    <x v="3"/>
    <s v="Holland Lop"/>
    <x v="4"/>
    <s v="Male"/>
    <n v="10"/>
    <n v="2.2999999999999998"/>
    <x v="2"/>
    <s v="2024-07-10"/>
    <s v="Born in Shelter"/>
    <s v="2024-10-13"/>
    <s v="Adopted"/>
    <n v="95"/>
    <x v="3"/>
    <n v="2693"/>
    <n v="2000"/>
    <x v="3"/>
    <s v="Referral"/>
    <s v="Yes"/>
    <s v="No"/>
    <s v="No"/>
    <n v="2024"/>
    <s v="July"/>
    <s v="Q3"/>
  </r>
  <r>
    <s v="A0132"/>
    <s v="Furever Home"/>
    <x v="4"/>
    <x v="1"/>
    <s v="Poodle"/>
    <x v="5"/>
    <s v="Female"/>
    <n v="8.4"/>
    <n v="24.8"/>
    <x v="2"/>
    <s v="2023-01-25"/>
    <s v="Abandoned"/>
    <s v="2023-02-25"/>
    <s v="Fostered"/>
    <n v="31"/>
    <x v="0"/>
    <n v="0"/>
    <n v="0"/>
    <x v="0"/>
    <s v="Referral"/>
    <s v="No"/>
    <s v="No"/>
    <s v="No"/>
    <n v="2023"/>
    <s v="January"/>
    <s v="Q1"/>
  </r>
  <r>
    <s v="A0133"/>
    <s v="Furever Home"/>
    <x v="2"/>
    <x v="0"/>
    <s v="Bengal"/>
    <x v="6"/>
    <s v="Female"/>
    <n v="1.3"/>
    <n v="34.4"/>
    <x v="0"/>
    <s v="2024-01-07"/>
    <s v="Transfer from Another Shelter"/>
    <s v="2024-05-18"/>
    <s v="Fostered"/>
    <n v="132"/>
    <x v="0"/>
    <n v="0"/>
    <n v="1000"/>
    <x v="0"/>
    <s v="Walk-in"/>
    <s v="Yes"/>
    <s v="No"/>
    <s v="No"/>
    <n v="2024"/>
    <s v="January"/>
    <s v="Q1"/>
  </r>
  <r>
    <s v="A0134"/>
    <s v="Second Chance Rescue"/>
    <x v="5"/>
    <x v="1"/>
    <s v="Bulldog"/>
    <x v="5"/>
    <s v="Female"/>
    <n v="2.8"/>
    <n v="20.2"/>
    <x v="0"/>
    <s v="2024-05-05"/>
    <s v="Transfer from Another Shelter"/>
    <s v="2024-07-20"/>
    <s v="Adopted"/>
    <n v="76"/>
    <x v="4"/>
    <n v="4607"/>
    <n v="0"/>
    <x v="2"/>
    <s v="Website"/>
    <s v="Yes"/>
    <s v="Yes"/>
    <s v="No"/>
    <n v="2024"/>
    <s v="May"/>
    <s v="Q2"/>
  </r>
  <r>
    <s v="A0135"/>
    <s v="Hope Animal Shelter"/>
    <x v="3"/>
    <x v="0"/>
    <s v="Domestic Shorthair"/>
    <x v="9"/>
    <s v="Female"/>
    <n v="10.1"/>
    <n v="3.1"/>
    <x v="0"/>
    <s v="2023-01-12"/>
    <s v="Confiscated"/>
    <s v="2023-05-31"/>
    <s v="Adopted"/>
    <n v="139"/>
    <x v="2"/>
    <n v="3646"/>
    <n v="0"/>
    <x v="1"/>
    <s v="Website"/>
    <s v="Yes"/>
    <s v="Yes"/>
    <s v="No"/>
    <n v="2023"/>
    <s v="January"/>
    <s v="Q1"/>
  </r>
  <r>
    <s v="A0136"/>
    <s v="Happy Paws Shelter"/>
    <x v="3"/>
    <x v="3"/>
    <s v="Holland Lop"/>
    <x v="5"/>
    <s v="Female"/>
    <n v="0.2"/>
    <n v="19.5"/>
    <x v="1"/>
    <s v="2024-09-16"/>
    <s v="Abandoned"/>
    <s v="2024-12-31"/>
    <s v="Fostered"/>
    <n v="169"/>
    <x v="0"/>
    <n v="0"/>
    <n v="0"/>
    <x v="0"/>
    <s v="Walk-in"/>
    <s v="No"/>
    <s v="Yes"/>
    <s v="Yes"/>
    <n v="2024"/>
    <s v="September"/>
    <s v="Q3"/>
  </r>
  <r>
    <s v="A0137"/>
    <s v="Furever Home"/>
    <x v="0"/>
    <x v="0"/>
    <s v="Maine Coon"/>
    <x v="1"/>
    <s v="Female"/>
    <n v="9.8000000000000007"/>
    <n v="9.6999999999999993"/>
    <x v="3"/>
    <s v="2022-11-01"/>
    <s v="Born in Shelter"/>
    <s v="2023-01-02"/>
    <s v="Returned to Owner"/>
    <n v="62"/>
    <x v="0"/>
    <n v="0"/>
    <n v="500"/>
    <x v="0"/>
    <s v="Website"/>
    <s v="Yes"/>
    <s v="No"/>
    <s v="Yes"/>
    <n v="2022"/>
    <s v="November"/>
    <s v="Q4"/>
  </r>
  <r>
    <s v="A0138"/>
    <s v="Happy Paws Shelter"/>
    <x v="6"/>
    <x v="1"/>
    <s v="German Shepherd"/>
    <x v="4"/>
    <s v="Female"/>
    <n v="6.7"/>
    <n v="2.4"/>
    <x v="2"/>
    <s v="2024-04-10"/>
    <s v="Transfer from Another Shelter"/>
    <s v="2024-07-17"/>
    <s v="Still in Shelter"/>
    <n v="98"/>
    <x v="0"/>
    <n v="0"/>
    <n v="0"/>
    <x v="0"/>
    <s v="Social Media"/>
    <s v="Yes"/>
    <s v="No"/>
    <s v="Yes"/>
    <n v="2024"/>
    <s v="April"/>
    <s v="Q2"/>
  </r>
  <r>
    <s v="A0139"/>
    <s v="Paws &amp; Claws Rescue"/>
    <x v="3"/>
    <x v="1"/>
    <s v="Poodle"/>
    <x v="3"/>
    <s v="Female"/>
    <n v="11.1"/>
    <n v="31.5"/>
    <x v="0"/>
    <s v="2024-08-31"/>
    <s v="Owner Surrender"/>
    <s v="2024-11-09"/>
    <s v="Adopted"/>
    <n v="70"/>
    <x v="3"/>
    <n v="3609"/>
    <n v="2000"/>
    <x v="3"/>
    <s v="Referral"/>
    <s v="Yes"/>
    <s v="No"/>
    <s v="No"/>
    <n v="2024"/>
    <s v="August"/>
    <s v="Q3"/>
  </r>
  <r>
    <s v="A0140"/>
    <s v="Hope Animal Shelter"/>
    <x v="0"/>
    <x v="1"/>
    <s v="Poodle"/>
    <x v="5"/>
    <s v="Female"/>
    <n v="4.7"/>
    <n v="26"/>
    <x v="0"/>
    <s v="2024-03-07"/>
    <s v="Stray"/>
    <s v="2024-08-28"/>
    <s v="Euthanized"/>
    <n v="174"/>
    <x v="0"/>
    <n v="0"/>
    <n v="0"/>
    <x v="0"/>
    <s v="Referral"/>
    <s v="Yes"/>
    <s v="Yes"/>
    <s v="No"/>
    <n v="2024"/>
    <s v="March"/>
    <s v="Q1"/>
  </r>
  <r>
    <s v="A0141"/>
    <s v="Second Chance Rescue"/>
    <x v="2"/>
    <x v="1"/>
    <s v="Mixed Breed"/>
    <x v="5"/>
    <s v="Female"/>
    <n v="9.4"/>
    <n v="16"/>
    <x v="3"/>
    <s v="2023-10-31"/>
    <s v="Owner Surrender"/>
    <s v="2023-11-08"/>
    <s v="Transferred"/>
    <n v="8"/>
    <x v="0"/>
    <n v="0"/>
    <n v="0"/>
    <x v="0"/>
    <s v="Event"/>
    <s v="No"/>
    <s v="Yes"/>
    <s v="No"/>
    <n v="2023"/>
    <s v="October"/>
    <s v="Q4"/>
  </r>
  <r>
    <s v="A0142"/>
    <s v="Furever Home"/>
    <x v="2"/>
    <x v="1"/>
    <s v="German Shepherd"/>
    <x v="1"/>
    <s v="Male"/>
    <n v="9.4"/>
    <n v="5.8"/>
    <x v="0"/>
    <s v="2022-06-18"/>
    <s v="Stray"/>
    <s v="2022-08-26"/>
    <s v="Adopted"/>
    <n v="69"/>
    <x v="1"/>
    <n v="6112"/>
    <n v="2000"/>
    <x v="2"/>
    <s v="Social Media"/>
    <s v="Yes"/>
    <s v="Yes"/>
    <s v="No"/>
    <n v="2022"/>
    <s v="June"/>
    <s v="Q2"/>
  </r>
  <r>
    <s v="A0143"/>
    <s v="Paws &amp; Claws Rescue"/>
    <x v="0"/>
    <x v="0"/>
    <s v="Siamese"/>
    <x v="0"/>
    <s v="Female"/>
    <n v="1.3"/>
    <n v="3.6"/>
    <x v="2"/>
    <s v="2024-06-01"/>
    <s v="Transfer from Another Shelter"/>
    <s v="2024-09-24"/>
    <s v="Still in Shelter"/>
    <n v="115"/>
    <x v="0"/>
    <n v="0"/>
    <n v="0"/>
    <x v="0"/>
    <s v="Walk-in"/>
    <s v="Yes"/>
    <s v="No"/>
    <s v="No"/>
    <n v="2024"/>
    <s v="June"/>
    <s v="Q2"/>
  </r>
  <r>
    <s v="A0144"/>
    <s v="City Animal Shelter"/>
    <x v="5"/>
    <x v="0"/>
    <s v="Mixed Breed"/>
    <x v="3"/>
    <s v="Male"/>
    <n v="2.1"/>
    <n v="9.8000000000000007"/>
    <x v="0"/>
    <s v="2023-05-13"/>
    <s v="Transfer from Another Shelter"/>
    <s v="2023-10-07"/>
    <s v="Adopted"/>
    <n v="147"/>
    <x v="1"/>
    <n v="4307"/>
    <n v="500"/>
    <x v="2"/>
    <s v="Social Media"/>
    <s v="No"/>
    <s v="Yes"/>
    <s v="No"/>
    <n v="2023"/>
    <s v="May"/>
    <s v="Q2"/>
  </r>
  <r>
    <s v="A0145"/>
    <s v="Furever Home"/>
    <x v="2"/>
    <x v="0"/>
    <s v="Siamese"/>
    <x v="0"/>
    <s v="Female"/>
    <n v="1.4"/>
    <n v="11"/>
    <x v="2"/>
    <s v="2024-10-12"/>
    <s v="Abandoned"/>
    <s v="2024-12-31"/>
    <s v="Returned to Owner"/>
    <n v="153"/>
    <x v="0"/>
    <n v="0"/>
    <n v="1000"/>
    <x v="0"/>
    <s v="Referral"/>
    <s v="Yes"/>
    <s v="No"/>
    <s v="No"/>
    <n v="2024"/>
    <s v="October"/>
    <s v="Q4"/>
  </r>
  <r>
    <s v="A0146"/>
    <s v="City Animal Shelter"/>
    <x v="7"/>
    <x v="0"/>
    <s v="Bengal"/>
    <x v="7"/>
    <s v="Male"/>
    <n v="2.2000000000000002"/>
    <n v="14.2"/>
    <x v="0"/>
    <s v="2023-02-16"/>
    <s v="Transfer from Another Shelter"/>
    <s v="2023-06-19"/>
    <s v="Euthanized"/>
    <n v="123"/>
    <x v="0"/>
    <n v="0"/>
    <n v="0"/>
    <x v="0"/>
    <s v="Social Media"/>
    <s v="No"/>
    <s v="No"/>
    <s v="Yes"/>
    <n v="2023"/>
    <s v="February"/>
    <s v="Q1"/>
  </r>
  <r>
    <s v="A0147"/>
    <s v="Hope Animal Shelter"/>
    <x v="0"/>
    <x v="1"/>
    <s v="Poodle"/>
    <x v="2"/>
    <s v="Female"/>
    <n v="2.6"/>
    <n v="28"/>
    <x v="0"/>
    <s v="2023-01-04"/>
    <s v="Confiscated"/>
    <s v="2023-06-28"/>
    <s v="Adopted"/>
    <n v="175"/>
    <x v="1"/>
    <n v="6781"/>
    <n v="2000"/>
    <x v="3"/>
    <s v="Social Media"/>
    <s v="Yes"/>
    <s v="No"/>
    <s v="No"/>
    <n v="2023"/>
    <s v="January"/>
    <s v="Q1"/>
  </r>
  <r>
    <s v="A0148"/>
    <s v="Hope Animal Shelter"/>
    <x v="1"/>
    <x v="2"/>
    <s v="Parakeet"/>
    <x v="5"/>
    <s v="Male"/>
    <n v="6.5"/>
    <n v="32.4"/>
    <x v="2"/>
    <s v="2024-07-08"/>
    <s v="Abandoned"/>
    <s v="2024-12-09"/>
    <s v="Fostered"/>
    <n v="154"/>
    <x v="0"/>
    <n v="0"/>
    <n v="1000"/>
    <x v="0"/>
    <s v="Event"/>
    <s v="Yes"/>
    <s v="Yes"/>
    <s v="No"/>
    <n v="2024"/>
    <s v="July"/>
    <s v="Q3"/>
  </r>
  <r>
    <s v="A0149"/>
    <s v="Furever Home"/>
    <x v="0"/>
    <x v="3"/>
    <s v="Mini Rex"/>
    <x v="9"/>
    <s v="Male"/>
    <n v="11.6"/>
    <n v="11.9"/>
    <x v="0"/>
    <s v="2022-04-01"/>
    <s v="Owner Surrender"/>
    <s v="2022-08-24"/>
    <s v="Still in Shelter"/>
    <n v="145"/>
    <x v="0"/>
    <n v="0"/>
    <n v="0"/>
    <x v="0"/>
    <s v="Event"/>
    <s v="Yes"/>
    <s v="No"/>
    <s v="No"/>
    <n v="2022"/>
    <s v="April"/>
    <s v="Q2"/>
  </r>
  <r>
    <s v="A0150"/>
    <s v="City Animal Shelter"/>
    <x v="1"/>
    <x v="2"/>
    <s v="Lovebird"/>
    <x v="4"/>
    <s v="Male"/>
    <n v="12"/>
    <n v="17.2"/>
    <x v="2"/>
    <s v="2024-10-21"/>
    <s v="Confiscated"/>
    <s v="2024-11-29"/>
    <s v="Euthanized"/>
    <n v="39"/>
    <x v="0"/>
    <n v="0"/>
    <n v="0"/>
    <x v="0"/>
    <s v="Website"/>
    <s v="Yes"/>
    <s v="No"/>
    <s v="No"/>
    <n v="2024"/>
    <s v="October"/>
    <s v="Q4"/>
  </r>
  <r>
    <s v="A0151"/>
    <s v="Hope Animal Shelter"/>
    <x v="5"/>
    <x v="1"/>
    <s v="Poodle"/>
    <x v="1"/>
    <s v="Male"/>
    <n v="5.8"/>
    <n v="15.6"/>
    <x v="0"/>
    <s v="2024-12-03"/>
    <s v="Stray"/>
    <s v="2024-12-31"/>
    <s v="Euthanized"/>
    <n v="124"/>
    <x v="0"/>
    <n v="0"/>
    <n v="0"/>
    <x v="0"/>
    <s v="Walk-in"/>
    <s v="Yes"/>
    <s v="No"/>
    <s v="Yes"/>
    <n v="2024"/>
    <s v="December"/>
    <s v="Q4"/>
  </r>
  <r>
    <s v="A0152"/>
    <s v="Furever Home"/>
    <x v="6"/>
    <x v="1"/>
    <s v="Poodle"/>
    <x v="3"/>
    <s v="Female"/>
    <n v="5.2"/>
    <n v="16.399999999999999"/>
    <x v="3"/>
    <s v="2024-11-22"/>
    <s v="Stray"/>
    <s v="2024-12-31"/>
    <s v="Adopted"/>
    <n v="45"/>
    <x v="3"/>
    <n v="5711"/>
    <n v="1000"/>
    <x v="3"/>
    <s v="Referral"/>
    <s v="No"/>
    <s v="No"/>
    <s v="Yes"/>
    <n v="2024"/>
    <s v="November"/>
    <s v="Q4"/>
  </r>
  <r>
    <s v="A0153"/>
    <s v="Happy Paws Shelter"/>
    <x v="7"/>
    <x v="1"/>
    <s v="Poodle"/>
    <x v="7"/>
    <s v="Female"/>
    <n v="4.5"/>
    <n v="7.3"/>
    <x v="1"/>
    <s v="2023-07-25"/>
    <s v="Transfer from Another Shelter"/>
    <s v="2023-08-11"/>
    <s v="Adopted"/>
    <n v="17"/>
    <x v="3"/>
    <n v="7398"/>
    <n v="0"/>
    <x v="2"/>
    <s v="Event"/>
    <s v="Yes"/>
    <s v="No"/>
    <s v="No"/>
    <n v="2023"/>
    <s v="July"/>
    <s v="Q3"/>
  </r>
  <r>
    <s v="A0154"/>
    <s v="Second Chance Rescue"/>
    <x v="2"/>
    <x v="1"/>
    <s v="Golden Retriever"/>
    <x v="3"/>
    <s v="Female"/>
    <n v="1.5"/>
    <n v="11"/>
    <x v="3"/>
    <s v="2023-09-02"/>
    <s v="Born in Shelter"/>
    <s v="2024-02-07"/>
    <s v="Adopted"/>
    <n v="158"/>
    <x v="2"/>
    <n v="4097"/>
    <n v="0"/>
    <x v="2"/>
    <s v="Referral"/>
    <s v="Yes"/>
    <s v="No"/>
    <s v="No"/>
    <n v="2023"/>
    <s v="September"/>
    <s v="Q3"/>
  </r>
  <r>
    <s v="A0155"/>
    <s v="City Animal Shelter"/>
    <x v="3"/>
    <x v="0"/>
    <s v="Siamese"/>
    <x v="7"/>
    <s v="Male"/>
    <n v="10.1"/>
    <n v="21.9"/>
    <x v="0"/>
    <s v="2024-09-29"/>
    <s v="Transfer from Another Shelter"/>
    <s v="2024-12-12"/>
    <s v="Adopted"/>
    <n v="74"/>
    <x v="3"/>
    <n v="2266"/>
    <n v="0"/>
    <x v="2"/>
    <s v="Referral"/>
    <s v="No"/>
    <s v="No"/>
    <s v="No"/>
    <n v="2024"/>
    <s v="September"/>
    <s v="Q3"/>
  </r>
  <r>
    <s v="A0156"/>
    <s v="City Animal Shelter"/>
    <x v="6"/>
    <x v="1"/>
    <s v="Golden Retriever"/>
    <x v="7"/>
    <s v="Female"/>
    <n v="0.5"/>
    <n v="8.3000000000000007"/>
    <x v="1"/>
    <s v="2022-06-19"/>
    <s v="Born in Shelter"/>
    <s v="2022-11-11"/>
    <s v="Adopted"/>
    <n v="145"/>
    <x v="5"/>
    <n v="4806"/>
    <n v="0"/>
    <x v="1"/>
    <s v="Social Media"/>
    <s v="Yes"/>
    <s v="No"/>
    <s v="Yes"/>
    <n v="2022"/>
    <s v="June"/>
    <s v="Q2"/>
  </r>
  <r>
    <s v="A0157"/>
    <s v="City Animal Shelter"/>
    <x v="2"/>
    <x v="1"/>
    <s v="Poodle"/>
    <x v="4"/>
    <s v="Female"/>
    <n v="10.5"/>
    <n v="1.6"/>
    <x v="2"/>
    <s v="2024-05-20"/>
    <s v="Stray"/>
    <s v="2024-06-16"/>
    <s v="Returned to Owner"/>
    <n v="27"/>
    <x v="0"/>
    <n v="0"/>
    <n v="500"/>
    <x v="0"/>
    <s v="Website"/>
    <s v="Yes"/>
    <s v="No"/>
    <s v="No"/>
    <n v="2024"/>
    <s v="May"/>
    <s v="Q2"/>
  </r>
  <r>
    <s v="A0158"/>
    <s v="City Animal Shelter"/>
    <x v="7"/>
    <x v="1"/>
    <s v="Mixed Breed"/>
    <x v="0"/>
    <s v="Male"/>
    <n v="2.6"/>
    <n v="2.5"/>
    <x v="0"/>
    <s v="2022-12-06"/>
    <s v="Confiscated"/>
    <s v="2023-05-13"/>
    <s v="Adopted"/>
    <n v="158"/>
    <x v="1"/>
    <n v="4692"/>
    <n v="5000"/>
    <x v="4"/>
    <s v="Event"/>
    <s v="Yes"/>
    <s v="No"/>
    <s v="Yes"/>
    <n v="2022"/>
    <s v="December"/>
    <s v="Q4"/>
  </r>
  <r>
    <s v="A0159"/>
    <s v="Second Chance Rescue"/>
    <x v="1"/>
    <x v="1"/>
    <s v="Mixed Breed"/>
    <x v="7"/>
    <s v="Male"/>
    <n v="1.8"/>
    <n v="11.6"/>
    <x v="1"/>
    <s v="2022-05-02"/>
    <s v="Confiscated"/>
    <s v="2022-07-12"/>
    <s v="Adopted"/>
    <n v="71"/>
    <x v="1"/>
    <n v="4087"/>
    <n v="0"/>
    <x v="2"/>
    <s v="Referral"/>
    <s v="No"/>
    <s v="Yes"/>
    <s v="Yes"/>
    <n v="2022"/>
    <s v="May"/>
    <s v="Q2"/>
  </r>
  <r>
    <s v="A0160"/>
    <s v="Paws &amp; Claws Rescue"/>
    <x v="3"/>
    <x v="2"/>
    <s v="Finch"/>
    <x v="4"/>
    <s v="Female"/>
    <n v="5.5"/>
    <n v="17.3"/>
    <x v="4"/>
    <s v="2023-07-24"/>
    <s v="Confiscated"/>
    <s v="2024-01-18"/>
    <s v="Euthanized"/>
    <n v="178"/>
    <x v="0"/>
    <n v="0"/>
    <n v="0"/>
    <x v="0"/>
    <s v="Social Media"/>
    <s v="Yes"/>
    <s v="No"/>
    <s v="No"/>
    <n v="2023"/>
    <s v="July"/>
    <s v="Q3"/>
  </r>
  <r>
    <s v="A0161"/>
    <s v="Paws &amp; Claws Rescue"/>
    <x v="6"/>
    <x v="1"/>
    <s v="Mixed Breed"/>
    <x v="0"/>
    <s v="Female"/>
    <n v="3.9"/>
    <n v="10.3"/>
    <x v="2"/>
    <s v="2023-03-10"/>
    <s v="Abandoned"/>
    <s v="2023-07-15"/>
    <s v="Transferred"/>
    <n v="127"/>
    <x v="0"/>
    <n v="0"/>
    <n v="0"/>
    <x v="0"/>
    <s v="Walk-in"/>
    <s v="Yes"/>
    <s v="Yes"/>
    <s v="No"/>
    <n v="2023"/>
    <s v="March"/>
    <s v="Q1"/>
  </r>
  <r>
    <s v="A0162"/>
    <s v="Hope Animal Shelter"/>
    <x v="6"/>
    <x v="1"/>
    <s v="German Shepherd"/>
    <x v="8"/>
    <s v="Male"/>
    <n v="11.9"/>
    <n v="15.3"/>
    <x v="2"/>
    <s v="2022-11-20"/>
    <s v="Abandoned"/>
    <s v="2023-03-13"/>
    <s v="Fostered"/>
    <n v="113"/>
    <x v="0"/>
    <n v="0"/>
    <n v="0"/>
    <x v="0"/>
    <s v="Walk-in"/>
    <s v="Yes"/>
    <s v="No"/>
    <s v="Yes"/>
    <n v="2022"/>
    <s v="November"/>
    <s v="Q4"/>
  </r>
  <r>
    <s v="A0163"/>
    <s v="Furever Home"/>
    <x v="0"/>
    <x v="3"/>
    <s v="Mini Rex"/>
    <x v="4"/>
    <s v="Male"/>
    <n v="8.6999999999999993"/>
    <n v="26.6"/>
    <x v="0"/>
    <s v="2022-04-17"/>
    <s v="Transfer from Another Shelter"/>
    <s v="2022-07-28"/>
    <s v="Transferred"/>
    <n v="102"/>
    <x v="0"/>
    <n v="0"/>
    <n v="0"/>
    <x v="0"/>
    <s v="Walk-in"/>
    <s v="Yes"/>
    <s v="No"/>
    <s v="No"/>
    <n v="2022"/>
    <s v="April"/>
    <s v="Q2"/>
  </r>
  <r>
    <s v="A0164"/>
    <s v="Furever Home"/>
    <x v="6"/>
    <x v="0"/>
    <s v="Mixed Breed"/>
    <x v="7"/>
    <s v="Male"/>
    <n v="9.8000000000000007"/>
    <n v="34.6"/>
    <x v="0"/>
    <s v="2024-06-30"/>
    <s v="Transfer from Another Shelter"/>
    <s v="2024-07-03"/>
    <s v="Adopted"/>
    <n v="3"/>
    <x v="5"/>
    <n v="4349"/>
    <n v="0"/>
    <x v="1"/>
    <s v="Walk-in"/>
    <s v="Yes"/>
    <s v="No"/>
    <s v="No"/>
    <n v="2024"/>
    <s v="June"/>
    <s v="Q2"/>
  </r>
  <r>
    <s v="A0165"/>
    <s v="Second Chance Rescue"/>
    <x v="5"/>
    <x v="1"/>
    <s v="Mixed Breed"/>
    <x v="1"/>
    <s v="Male"/>
    <n v="6.8"/>
    <n v="21.6"/>
    <x v="4"/>
    <s v="2022-09-30"/>
    <s v="Confiscated"/>
    <s v="2023-03-14"/>
    <s v="Adopted"/>
    <n v="165"/>
    <x v="2"/>
    <n v="3560"/>
    <n v="1000"/>
    <x v="2"/>
    <s v="Event"/>
    <s v="No"/>
    <s v="Yes"/>
    <s v="Yes"/>
    <n v="2022"/>
    <s v="September"/>
    <s v="Q3"/>
  </r>
  <r>
    <s v="A0166"/>
    <s v="Second Chance Rescue"/>
    <x v="4"/>
    <x v="0"/>
    <s v="Siamese"/>
    <x v="8"/>
    <s v="Male"/>
    <n v="4.3"/>
    <n v="15.3"/>
    <x v="0"/>
    <s v="2022-09-10"/>
    <s v="Born in Shelter"/>
    <s v="2023-02-08"/>
    <s v="Still in Shelter"/>
    <n v="151"/>
    <x v="0"/>
    <n v="0"/>
    <n v="0"/>
    <x v="0"/>
    <s v="Event"/>
    <s v="Yes"/>
    <s v="No"/>
    <s v="Yes"/>
    <n v="2022"/>
    <s v="September"/>
    <s v="Q3"/>
  </r>
  <r>
    <s v="A0167"/>
    <s v="Second Chance Rescue"/>
    <x v="5"/>
    <x v="0"/>
    <s v="Siamese"/>
    <x v="2"/>
    <s v="Male"/>
    <n v="3.6"/>
    <n v="2.4"/>
    <x v="0"/>
    <s v="2024-11-26"/>
    <s v="Transfer from Another Shelter"/>
    <s v="2024-12-31"/>
    <s v="Returned to Owner"/>
    <n v="156"/>
    <x v="0"/>
    <n v="0"/>
    <n v="1000"/>
    <x v="0"/>
    <s v="Event"/>
    <s v="Yes"/>
    <s v="No"/>
    <s v="Yes"/>
    <n v="2024"/>
    <s v="November"/>
    <s v="Q4"/>
  </r>
  <r>
    <s v="A0168"/>
    <s v="Furever Home"/>
    <x v="0"/>
    <x v="3"/>
    <s v="Flemish Giant"/>
    <x v="9"/>
    <s v="Male"/>
    <n v="4.4000000000000004"/>
    <n v="24.1"/>
    <x v="0"/>
    <s v="2022-09-28"/>
    <s v="Abandoned"/>
    <s v="2023-01-06"/>
    <s v="Still in Shelter"/>
    <n v="100"/>
    <x v="0"/>
    <n v="0"/>
    <n v="0"/>
    <x v="0"/>
    <s v="Website"/>
    <s v="Yes"/>
    <s v="Yes"/>
    <s v="No"/>
    <n v="2022"/>
    <s v="September"/>
    <s v="Q3"/>
  </r>
  <r>
    <s v="A0169"/>
    <s v="Paws &amp; Claws Rescue"/>
    <x v="6"/>
    <x v="0"/>
    <s v="Bengal"/>
    <x v="8"/>
    <s v="Male"/>
    <n v="8.5"/>
    <n v="3.3"/>
    <x v="0"/>
    <s v="2024-10-23"/>
    <s v="Stray"/>
    <s v="2024-12-31"/>
    <s v="Still in Shelter"/>
    <n v="107"/>
    <x v="0"/>
    <n v="0"/>
    <n v="0"/>
    <x v="0"/>
    <s v="Event"/>
    <s v="Yes"/>
    <s v="Yes"/>
    <s v="No"/>
    <n v="2024"/>
    <s v="October"/>
    <s v="Q4"/>
  </r>
  <r>
    <s v="A0170"/>
    <s v="Happy Paws Shelter"/>
    <x v="4"/>
    <x v="2"/>
    <s v="Finch"/>
    <x v="4"/>
    <s v="Female"/>
    <n v="8.8000000000000007"/>
    <n v="29.7"/>
    <x v="0"/>
    <s v="2022-05-16"/>
    <s v="Transfer from Another Shelter"/>
    <s v="2022-08-04"/>
    <s v="Still in Shelter"/>
    <n v="80"/>
    <x v="0"/>
    <n v="0"/>
    <n v="0"/>
    <x v="0"/>
    <s v="Event"/>
    <s v="Yes"/>
    <s v="No"/>
    <s v="No"/>
    <n v="2022"/>
    <s v="May"/>
    <s v="Q2"/>
  </r>
  <r>
    <s v="A0171"/>
    <s v="Hope Animal Shelter"/>
    <x v="7"/>
    <x v="0"/>
    <s v="Persian"/>
    <x v="3"/>
    <s v="Female"/>
    <n v="11.4"/>
    <n v="18.5"/>
    <x v="0"/>
    <s v="2022-10-09"/>
    <s v="Confiscated"/>
    <s v="2023-04-07"/>
    <s v="Adopted"/>
    <n v="180"/>
    <x v="1"/>
    <n v="2171"/>
    <n v="500"/>
    <x v="1"/>
    <s v="Walk-in"/>
    <s v="Yes"/>
    <s v="No"/>
    <s v="No"/>
    <n v="2022"/>
    <s v="October"/>
    <s v="Q4"/>
  </r>
  <r>
    <s v="A0172"/>
    <s v="Paws &amp; Claws Rescue"/>
    <x v="6"/>
    <x v="0"/>
    <s v="Persian"/>
    <x v="1"/>
    <s v="Male"/>
    <n v="6.2"/>
    <n v="2.4"/>
    <x v="0"/>
    <s v="2023-06-23"/>
    <s v="Stray"/>
    <s v="2023-11-18"/>
    <s v="Adopted"/>
    <n v="148"/>
    <x v="3"/>
    <n v="3532"/>
    <n v="500"/>
    <x v="1"/>
    <s v="Website"/>
    <s v="Yes"/>
    <s v="Yes"/>
    <s v="Yes"/>
    <n v="2023"/>
    <s v="June"/>
    <s v="Q2"/>
  </r>
  <r>
    <s v="A0173"/>
    <s v="Happy Paws Shelter"/>
    <x v="1"/>
    <x v="1"/>
    <s v="Labrador"/>
    <x v="6"/>
    <s v="Female"/>
    <n v="11.1"/>
    <n v="6.7"/>
    <x v="0"/>
    <s v="2024-08-24"/>
    <s v="Transfer from Another Shelter"/>
    <s v="2024-11-26"/>
    <s v="Still in Shelter"/>
    <n v="94"/>
    <x v="0"/>
    <n v="0"/>
    <n v="0"/>
    <x v="0"/>
    <s v="Social Media"/>
    <s v="Yes"/>
    <s v="Yes"/>
    <s v="No"/>
    <n v="2024"/>
    <s v="August"/>
    <s v="Q3"/>
  </r>
  <r>
    <s v="A0174"/>
    <s v="Furever Home"/>
    <x v="7"/>
    <x v="0"/>
    <s v="Maine Coon"/>
    <x v="8"/>
    <s v="Female"/>
    <n v="11.5"/>
    <n v="2.9"/>
    <x v="0"/>
    <s v="2022-04-18"/>
    <s v="Born in Shelter"/>
    <s v="2022-06-03"/>
    <s v="Returned to Owner"/>
    <n v="46"/>
    <x v="0"/>
    <n v="0"/>
    <n v="0"/>
    <x v="0"/>
    <s v="Referral"/>
    <s v="Yes"/>
    <s v="No"/>
    <s v="No"/>
    <n v="2022"/>
    <s v="April"/>
    <s v="Q2"/>
  </r>
  <r>
    <s v="A0175"/>
    <s v="Second Chance Rescue"/>
    <x v="4"/>
    <x v="0"/>
    <s v="Maine Coon"/>
    <x v="3"/>
    <s v="Male"/>
    <n v="4.5"/>
    <n v="34"/>
    <x v="3"/>
    <s v="2023-09-15"/>
    <s v="Stray"/>
    <s v="2024-02-22"/>
    <s v="Returned to Owner"/>
    <n v="160"/>
    <x v="0"/>
    <n v="0"/>
    <n v="1000"/>
    <x v="0"/>
    <s v="Website"/>
    <s v="Yes"/>
    <s v="No"/>
    <s v="Yes"/>
    <n v="2023"/>
    <s v="September"/>
    <s v="Q3"/>
  </r>
  <r>
    <s v="A0176"/>
    <s v="Happy Paws Shelter"/>
    <x v="6"/>
    <x v="3"/>
    <s v="Holland Lop"/>
    <x v="8"/>
    <s v="Male"/>
    <n v="11.8"/>
    <n v="15"/>
    <x v="0"/>
    <s v="2024-02-10"/>
    <s v="Owner Surrender"/>
    <s v="2024-04-29"/>
    <s v="Adopted"/>
    <n v="79"/>
    <x v="3"/>
    <n v="1340"/>
    <n v="1000"/>
    <x v="2"/>
    <s v="Social Media"/>
    <s v="No"/>
    <s v="No"/>
    <s v="Yes"/>
    <n v="2024"/>
    <s v="February"/>
    <s v="Q1"/>
  </r>
  <r>
    <s v="A0177"/>
    <s v="Furever Home"/>
    <x v="6"/>
    <x v="1"/>
    <s v="German Shepherd"/>
    <x v="6"/>
    <s v="Female"/>
    <n v="1"/>
    <n v="20.100000000000001"/>
    <x v="0"/>
    <s v="2024-11-01"/>
    <s v="Abandoned"/>
    <s v="2024-12-06"/>
    <s v="Still in Shelter"/>
    <n v="35"/>
    <x v="0"/>
    <n v="0"/>
    <n v="0"/>
    <x v="0"/>
    <s v="Referral"/>
    <s v="Yes"/>
    <s v="No"/>
    <s v="No"/>
    <n v="2024"/>
    <s v="November"/>
    <s v="Q4"/>
  </r>
  <r>
    <s v="A0178"/>
    <s v="Second Chance Rescue"/>
    <x v="5"/>
    <x v="0"/>
    <s v="Siamese"/>
    <x v="7"/>
    <s v="Female"/>
    <n v="7.1"/>
    <n v="5.9"/>
    <x v="3"/>
    <s v="2022-06-02"/>
    <s v="Stray"/>
    <s v="2022-07-24"/>
    <s v="Adopted"/>
    <n v="52"/>
    <x v="3"/>
    <n v="4694"/>
    <n v="5000"/>
    <x v="4"/>
    <s v="Website"/>
    <s v="No"/>
    <s v="No"/>
    <s v="No"/>
    <n v="2022"/>
    <s v="June"/>
    <s v="Q2"/>
  </r>
  <r>
    <s v="A0179"/>
    <s v="Paws &amp; Claws Rescue"/>
    <x v="3"/>
    <x v="0"/>
    <s v="Ragdoll"/>
    <x v="6"/>
    <s v="Female"/>
    <n v="3.7"/>
    <n v="24.8"/>
    <x v="0"/>
    <s v="2022-09-03"/>
    <s v="Stray"/>
    <s v="2022-09-27"/>
    <s v="Adopted"/>
    <n v="24"/>
    <x v="2"/>
    <n v="4807"/>
    <n v="2000"/>
    <x v="4"/>
    <s v="Referral"/>
    <s v="Yes"/>
    <s v="No"/>
    <s v="No"/>
    <n v="2022"/>
    <s v="September"/>
    <s v="Q3"/>
  </r>
  <r>
    <s v="A0180"/>
    <s v="Paws &amp; Claws Rescue"/>
    <x v="4"/>
    <x v="0"/>
    <s v="Ragdoll"/>
    <x v="4"/>
    <s v="Female"/>
    <n v="10.3"/>
    <n v="19.7"/>
    <x v="0"/>
    <s v="2022-12-23"/>
    <s v="Owner Surrender"/>
    <s v="2022-12-31"/>
    <s v="Still in Shelter"/>
    <n v="8"/>
    <x v="0"/>
    <n v="0"/>
    <n v="0"/>
    <x v="0"/>
    <s v="Walk-in"/>
    <s v="Yes"/>
    <s v="Yes"/>
    <s v="No"/>
    <n v="2022"/>
    <s v="December"/>
    <s v="Q4"/>
  </r>
  <r>
    <s v="A0181"/>
    <s v="Happy Paws Shelter"/>
    <x v="0"/>
    <x v="1"/>
    <s v="Poodle"/>
    <x v="6"/>
    <s v="Female"/>
    <n v="3.2"/>
    <n v="28.5"/>
    <x v="2"/>
    <s v="2024-03-31"/>
    <s v="Owner Surrender"/>
    <s v="2024-07-05"/>
    <s v="Adopted"/>
    <n v="96"/>
    <x v="5"/>
    <n v="7770"/>
    <n v="1000"/>
    <x v="4"/>
    <s v="Walk-in"/>
    <s v="Yes"/>
    <s v="No"/>
    <s v="Yes"/>
    <n v="2024"/>
    <s v="March"/>
    <s v="Q1"/>
  </r>
  <r>
    <s v="A0182"/>
    <s v="Second Chance Rescue"/>
    <x v="7"/>
    <x v="1"/>
    <s v="Mixed Breed"/>
    <x v="8"/>
    <s v="Female"/>
    <n v="5.2"/>
    <n v="12.7"/>
    <x v="0"/>
    <s v="2024-03-19"/>
    <s v="Stray"/>
    <s v="2024-07-25"/>
    <s v="Adopted"/>
    <n v="128"/>
    <x v="3"/>
    <n v="6135"/>
    <n v="2000"/>
    <x v="3"/>
    <s v="Social Media"/>
    <s v="No"/>
    <s v="No"/>
    <s v="No"/>
    <n v="2024"/>
    <s v="March"/>
    <s v="Q1"/>
  </r>
  <r>
    <s v="A0183"/>
    <s v="Second Chance Rescue"/>
    <x v="3"/>
    <x v="1"/>
    <s v="German Shepherd"/>
    <x v="2"/>
    <s v="Female"/>
    <n v="7.7"/>
    <n v="28"/>
    <x v="3"/>
    <s v="2023-07-27"/>
    <s v="Born in Shelter"/>
    <s v="2023-11-03"/>
    <s v="Adopted"/>
    <n v="99"/>
    <x v="4"/>
    <n v="6434"/>
    <n v="0"/>
    <x v="4"/>
    <s v="Event"/>
    <s v="Yes"/>
    <s v="No"/>
    <s v="No"/>
    <n v="2023"/>
    <s v="July"/>
    <s v="Q3"/>
  </r>
  <r>
    <s v="A0184"/>
    <s v="Happy Paws Shelter"/>
    <x v="5"/>
    <x v="1"/>
    <s v="Labrador"/>
    <x v="5"/>
    <s v="Female"/>
    <n v="10.8"/>
    <n v="27.4"/>
    <x v="2"/>
    <s v="2023-10-16"/>
    <s v="Born in Shelter"/>
    <s v="2024-03-17"/>
    <s v="Returned to Owner"/>
    <n v="153"/>
    <x v="0"/>
    <n v="0"/>
    <n v="0"/>
    <x v="0"/>
    <s v="Website"/>
    <s v="Yes"/>
    <s v="Yes"/>
    <s v="No"/>
    <n v="2023"/>
    <s v="October"/>
    <s v="Q4"/>
  </r>
  <r>
    <s v="A0185"/>
    <s v="Second Chance Rescue"/>
    <x v="6"/>
    <x v="1"/>
    <s v="Bulldog"/>
    <x v="6"/>
    <s v="Female"/>
    <n v="4.3"/>
    <n v="29.5"/>
    <x v="2"/>
    <s v="2024-12-28"/>
    <s v="Confiscated"/>
    <s v="2024-12-31"/>
    <s v="Returned to Owner"/>
    <n v="15"/>
    <x v="0"/>
    <n v="0"/>
    <n v="1000"/>
    <x v="0"/>
    <s v="Social Media"/>
    <s v="Yes"/>
    <s v="No"/>
    <s v="No"/>
    <n v="2024"/>
    <s v="December"/>
    <s v="Q4"/>
  </r>
  <r>
    <s v="A0186"/>
    <s v="Happy Paws Shelter"/>
    <x v="4"/>
    <x v="1"/>
    <s v="Golden Retriever"/>
    <x v="0"/>
    <s v="Male"/>
    <n v="2.2000000000000002"/>
    <n v="1.8"/>
    <x v="0"/>
    <s v="2023-01-21"/>
    <s v="Born in Shelter"/>
    <s v="2023-05-28"/>
    <s v="Transferred"/>
    <n v="127"/>
    <x v="0"/>
    <n v="0"/>
    <n v="0"/>
    <x v="0"/>
    <s v="Referral"/>
    <s v="Yes"/>
    <s v="No"/>
    <s v="No"/>
    <n v="2023"/>
    <s v="January"/>
    <s v="Q1"/>
  </r>
  <r>
    <s v="A0187"/>
    <s v="Happy Paws Shelter"/>
    <x v="2"/>
    <x v="1"/>
    <s v="Beagle"/>
    <x v="4"/>
    <s v="Female"/>
    <n v="7.1"/>
    <n v="32.1"/>
    <x v="4"/>
    <s v="2022-12-30"/>
    <s v="Confiscated"/>
    <s v="2023-03-23"/>
    <s v="Adopted"/>
    <n v="83"/>
    <x v="4"/>
    <n v="3179"/>
    <n v="0"/>
    <x v="1"/>
    <s v="Social Media"/>
    <s v="Yes"/>
    <s v="No"/>
    <s v="No"/>
    <n v="2022"/>
    <s v="December"/>
    <s v="Q4"/>
  </r>
  <r>
    <s v="A0188"/>
    <s v="Hope Animal Shelter"/>
    <x v="2"/>
    <x v="1"/>
    <s v="Mixed Breed"/>
    <x v="6"/>
    <s v="Male"/>
    <n v="2.2000000000000002"/>
    <n v="33.9"/>
    <x v="3"/>
    <s v="2024-09-24"/>
    <s v="Abandoned"/>
    <s v="2024-12-31"/>
    <s v="Euthanized"/>
    <n v="167"/>
    <x v="0"/>
    <n v="0"/>
    <n v="0"/>
    <x v="0"/>
    <s v="Social Media"/>
    <s v="Yes"/>
    <s v="Yes"/>
    <s v="Yes"/>
    <n v="2024"/>
    <s v="September"/>
    <s v="Q3"/>
  </r>
  <r>
    <s v="A0189"/>
    <s v="Second Chance Rescue"/>
    <x v="0"/>
    <x v="1"/>
    <s v="Mixed Breed"/>
    <x v="7"/>
    <s v="Male"/>
    <n v="11.1"/>
    <n v="33.9"/>
    <x v="0"/>
    <s v="2022-03-08"/>
    <s v="Confiscated"/>
    <s v="2022-04-24"/>
    <s v="Euthanized"/>
    <n v="47"/>
    <x v="0"/>
    <n v="0"/>
    <n v="0"/>
    <x v="0"/>
    <s v="Walk-in"/>
    <s v="Yes"/>
    <s v="No"/>
    <s v="No"/>
    <n v="2022"/>
    <s v="March"/>
    <s v="Q1"/>
  </r>
  <r>
    <s v="A0190"/>
    <s v="City Animal Shelter"/>
    <x v="0"/>
    <x v="1"/>
    <s v="German Shepherd"/>
    <x v="9"/>
    <s v="Male"/>
    <n v="3.1"/>
    <n v="2.8"/>
    <x v="3"/>
    <s v="2023-11-19"/>
    <s v="Transfer from Another Shelter"/>
    <s v="2024-03-13"/>
    <s v="Adopted"/>
    <n v="115"/>
    <x v="4"/>
    <n v="5172"/>
    <n v="0"/>
    <x v="3"/>
    <s v="Referral"/>
    <s v="No"/>
    <s v="No"/>
    <s v="No"/>
    <n v="2023"/>
    <s v="November"/>
    <s v="Q4"/>
  </r>
  <r>
    <s v="A0191"/>
    <s v="Happy Paws Shelter"/>
    <x v="7"/>
    <x v="0"/>
    <s v="Domestic Shorthair"/>
    <x v="9"/>
    <s v="Female"/>
    <n v="5.5"/>
    <n v="28.1"/>
    <x v="0"/>
    <s v="2022-07-27"/>
    <s v="Stray"/>
    <s v="2022-11-27"/>
    <s v="Returned to Owner"/>
    <n v="123"/>
    <x v="0"/>
    <n v="0"/>
    <n v="0"/>
    <x v="0"/>
    <s v="Walk-in"/>
    <s v="Yes"/>
    <s v="Yes"/>
    <s v="No"/>
    <n v="2022"/>
    <s v="July"/>
    <s v="Q3"/>
  </r>
  <r>
    <s v="A0192"/>
    <s v="Paws &amp; Claws Rescue"/>
    <x v="1"/>
    <x v="1"/>
    <s v="German Shepherd"/>
    <x v="3"/>
    <s v="Male"/>
    <n v="5.2"/>
    <n v="23.1"/>
    <x v="0"/>
    <s v="2022-07-10"/>
    <s v="Abandoned"/>
    <s v="2022-10-05"/>
    <s v="Fostered"/>
    <n v="87"/>
    <x v="0"/>
    <n v="0"/>
    <n v="0"/>
    <x v="0"/>
    <s v="Website"/>
    <s v="Yes"/>
    <s v="No"/>
    <s v="No"/>
    <n v="2022"/>
    <s v="July"/>
    <s v="Q3"/>
  </r>
  <r>
    <s v="A0193"/>
    <s v="Happy Paws Shelter"/>
    <x v="2"/>
    <x v="0"/>
    <s v="Bengal"/>
    <x v="9"/>
    <s v="Female"/>
    <n v="6.6"/>
    <n v="17.399999999999999"/>
    <x v="0"/>
    <s v="2023-05-02"/>
    <s v="Abandoned"/>
    <s v="2023-05-27"/>
    <s v="Adopted"/>
    <n v="25"/>
    <x v="3"/>
    <n v="3109"/>
    <n v="1000"/>
    <x v="2"/>
    <s v="Website"/>
    <s v="Yes"/>
    <s v="Yes"/>
    <s v="No"/>
    <n v="2023"/>
    <s v="May"/>
    <s v="Q2"/>
  </r>
  <r>
    <s v="A0194"/>
    <s v="Hope Animal Shelter"/>
    <x v="7"/>
    <x v="1"/>
    <s v="Bulldog"/>
    <x v="4"/>
    <s v="Female"/>
    <n v="4.8"/>
    <n v="17.399999999999999"/>
    <x v="0"/>
    <s v="2022-06-17"/>
    <s v="Abandoned"/>
    <s v="2022-10-17"/>
    <s v="Adopted"/>
    <n v="122"/>
    <x v="4"/>
    <n v="5526"/>
    <n v="5000"/>
    <x v="4"/>
    <s v="Website"/>
    <s v="No"/>
    <s v="Yes"/>
    <s v="No"/>
    <n v="2022"/>
    <s v="June"/>
    <s v="Q2"/>
  </r>
  <r>
    <s v="A0195"/>
    <s v="Hope Animal Shelter"/>
    <x v="0"/>
    <x v="1"/>
    <s v="Husky"/>
    <x v="4"/>
    <s v="Female"/>
    <n v="6.8"/>
    <n v="5.7"/>
    <x v="2"/>
    <s v="2023-06-24"/>
    <s v="Born in Shelter"/>
    <s v="2023-08-21"/>
    <s v="Transferred"/>
    <n v="58"/>
    <x v="0"/>
    <n v="0"/>
    <n v="0"/>
    <x v="0"/>
    <s v="Referral"/>
    <s v="Yes"/>
    <s v="No"/>
    <s v="Yes"/>
    <n v="2023"/>
    <s v="June"/>
    <s v="Q2"/>
  </r>
  <r>
    <s v="A0196"/>
    <s v="Hope Animal Shelter"/>
    <x v="3"/>
    <x v="2"/>
    <s v="Finch"/>
    <x v="5"/>
    <s v="Male"/>
    <n v="5.8"/>
    <n v="3.2"/>
    <x v="0"/>
    <s v="2024-05-07"/>
    <s v="Transfer from Another Shelter"/>
    <s v="2024-09-22"/>
    <s v="Fostered"/>
    <n v="138"/>
    <x v="0"/>
    <n v="0"/>
    <n v="0"/>
    <x v="0"/>
    <s v="Website"/>
    <s v="Yes"/>
    <s v="Yes"/>
    <s v="No"/>
    <n v="2024"/>
    <s v="May"/>
    <s v="Q2"/>
  </r>
  <r>
    <s v="A0197"/>
    <s v="Second Chance Rescue"/>
    <x v="7"/>
    <x v="1"/>
    <s v="Labrador"/>
    <x v="1"/>
    <s v="Male"/>
    <n v="2.5"/>
    <n v="28.9"/>
    <x v="0"/>
    <s v="2024-05-17"/>
    <s v="Transfer from Another Shelter"/>
    <s v="2024-06-07"/>
    <s v="Still in Shelter"/>
    <n v="21"/>
    <x v="0"/>
    <n v="0"/>
    <n v="0"/>
    <x v="0"/>
    <s v="Event"/>
    <s v="No"/>
    <s v="No"/>
    <s v="No"/>
    <n v="2024"/>
    <s v="May"/>
    <s v="Q2"/>
  </r>
  <r>
    <s v="A0198"/>
    <s v="Paws &amp; Claws Rescue"/>
    <x v="0"/>
    <x v="0"/>
    <s v="Maine Coon"/>
    <x v="4"/>
    <s v="Male"/>
    <n v="1.4"/>
    <n v="5.7"/>
    <x v="2"/>
    <s v="2024-07-27"/>
    <s v="Abandoned"/>
    <s v="2024-07-31"/>
    <s v="Still in Shelter"/>
    <n v="4"/>
    <x v="0"/>
    <n v="0"/>
    <n v="0"/>
    <x v="0"/>
    <s v="Event"/>
    <s v="Yes"/>
    <s v="No"/>
    <s v="No"/>
    <n v="2024"/>
    <s v="July"/>
    <s v="Q3"/>
  </r>
  <r>
    <s v="A0199"/>
    <s v="Hope Animal Shelter"/>
    <x v="1"/>
    <x v="2"/>
    <s v="Lovebird"/>
    <x v="9"/>
    <s v="Female"/>
    <n v="1.8"/>
    <n v="21.5"/>
    <x v="0"/>
    <s v="2024-08-26"/>
    <s v="Confiscated"/>
    <s v="2024-09-05"/>
    <s v="Adopted"/>
    <n v="10"/>
    <x v="2"/>
    <n v="1628"/>
    <n v="500"/>
    <x v="1"/>
    <s v="Referral"/>
    <s v="Yes"/>
    <s v="No"/>
    <s v="Yes"/>
    <n v="2024"/>
    <s v="August"/>
    <s v="Q3"/>
  </r>
  <r>
    <s v="A0200"/>
    <s v="City Animal Shelter"/>
    <x v="5"/>
    <x v="3"/>
    <s v="Flemish Giant"/>
    <x v="1"/>
    <s v="Female"/>
    <n v="11.7"/>
    <n v="8.4"/>
    <x v="4"/>
    <s v="2023-09-29"/>
    <s v="Transfer from Another Shelter"/>
    <s v="2023-12-10"/>
    <s v="Fostered"/>
    <n v="72"/>
    <x v="0"/>
    <n v="0"/>
    <n v="0"/>
    <x v="0"/>
    <s v="Event"/>
    <s v="Yes"/>
    <s v="Yes"/>
    <s v="No"/>
    <n v="2023"/>
    <s v="September"/>
    <s v="Q3"/>
  </r>
  <r>
    <s v="A0201"/>
    <s v="Second Chance Rescue"/>
    <x v="0"/>
    <x v="1"/>
    <s v="Mixed Breed"/>
    <x v="8"/>
    <s v="Female"/>
    <n v="9.9"/>
    <n v="18.3"/>
    <x v="0"/>
    <s v="2024-09-19"/>
    <s v="Born in Shelter"/>
    <s v="2024-12-31"/>
    <s v="Euthanized"/>
    <n v="133"/>
    <x v="0"/>
    <n v="0"/>
    <n v="0"/>
    <x v="0"/>
    <s v="Event"/>
    <s v="Yes"/>
    <s v="Yes"/>
    <s v="No"/>
    <n v="2024"/>
    <s v="September"/>
    <s v="Q3"/>
  </r>
  <r>
    <s v="A0202"/>
    <s v="City Animal Shelter"/>
    <x v="2"/>
    <x v="1"/>
    <s v="Labrador"/>
    <x v="7"/>
    <s v="Female"/>
    <n v="11"/>
    <n v="24.8"/>
    <x v="4"/>
    <s v="2023-05-26"/>
    <s v="Stray"/>
    <s v="2023-06-04"/>
    <s v="Fostered"/>
    <n v="9"/>
    <x v="0"/>
    <n v="0"/>
    <n v="0"/>
    <x v="0"/>
    <s v="Walk-in"/>
    <s v="Yes"/>
    <s v="No"/>
    <s v="No"/>
    <n v="2023"/>
    <s v="May"/>
    <s v="Q2"/>
  </r>
  <r>
    <s v="A0203"/>
    <s v="City Animal Shelter"/>
    <x v="0"/>
    <x v="1"/>
    <s v="Husky"/>
    <x v="8"/>
    <s v="Male"/>
    <n v="4.2"/>
    <n v="29.4"/>
    <x v="3"/>
    <s v="2022-12-30"/>
    <s v="Stray"/>
    <s v="2023-05-01"/>
    <s v="Euthanized"/>
    <n v="122"/>
    <x v="0"/>
    <n v="0"/>
    <n v="0"/>
    <x v="0"/>
    <s v="Website"/>
    <s v="Yes"/>
    <s v="Yes"/>
    <s v="No"/>
    <n v="2022"/>
    <s v="December"/>
    <s v="Q4"/>
  </r>
  <r>
    <s v="A0204"/>
    <s v="Paws &amp; Claws Rescue"/>
    <x v="3"/>
    <x v="1"/>
    <s v="Bulldog"/>
    <x v="6"/>
    <s v="Female"/>
    <n v="10.9"/>
    <n v="22.8"/>
    <x v="1"/>
    <s v="2024-04-18"/>
    <s v="Abandoned"/>
    <s v="2024-08-28"/>
    <s v="Adopted"/>
    <n v="132"/>
    <x v="1"/>
    <n v="3072"/>
    <n v="500"/>
    <x v="2"/>
    <s v="Referral"/>
    <s v="Yes"/>
    <s v="No"/>
    <s v="No"/>
    <n v="2024"/>
    <s v="April"/>
    <s v="Q2"/>
  </r>
  <r>
    <s v="A0205"/>
    <s v="Hope Animal Shelter"/>
    <x v="2"/>
    <x v="1"/>
    <s v="Husky"/>
    <x v="5"/>
    <s v="Female"/>
    <n v="7.1"/>
    <n v="0.8"/>
    <x v="0"/>
    <s v="2023-09-11"/>
    <s v="Confiscated"/>
    <s v="2024-03-03"/>
    <s v="Still in Shelter"/>
    <n v="174"/>
    <x v="0"/>
    <n v="0"/>
    <n v="0"/>
    <x v="0"/>
    <s v="Walk-in"/>
    <s v="No"/>
    <s v="Yes"/>
    <s v="No"/>
    <n v="2023"/>
    <s v="September"/>
    <s v="Q3"/>
  </r>
  <r>
    <s v="A0206"/>
    <s v="Hope Animal Shelter"/>
    <x v="7"/>
    <x v="0"/>
    <s v="Mixed Breed"/>
    <x v="6"/>
    <s v="Male"/>
    <n v="7.9"/>
    <n v="33.4"/>
    <x v="1"/>
    <s v="2023-10-28"/>
    <s v="Owner Surrender"/>
    <s v="2024-01-07"/>
    <s v="Transferred"/>
    <n v="71"/>
    <x v="0"/>
    <n v="0"/>
    <n v="0"/>
    <x v="0"/>
    <s v="Walk-in"/>
    <s v="No"/>
    <s v="No"/>
    <s v="No"/>
    <n v="2023"/>
    <s v="October"/>
    <s v="Q4"/>
  </r>
  <r>
    <s v="A0207"/>
    <s v="Hope Animal Shelter"/>
    <x v="3"/>
    <x v="1"/>
    <s v="Labrador"/>
    <x v="0"/>
    <s v="Male"/>
    <n v="10.9"/>
    <n v="14.5"/>
    <x v="0"/>
    <s v="2024-10-15"/>
    <s v="Confiscated"/>
    <s v="2024-12-30"/>
    <s v="Transferred"/>
    <n v="76"/>
    <x v="0"/>
    <n v="0"/>
    <n v="0"/>
    <x v="0"/>
    <s v="Website"/>
    <s v="No"/>
    <s v="No"/>
    <s v="No"/>
    <n v="2024"/>
    <s v="October"/>
    <s v="Q4"/>
  </r>
  <r>
    <s v="A0208"/>
    <s v="Hope Animal Shelter"/>
    <x v="6"/>
    <x v="0"/>
    <s v="Bengal"/>
    <x v="1"/>
    <s v="Male"/>
    <n v="5.7"/>
    <n v="26.1"/>
    <x v="0"/>
    <s v="2022-12-15"/>
    <s v="Abandoned"/>
    <s v="2023-06-02"/>
    <s v="Adopted"/>
    <n v="169"/>
    <x v="2"/>
    <n v="2703"/>
    <n v="0"/>
    <x v="4"/>
    <s v="Referral"/>
    <s v="Yes"/>
    <s v="No"/>
    <s v="No"/>
    <n v="2022"/>
    <s v="December"/>
    <s v="Q4"/>
  </r>
  <r>
    <s v="A0209"/>
    <s v="Paws &amp; Claws Rescue"/>
    <x v="0"/>
    <x v="1"/>
    <s v="Bulldog"/>
    <x v="7"/>
    <s v="Male"/>
    <n v="10.4"/>
    <n v="20.6"/>
    <x v="1"/>
    <s v="2024-08-07"/>
    <s v="Stray"/>
    <s v="2024-09-07"/>
    <s v="Fostered"/>
    <n v="31"/>
    <x v="0"/>
    <n v="0"/>
    <n v="0"/>
    <x v="0"/>
    <s v="Referral"/>
    <s v="Yes"/>
    <s v="No"/>
    <s v="Yes"/>
    <n v="2024"/>
    <s v="August"/>
    <s v="Q3"/>
  </r>
  <r>
    <s v="A0210"/>
    <s v="Furever Home"/>
    <x v="6"/>
    <x v="1"/>
    <s v="Golden Retriever"/>
    <x v="1"/>
    <s v="Male"/>
    <n v="11.8"/>
    <n v="31.3"/>
    <x v="2"/>
    <s v="2023-02-15"/>
    <s v="Stray"/>
    <s v="2023-05-14"/>
    <s v="Still in Shelter"/>
    <n v="88"/>
    <x v="0"/>
    <n v="0"/>
    <n v="0"/>
    <x v="0"/>
    <s v="Referral"/>
    <s v="Yes"/>
    <s v="No"/>
    <s v="No"/>
    <n v="2023"/>
    <s v="February"/>
    <s v="Q1"/>
  </r>
  <r>
    <s v="A0211"/>
    <s v="Paws &amp; Claws Rescue"/>
    <x v="6"/>
    <x v="3"/>
    <s v="Holland Lop"/>
    <x v="7"/>
    <s v="Male"/>
    <n v="2.6"/>
    <n v="27.2"/>
    <x v="0"/>
    <s v="2022-01-10"/>
    <s v="Born in Shelter"/>
    <s v="2022-05-06"/>
    <s v="Transferred"/>
    <n v="116"/>
    <x v="0"/>
    <n v="0"/>
    <n v="0"/>
    <x v="0"/>
    <s v="Referral"/>
    <s v="No"/>
    <s v="No"/>
    <s v="No"/>
    <n v="2022"/>
    <s v="January"/>
    <s v="Q1"/>
  </r>
  <r>
    <s v="A0212"/>
    <s v="Paws &amp; Claws Rescue"/>
    <x v="4"/>
    <x v="1"/>
    <s v="Mixed Breed"/>
    <x v="9"/>
    <s v="Male"/>
    <n v="11.4"/>
    <n v="31.3"/>
    <x v="4"/>
    <s v="2022-01-10"/>
    <s v="Confiscated"/>
    <s v="2022-01-20"/>
    <s v="Returned to Owner"/>
    <n v="10"/>
    <x v="0"/>
    <n v="0"/>
    <n v="500"/>
    <x v="0"/>
    <s v="Website"/>
    <s v="Yes"/>
    <s v="No"/>
    <s v="No"/>
    <n v="2022"/>
    <s v="January"/>
    <s v="Q1"/>
  </r>
  <r>
    <s v="A0213"/>
    <s v="City Animal Shelter"/>
    <x v="7"/>
    <x v="0"/>
    <s v="Siamese"/>
    <x v="7"/>
    <s v="Female"/>
    <n v="2.1"/>
    <n v="28.9"/>
    <x v="3"/>
    <s v="2022-07-30"/>
    <s v="Confiscated"/>
    <s v="2022-11-06"/>
    <s v="Transferred"/>
    <n v="99"/>
    <x v="0"/>
    <n v="0"/>
    <n v="0"/>
    <x v="0"/>
    <s v="Website"/>
    <s v="Yes"/>
    <s v="No"/>
    <s v="No"/>
    <n v="2022"/>
    <s v="July"/>
    <s v="Q3"/>
  </r>
  <r>
    <s v="A0214"/>
    <s v="Hope Animal Shelter"/>
    <x v="3"/>
    <x v="1"/>
    <s v="Golden Retriever"/>
    <x v="0"/>
    <s v="Male"/>
    <n v="8.8000000000000007"/>
    <n v="5"/>
    <x v="0"/>
    <s v="2024-04-06"/>
    <s v="Abandoned"/>
    <s v="2024-04-11"/>
    <s v="Returned to Owner"/>
    <n v="5"/>
    <x v="0"/>
    <n v="0"/>
    <n v="0"/>
    <x v="0"/>
    <s v="Walk-in"/>
    <s v="No"/>
    <s v="No"/>
    <s v="No"/>
    <n v="2024"/>
    <s v="April"/>
    <s v="Q2"/>
  </r>
  <r>
    <s v="A0215"/>
    <s v="Hope Animal Shelter"/>
    <x v="0"/>
    <x v="0"/>
    <s v="Maine Coon"/>
    <x v="2"/>
    <s v="Female"/>
    <n v="7.9"/>
    <n v="1.2"/>
    <x v="3"/>
    <s v="2022-04-10"/>
    <s v="Stray"/>
    <s v="2022-09-10"/>
    <s v="Adopted"/>
    <n v="153"/>
    <x v="3"/>
    <n v="4211"/>
    <n v="0"/>
    <x v="4"/>
    <s v="Referral"/>
    <s v="Yes"/>
    <s v="Yes"/>
    <s v="Yes"/>
    <n v="2022"/>
    <s v="April"/>
    <s v="Q2"/>
  </r>
  <r>
    <s v="A0216"/>
    <s v="Furever Home"/>
    <x v="0"/>
    <x v="0"/>
    <s v="Domestic Shorthair"/>
    <x v="5"/>
    <s v="Male"/>
    <n v="7.5"/>
    <n v="24.7"/>
    <x v="0"/>
    <s v="2022-07-26"/>
    <s v="Stray"/>
    <s v="2023-01-12"/>
    <s v="Transferred"/>
    <n v="170"/>
    <x v="0"/>
    <n v="0"/>
    <n v="0"/>
    <x v="0"/>
    <s v="Walk-in"/>
    <s v="No"/>
    <s v="Yes"/>
    <s v="No"/>
    <n v="2022"/>
    <s v="July"/>
    <s v="Q3"/>
  </r>
  <r>
    <s v="A0217"/>
    <s v="Happy Paws Shelter"/>
    <x v="5"/>
    <x v="0"/>
    <s v="Ragdoll"/>
    <x v="6"/>
    <s v="Female"/>
    <n v="8.5"/>
    <n v="10.7"/>
    <x v="0"/>
    <s v="2024-12-07"/>
    <s v="Owner Surrender"/>
    <s v="2024-12-31"/>
    <s v="Euthanized"/>
    <n v="52"/>
    <x v="0"/>
    <n v="0"/>
    <n v="0"/>
    <x v="0"/>
    <s v="Walk-in"/>
    <s v="Yes"/>
    <s v="No"/>
    <s v="Yes"/>
    <n v="2024"/>
    <s v="December"/>
    <s v="Q4"/>
  </r>
  <r>
    <s v="A0218"/>
    <s v="City Animal Shelter"/>
    <x v="4"/>
    <x v="0"/>
    <s v="Ragdoll"/>
    <x v="7"/>
    <s v="Female"/>
    <n v="1"/>
    <n v="25.5"/>
    <x v="0"/>
    <s v="2024-10-08"/>
    <s v="Transfer from Another Shelter"/>
    <s v="2024-11-16"/>
    <s v="Adopted"/>
    <n v="39"/>
    <x v="5"/>
    <n v="4692"/>
    <n v="1000"/>
    <x v="1"/>
    <s v="Website"/>
    <s v="Yes"/>
    <s v="No"/>
    <s v="No"/>
    <n v="2024"/>
    <s v="October"/>
    <s v="Q4"/>
  </r>
  <r>
    <s v="A0219"/>
    <s v="City Animal Shelter"/>
    <x v="2"/>
    <x v="3"/>
    <s v="Dutch"/>
    <x v="7"/>
    <s v="Female"/>
    <n v="1.7"/>
    <n v="22.8"/>
    <x v="4"/>
    <s v="2022-08-26"/>
    <s v="Stray"/>
    <s v="2022-09-20"/>
    <s v="Adopted"/>
    <n v="25"/>
    <x v="1"/>
    <n v="539"/>
    <n v="5000"/>
    <x v="4"/>
    <s v="Website"/>
    <s v="Yes"/>
    <s v="No"/>
    <s v="No"/>
    <n v="2022"/>
    <s v="August"/>
    <s v="Q3"/>
  </r>
  <r>
    <s v="A0220"/>
    <s v="Happy Paws Shelter"/>
    <x v="6"/>
    <x v="1"/>
    <s v="Bulldog"/>
    <x v="9"/>
    <s v="Male"/>
    <n v="7.8"/>
    <n v="28"/>
    <x v="0"/>
    <s v="2024-02-29"/>
    <s v="Transfer from Another Shelter"/>
    <s v="2024-08-24"/>
    <s v="Fostered"/>
    <n v="177"/>
    <x v="0"/>
    <n v="0"/>
    <n v="1000"/>
    <x v="0"/>
    <s v="Event"/>
    <s v="No"/>
    <s v="No"/>
    <s v="No"/>
    <n v="2024"/>
    <s v="February"/>
    <s v="Q1"/>
  </r>
  <r>
    <s v="A0221"/>
    <s v="Furever Home"/>
    <x v="5"/>
    <x v="1"/>
    <s v="Mixed Breed"/>
    <x v="9"/>
    <s v="Male"/>
    <n v="11.1"/>
    <n v="4.4000000000000004"/>
    <x v="0"/>
    <s v="2024-01-05"/>
    <s v="Confiscated"/>
    <s v="2024-06-10"/>
    <s v="Adopted"/>
    <n v="157"/>
    <x v="1"/>
    <n v="4070"/>
    <n v="500"/>
    <x v="1"/>
    <s v="Event"/>
    <s v="Yes"/>
    <s v="No"/>
    <s v="No"/>
    <n v="2024"/>
    <s v="January"/>
    <s v="Q1"/>
  </r>
  <r>
    <s v="A0222"/>
    <s v="Furever Home"/>
    <x v="6"/>
    <x v="0"/>
    <s v="Maine Coon"/>
    <x v="5"/>
    <s v="Male"/>
    <n v="4.2"/>
    <n v="23.8"/>
    <x v="0"/>
    <s v="2022-07-15"/>
    <s v="Confiscated"/>
    <s v="2022-11-03"/>
    <s v="Returned to Owner"/>
    <n v="111"/>
    <x v="0"/>
    <n v="0"/>
    <n v="1000"/>
    <x v="0"/>
    <s v="Website"/>
    <s v="No"/>
    <s v="No"/>
    <s v="No"/>
    <n v="2022"/>
    <s v="July"/>
    <s v="Q3"/>
  </r>
  <r>
    <s v="A0223"/>
    <s v="Second Chance Rescue"/>
    <x v="1"/>
    <x v="0"/>
    <s v="Ragdoll"/>
    <x v="2"/>
    <s v="Male"/>
    <n v="11.6"/>
    <n v="2.2000000000000002"/>
    <x v="0"/>
    <s v="2024-10-03"/>
    <s v="Transfer from Another Shelter"/>
    <s v="2024-12-25"/>
    <s v="Returned to Owner"/>
    <n v="83"/>
    <x v="0"/>
    <n v="0"/>
    <n v="500"/>
    <x v="0"/>
    <s v="Referral"/>
    <s v="No"/>
    <s v="Yes"/>
    <s v="No"/>
    <n v="2024"/>
    <s v="October"/>
    <s v="Q4"/>
  </r>
  <r>
    <s v="A0224"/>
    <s v="Happy Paws Shelter"/>
    <x v="0"/>
    <x v="1"/>
    <s v="Beagle"/>
    <x v="0"/>
    <s v="Female"/>
    <n v="5"/>
    <n v="19.7"/>
    <x v="1"/>
    <s v="2022-09-01"/>
    <s v="Born in Shelter"/>
    <s v="2023-01-07"/>
    <s v="Adopted"/>
    <n v="128"/>
    <x v="2"/>
    <n v="3840"/>
    <n v="500"/>
    <x v="2"/>
    <s v="Social Media"/>
    <s v="Yes"/>
    <s v="Yes"/>
    <s v="No"/>
    <n v="2022"/>
    <s v="September"/>
    <s v="Q3"/>
  </r>
  <r>
    <s v="A0225"/>
    <s v="Hope Animal Shelter"/>
    <x v="4"/>
    <x v="1"/>
    <s v="Beagle"/>
    <x v="9"/>
    <s v="Female"/>
    <n v="8.6"/>
    <n v="4.4000000000000004"/>
    <x v="0"/>
    <s v="2024-08-26"/>
    <s v="Confiscated"/>
    <s v="2024-12-31"/>
    <s v="Euthanized"/>
    <n v="169"/>
    <x v="0"/>
    <n v="0"/>
    <n v="0"/>
    <x v="0"/>
    <s v="Social Media"/>
    <s v="Yes"/>
    <s v="No"/>
    <s v="Yes"/>
    <n v="2024"/>
    <s v="August"/>
    <s v="Q3"/>
  </r>
  <r>
    <s v="A0226"/>
    <s v="Second Chance Rescue"/>
    <x v="0"/>
    <x v="1"/>
    <s v="Golden Retriever"/>
    <x v="2"/>
    <s v="Male"/>
    <n v="1.4"/>
    <n v="21.6"/>
    <x v="3"/>
    <s v="2024-10-05"/>
    <s v="Owner Surrender"/>
    <s v="2024-11-10"/>
    <s v="Still in Shelter"/>
    <n v="36"/>
    <x v="0"/>
    <n v="0"/>
    <n v="0"/>
    <x v="0"/>
    <s v="Social Media"/>
    <s v="Yes"/>
    <s v="No"/>
    <s v="Yes"/>
    <n v="2024"/>
    <s v="October"/>
    <s v="Q4"/>
  </r>
  <r>
    <s v="A0227"/>
    <s v="Furever Home"/>
    <x v="5"/>
    <x v="1"/>
    <s v="German Shepherd"/>
    <x v="5"/>
    <s v="Male"/>
    <n v="6.4"/>
    <n v="2.2000000000000002"/>
    <x v="4"/>
    <s v="2024-07-11"/>
    <s v="Born in Shelter"/>
    <s v="2024-11-06"/>
    <s v="Adopted"/>
    <n v="118"/>
    <x v="2"/>
    <n v="7086"/>
    <n v="0"/>
    <x v="3"/>
    <s v="Walk-in"/>
    <s v="No"/>
    <s v="No"/>
    <s v="No"/>
    <n v="2024"/>
    <s v="July"/>
    <s v="Q3"/>
  </r>
  <r>
    <s v="A0228"/>
    <s v="City Animal Shelter"/>
    <x v="5"/>
    <x v="0"/>
    <s v="Domestic Shorthair"/>
    <x v="3"/>
    <s v="Male"/>
    <n v="4.8"/>
    <n v="12.3"/>
    <x v="3"/>
    <s v="2024-05-07"/>
    <s v="Born in Shelter"/>
    <s v="2024-10-10"/>
    <s v="Returned to Owner"/>
    <n v="156"/>
    <x v="0"/>
    <n v="0"/>
    <n v="500"/>
    <x v="0"/>
    <s v="Event"/>
    <s v="Yes"/>
    <s v="No"/>
    <s v="No"/>
    <n v="2024"/>
    <s v="May"/>
    <s v="Q2"/>
  </r>
  <r>
    <s v="A0229"/>
    <s v="Second Chance Rescue"/>
    <x v="6"/>
    <x v="0"/>
    <s v="Mixed Breed"/>
    <x v="5"/>
    <s v="Female"/>
    <n v="8.3000000000000007"/>
    <n v="32.299999999999997"/>
    <x v="4"/>
    <s v="2023-03-22"/>
    <s v="Stray"/>
    <s v="2023-05-13"/>
    <s v="Returned to Owner"/>
    <n v="52"/>
    <x v="0"/>
    <n v="0"/>
    <n v="500"/>
    <x v="0"/>
    <s v="Social Media"/>
    <s v="No"/>
    <s v="No"/>
    <s v="No"/>
    <n v="2023"/>
    <s v="March"/>
    <s v="Q1"/>
  </r>
  <r>
    <s v="A0230"/>
    <s v="Second Chance Rescue"/>
    <x v="7"/>
    <x v="0"/>
    <s v="Bengal"/>
    <x v="3"/>
    <s v="Female"/>
    <n v="1.8"/>
    <n v="23.6"/>
    <x v="4"/>
    <s v="2024-05-15"/>
    <s v="Abandoned"/>
    <s v="2024-05-19"/>
    <s v="Adopted"/>
    <n v="4"/>
    <x v="2"/>
    <n v="1603"/>
    <n v="500"/>
    <x v="1"/>
    <s v="Social Media"/>
    <s v="Yes"/>
    <s v="No"/>
    <s v="Yes"/>
    <n v="2024"/>
    <s v="May"/>
    <s v="Q2"/>
  </r>
  <r>
    <s v="A0231"/>
    <s v="Hope Animal Shelter"/>
    <x v="7"/>
    <x v="3"/>
    <s v="Dutch"/>
    <x v="9"/>
    <s v="Female"/>
    <n v="2.9"/>
    <n v="27.6"/>
    <x v="3"/>
    <s v="2022-07-29"/>
    <s v="Transfer from Another Shelter"/>
    <s v="2023-01-03"/>
    <s v="Returned to Owner"/>
    <n v="158"/>
    <x v="0"/>
    <n v="0"/>
    <n v="1000"/>
    <x v="0"/>
    <s v="Social Media"/>
    <s v="Yes"/>
    <s v="Yes"/>
    <s v="No"/>
    <n v="2022"/>
    <s v="July"/>
    <s v="Q3"/>
  </r>
  <r>
    <s v="A0232"/>
    <s v="Paws &amp; Claws Rescue"/>
    <x v="4"/>
    <x v="1"/>
    <s v="Husky"/>
    <x v="6"/>
    <s v="Female"/>
    <n v="9.1"/>
    <n v="19.399999999999999"/>
    <x v="3"/>
    <s v="2023-04-07"/>
    <s v="Owner Surrender"/>
    <s v="2023-09-17"/>
    <s v="Euthanized"/>
    <n v="163"/>
    <x v="0"/>
    <n v="0"/>
    <n v="0"/>
    <x v="0"/>
    <s v="Walk-in"/>
    <s v="Yes"/>
    <s v="Yes"/>
    <s v="Yes"/>
    <n v="2023"/>
    <s v="April"/>
    <s v="Q2"/>
  </r>
  <r>
    <s v="A0233"/>
    <s v="City Animal Shelter"/>
    <x v="3"/>
    <x v="2"/>
    <s v="Parakeet"/>
    <x v="1"/>
    <s v="Female"/>
    <n v="1.6"/>
    <n v="20.6"/>
    <x v="4"/>
    <s v="2024-05-27"/>
    <s v="Owner Surrender"/>
    <s v="2024-08-07"/>
    <s v="Transferred"/>
    <n v="72"/>
    <x v="0"/>
    <n v="0"/>
    <n v="0"/>
    <x v="0"/>
    <s v="Walk-in"/>
    <s v="Yes"/>
    <s v="No"/>
    <s v="Yes"/>
    <n v="2024"/>
    <s v="May"/>
    <s v="Q2"/>
  </r>
  <r>
    <s v="A0234"/>
    <s v="Paws &amp; Claws Rescue"/>
    <x v="4"/>
    <x v="1"/>
    <s v="Bulldog"/>
    <x v="3"/>
    <s v="Male"/>
    <n v="1"/>
    <n v="24.9"/>
    <x v="2"/>
    <s v="2024-10-01"/>
    <s v="Born in Shelter"/>
    <s v="2024-12-31"/>
    <s v="Euthanized"/>
    <n v="147"/>
    <x v="0"/>
    <n v="0"/>
    <n v="0"/>
    <x v="0"/>
    <s v="Website"/>
    <s v="No"/>
    <s v="No"/>
    <s v="No"/>
    <n v="2024"/>
    <s v="October"/>
    <s v="Q4"/>
  </r>
  <r>
    <s v="A0235"/>
    <s v="Paws &amp; Claws Rescue"/>
    <x v="5"/>
    <x v="0"/>
    <s v="Bengal"/>
    <x v="5"/>
    <s v="Male"/>
    <n v="4"/>
    <n v="10.6"/>
    <x v="0"/>
    <s v="2023-03-30"/>
    <s v="Confiscated"/>
    <s v="2023-05-24"/>
    <s v="Euthanized"/>
    <n v="55"/>
    <x v="0"/>
    <n v="0"/>
    <n v="0"/>
    <x v="0"/>
    <s v="Social Media"/>
    <s v="No"/>
    <s v="Yes"/>
    <s v="No"/>
    <n v="2023"/>
    <s v="March"/>
    <s v="Q1"/>
  </r>
  <r>
    <s v="A0236"/>
    <s v="Happy Paws Shelter"/>
    <x v="2"/>
    <x v="1"/>
    <s v="Beagle"/>
    <x v="5"/>
    <s v="Female"/>
    <n v="3.2"/>
    <n v="25.5"/>
    <x v="3"/>
    <s v="2024-02-21"/>
    <s v="Stray"/>
    <s v="2024-03-22"/>
    <s v="Still in Shelter"/>
    <n v="30"/>
    <x v="0"/>
    <n v="0"/>
    <n v="0"/>
    <x v="0"/>
    <s v="Social Media"/>
    <s v="Yes"/>
    <s v="No"/>
    <s v="Yes"/>
    <n v="2024"/>
    <s v="February"/>
    <s v="Q1"/>
  </r>
  <r>
    <s v="A0237"/>
    <s v="Hope Animal Shelter"/>
    <x v="1"/>
    <x v="0"/>
    <s v="Siamese"/>
    <x v="4"/>
    <s v="Male"/>
    <n v="7.6"/>
    <n v="7.9"/>
    <x v="1"/>
    <s v="2024-12-28"/>
    <s v="Confiscated"/>
    <s v="2024-12-30"/>
    <s v="Adopted"/>
    <n v="2"/>
    <x v="4"/>
    <n v="2363"/>
    <n v="2000"/>
    <x v="1"/>
    <s v="Website"/>
    <s v="Yes"/>
    <s v="No"/>
    <s v="No"/>
    <n v="2024"/>
    <s v="December"/>
    <s v="Q4"/>
  </r>
  <r>
    <s v="A0238"/>
    <s v="City Animal Shelter"/>
    <x v="1"/>
    <x v="1"/>
    <s v="German Shepherd"/>
    <x v="2"/>
    <s v="Female"/>
    <n v="0.9"/>
    <n v="28.8"/>
    <x v="4"/>
    <s v="2022-05-31"/>
    <s v="Transfer from Another Shelter"/>
    <s v="2022-06-14"/>
    <s v="Adopted"/>
    <n v="14"/>
    <x v="4"/>
    <n v="5063"/>
    <n v="1000"/>
    <x v="4"/>
    <s v="Walk-in"/>
    <s v="No"/>
    <s v="No"/>
    <s v="Yes"/>
    <n v="2022"/>
    <s v="May"/>
    <s v="Q2"/>
  </r>
  <r>
    <s v="A0239"/>
    <s v="Happy Paws Shelter"/>
    <x v="7"/>
    <x v="0"/>
    <s v="Persian"/>
    <x v="8"/>
    <s v="Male"/>
    <n v="1"/>
    <n v="32.5"/>
    <x v="0"/>
    <s v="2022-05-10"/>
    <s v="Transfer from Another Shelter"/>
    <s v="2022-10-07"/>
    <s v="Adopted"/>
    <n v="150"/>
    <x v="4"/>
    <n v="4370"/>
    <n v="5000"/>
    <x v="2"/>
    <s v="Walk-in"/>
    <s v="No"/>
    <s v="Yes"/>
    <s v="No"/>
    <n v="2022"/>
    <s v="May"/>
    <s v="Q2"/>
  </r>
  <r>
    <s v="A0240"/>
    <s v="Hope Animal Shelter"/>
    <x v="2"/>
    <x v="1"/>
    <s v="Mixed Breed"/>
    <x v="9"/>
    <s v="Male"/>
    <n v="10.7"/>
    <n v="33.799999999999997"/>
    <x v="0"/>
    <s v="2023-08-28"/>
    <s v="Stray"/>
    <s v="2024-02-07"/>
    <s v="Adopted"/>
    <n v="163"/>
    <x v="5"/>
    <n v="5441"/>
    <n v="2000"/>
    <x v="2"/>
    <s v="Event"/>
    <s v="Yes"/>
    <s v="No"/>
    <s v="No"/>
    <n v="2023"/>
    <s v="August"/>
    <s v="Q3"/>
  </r>
  <r>
    <s v="A0241"/>
    <s v="Second Chance Rescue"/>
    <x v="0"/>
    <x v="3"/>
    <s v="Mini Rex"/>
    <x v="3"/>
    <s v="Male"/>
    <n v="2.7"/>
    <n v="29.3"/>
    <x v="2"/>
    <s v="2024-04-25"/>
    <s v="Born in Shelter"/>
    <s v="2024-10-08"/>
    <s v="Adopted"/>
    <n v="166"/>
    <x v="4"/>
    <n v="1159"/>
    <n v="0"/>
    <x v="1"/>
    <s v="Social Media"/>
    <s v="Yes"/>
    <s v="No"/>
    <s v="Yes"/>
    <n v="2024"/>
    <s v="April"/>
    <s v="Q2"/>
  </r>
  <r>
    <s v="A0242"/>
    <s v="Second Chance Rescue"/>
    <x v="2"/>
    <x v="1"/>
    <s v="Husky"/>
    <x v="7"/>
    <s v="Female"/>
    <n v="3.5"/>
    <n v="2.9"/>
    <x v="0"/>
    <s v="2023-11-09"/>
    <s v="Born in Shelter"/>
    <s v="2024-02-09"/>
    <s v="Adopted"/>
    <n v="92"/>
    <x v="1"/>
    <n v="4921"/>
    <n v="0"/>
    <x v="3"/>
    <s v="Event"/>
    <s v="Yes"/>
    <s v="No"/>
    <s v="No"/>
    <n v="2023"/>
    <s v="November"/>
    <s v="Q4"/>
  </r>
  <r>
    <s v="A0243"/>
    <s v="Hope Animal Shelter"/>
    <x v="2"/>
    <x v="1"/>
    <s v="Labrador"/>
    <x v="7"/>
    <s v="Female"/>
    <n v="3.4"/>
    <n v="12.9"/>
    <x v="3"/>
    <s v="2023-10-04"/>
    <s v="Abandoned"/>
    <s v="2023-12-07"/>
    <s v="Returned to Owner"/>
    <n v="64"/>
    <x v="0"/>
    <n v="0"/>
    <n v="1000"/>
    <x v="0"/>
    <s v="Social Media"/>
    <s v="No"/>
    <s v="No"/>
    <s v="Yes"/>
    <n v="2023"/>
    <s v="October"/>
    <s v="Q4"/>
  </r>
  <r>
    <s v="A0244"/>
    <s v="Hope Animal Shelter"/>
    <x v="0"/>
    <x v="1"/>
    <s v="German Shepherd"/>
    <x v="9"/>
    <s v="Male"/>
    <n v="8.8000000000000007"/>
    <n v="22.1"/>
    <x v="2"/>
    <s v="2023-07-29"/>
    <s v="Born in Shelter"/>
    <s v="2023-09-03"/>
    <s v="Returned to Owner"/>
    <n v="36"/>
    <x v="0"/>
    <n v="0"/>
    <n v="500"/>
    <x v="0"/>
    <s v="Event"/>
    <s v="No"/>
    <s v="No"/>
    <s v="No"/>
    <n v="2023"/>
    <s v="July"/>
    <s v="Q3"/>
  </r>
  <r>
    <s v="A0245"/>
    <s v="Hope Animal Shelter"/>
    <x v="7"/>
    <x v="1"/>
    <s v="Bulldog"/>
    <x v="3"/>
    <s v="Female"/>
    <n v="2.8"/>
    <n v="27.1"/>
    <x v="1"/>
    <s v="2024-08-24"/>
    <s v="Born in Shelter"/>
    <s v="2024-12-31"/>
    <s v="Adopted"/>
    <n v="168"/>
    <x v="5"/>
    <n v="5996"/>
    <n v="500"/>
    <x v="2"/>
    <s v="Social Media"/>
    <s v="Yes"/>
    <s v="No"/>
    <s v="No"/>
    <n v="2024"/>
    <s v="August"/>
    <s v="Q3"/>
  </r>
  <r>
    <s v="A0246"/>
    <s v="Hope Animal Shelter"/>
    <x v="6"/>
    <x v="1"/>
    <s v="Golden Retriever"/>
    <x v="7"/>
    <s v="Female"/>
    <n v="2.2000000000000002"/>
    <n v="33.200000000000003"/>
    <x v="0"/>
    <s v="2024-11-18"/>
    <s v="Owner Surrender"/>
    <s v="2024-12-24"/>
    <s v="Fostered"/>
    <n v="36"/>
    <x v="0"/>
    <n v="0"/>
    <n v="0"/>
    <x v="0"/>
    <s v="Referral"/>
    <s v="Yes"/>
    <s v="Yes"/>
    <s v="No"/>
    <n v="2024"/>
    <s v="November"/>
    <s v="Q4"/>
  </r>
  <r>
    <s v="A0247"/>
    <s v="Happy Paws Shelter"/>
    <x v="3"/>
    <x v="3"/>
    <s v="Mini Rex"/>
    <x v="1"/>
    <s v="Male"/>
    <n v="4.7"/>
    <n v="32.200000000000003"/>
    <x v="4"/>
    <s v="2022-03-29"/>
    <s v="Born in Shelter"/>
    <s v="2022-09-17"/>
    <s v="Returned to Owner"/>
    <n v="172"/>
    <x v="0"/>
    <n v="0"/>
    <n v="500"/>
    <x v="0"/>
    <s v="Social Media"/>
    <s v="Yes"/>
    <s v="No"/>
    <s v="No"/>
    <n v="2022"/>
    <s v="March"/>
    <s v="Q1"/>
  </r>
  <r>
    <s v="A0248"/>
    <s v="Paws &amp; Claws Rescue"/>
    <x v="1"/>
    <x v="2"/>
    <s v="Lovebird"/>
    <x v="1"/>
    <s v="Female"/>
    <n v="4.5999999999999996"/>
    <n v="31.8"/>
    <x v="3"/>
    <s v="2024-01-19"/>
    <s v="Transfer from Another Shelter"/>
    <s v="2024-06-18"/>
    <s v="Adopted"/>
    <n v="151"/>
    <x v="3"/>
    <n v="2616"/>
    <n v="0"/>
    <x v="1"/>
    <s v="Event"/>
    <s v="Yes"/>
    <s v="No"/>
    <s v="No"/>
    <n v="2024"/>
    <s v="January"/>
    <s v="Q1"/>
  </r>
  <r>
    <s v="A0249"/>
    <s v="City Animal Shelter"/>
    <x v="0"/>
    <x v="1"/>
    <s v="German Shepherd"/>
    <x v="6"/>
    <s v="Female"/>
    <n v="2.6"/>
    <n v="6.9"/>
    <x v="2"/>
    <s v="2024-11-19"/>
    <s v="Abandoned"/>
    <s v="2024-12-31"/>
    <s v="Transferred"/>
    <n v="165"/>
    <x v="0"/>
    <n v="0"/>
    <n v="0"/>
    <x v="0"/>
    <s v="Walk-in"/>
    <s v="No"/>
    <s v="No"/>
    <s v="No"/>
    <n v="2024"/>
    <s v="November"/>
    <s v="Q4"/>
  </r>
  <r>
    <s v="A0250"/>
    <s v="Paws &amp; Claws Rescue"/>
    <x v="6"/>
    <x v="1"/>
    <s v="Poodle"/>
    <x v="3"/>
    <s v="Male"/>
    <n v="0.4"/>
    <n v="2"/>
    <x v="1"/>
    <s v="2022-11-27"/>
    <s v="Owner Surrender"/>
    <s v="2023-05-12"/>
    <s v="Still in Shelter"/>
    <n v="166"/>
    <x v="0"/>
    <n v="0"/>
    <n v="0"/>
    <x v="0"/>
    <s v="Walk-in"/>
    <s v="Yes"/>
    <s v="No"/>
    <s v="No"/>
    <n v="2022"/>
    <s v="November"/>
    <s v="Q4"/>
  </r>
  <r>
    <s v="A0251"/>
    <s v="Paws &amp; Claws Rescue"/>
    <x v="5"/>
    <x v="0"/>
    <s v="Domestic Shorthair"/>
    <x v="7"/>
    <s v="Male"/>
    <n v="11.4"/>
    <n v="8"/>
    <x v="0"/>
    <s v="2022-02-08"/>
    <s v="Transfer from Another Shelter"/>
    <s v="2022-07-28"/>
    <s v="Transferred"/>
    <n v="170"/>
    <x v="0"/>
    <n v="0"/>
    <n v="0"/>
    <x v="0"/>
    <s v="Event"/>
    <s v="Yes"/>
    <s v="No"/>
    <s v="No"/>
    <n v="2022"/>
    <s v="February"/>
    <s v="Q1"/>
  </r>
  <r>
    <s v="A0252"/>
    <s v="Happy Paws Shelter"/>
    <x v="4"/>
    <x v="1"/>
    <s v="Bulldog"/>
    <x v="2"/>
    <s v="Female"/>
    <n v="11.1"/>
    <n v="21.1"/>
    <x v="0"/>
    <s v="2022-12-10"/>
    <s v="Stray"/>
    <s v="2023-06-04"/>
    <s v="Euthanized"/>
    <n v="176"/>
    <x v="0"/>
    <n v="0"/>
    <n v="0"/>
    <x v="0"/>
    <s v="Walk-in"/>
    <s v="Yes"/>
    <s v="No"/>
    <s v="No"/>
    <n v="2022"/>
    <s v="December"/>
    <s v="Q4"/>
  </r>
  <r>
    <s v="A0253"/>
    <s v="Hope Animal Shelter"/>
    <x v="6"/>
    <x v="1"/>
    <s v="German Shepherd"/>
    <x v="0"/>
    <s v="Male"/>
    <n v="9.1"/>
    <n v="3.7"/>
    <x v="2"/>
    <s v="2022-12-30"/>
    <s v="Confiscated"/>
    <s v="2023-05-01"/>
    <s v="Adopted"/>
    <n v="122"/>
    <x v="4"/>
    <n v="7353"/>
    <n v="1000"/>
    <x v="2"/>
    <s v="Social Media"/>
    <s v="Yes"/>
    <s v="No"/>
    <s v="No"/>
    <n v="2022"/>
    <s v="December"/>
    <s v="Q4"/>
  </r>
  <r>
    <s v="A0254"/>
    <s v="Happy Paws Shelter"/>
    <x v="7"/>
    <x v="1"/>
    <s v="Husky"/>
    <x v="0"/>
    <s v="Female"/>
    <n v="3.1"/>
    <n v="26.9"/>
    <x v="0"/>
    <s v="2024-02-20"/>
    <s v="Owner Surrender"/>
    <s v="2024-05-20"/>
    <s v="Adopted"/>
    <n v="90"/>
    <x v="5"/>
    <n v="6485"/>
    <n v="0"/>
    <x v="1"/>
    <s v="Event"/>
    <s v="Yes"/>
    <s v="No"/>
    <s v="Yes"/>
    <n v="2024"/>
    <s v="February"/>
    <s v="Q1"/>
  </r>
  <r>
    <s v="A0255"/>
    <s v="Paws &amp; Claws Rescue"/>
    <x v="7"/>
    <x v="2"/>
    <s v="Cockatiel"/>
    <x v="8"/>
    <s v="Female"/>
    <n v="1.4"/>
    <n v="15.2"/>
    <x v="1"/>
    <s v="2023-10-09"/>
    <s v="Abandoned"/>
    <s v="2024-01-22"/>
    <s v="Euthanized"/>
    <n v="105"/>
    <x v="0"/>
    <n v="0"/>
    <n v="0"/>
    <x v="0"/>
    <s v="Event"/>
    <s v="Yes"/>
    <s v="No"/>
    <s v="No"/>
    <n v="2023"/>
    <s v="October"/>
    <s v="Q4"/>
  </r>
  <r>
    <s v="A0256"/>
    <s v="City Animal Shelter"/>
    <x v="2"/>
    <x v="1"/>
    <s v="Mixed Breed"/>
    <x v="2"/>
    <s v="Male"/>
    <n v="6.8"/>
    <n v="17.2"/>
    <x v="2"/>
    <s v="2024-09-15"/>
    <s v="Confiscated"/>
    <s v="2024-10-31"/>
    <s v="Euthanized"/>
    <n v="46"/>
    <x v="0"/>
    <n v="0"/>
    <n v="0"/>
    <x v="0"/>
    <s v="Walk-in"/>
    <s v="Yes"/>
    <s v="No"/>
    <s v="No"/>
    <n v="2024"/>
    <s v="September"/>
    <s v="Q3"/>
  </r>
  <r>
    <s v="A0257"/>
    <s v="Hope Animal Shelter"/>
    <x v="3"/>
    <x v="0"/>
    <s v="Siamese"/>
    <x v="3"/>
    <s v="Female"/>
    <n v="9.6"/>
    <n v="21.7"/>
    <x v="4"/>
    <s v="2024-11-07"/>
    <s v="Stray"/>
    <s v="2024-12-31"/>
    <s v="Euthanized"/>
    <n v="103"/>
    <x v="0"/>
    <n v="0"/>
    <n v="0"/>
    <x v="0"/>
    <s v="Walk-in"/>
    <s v="Yes"/>
    <s v="No"/>
    <s v="No"/>
    <n v="2024"/>
    <s v="November"/>
    <s v="Q4"/>
  </r>
  <r>
    <s v="A0258"/>
    <s v="Furever Home"/>
    <x v="1"/>
    <x v="0"/>
    <s v="Persian"/>
    <x v="0"/>
    <s v="Female"/>
    <n v="1.1000000000000001"/>
    <n v="1.8"/>
    <x v="4"/>
    <s v="2023-06-23"/>
    <s v="Born in Shelter"/>
    <s v="2023-08-19"/>
    <s v="Euthanized"/>
    <n v="57"/>
    <x v="0"/>
    <n v="0"/>
    <n v="0"/>
    <x v="0"/>
    <s v="Walk-in"/>
    <s v="Yes"/>
    <s v="No"/>
    <s v="No"/>
    <n v="2023"/>
    <s v="June"/>
    <s v="Q2"/>
  </r>
  <r>
    <s v="A0259"/>
    <s v="Paws &amp; Claws Rescue"/>
    <x v="4"/>
    <x v="1"/>
    <s v="Labrador"/>
    <x v="0"/>
    <s v="Male"/>
    <n v="2.4"/>
    <n v="27.5"/>
    <x v="4"/>
    <s v="2023-02-18"/>
    <s v="Stray"/>
    <s v="2023-08-06"/>
    <s v="Transferred"/>
    <n v="169"/>
    <x v="0"/>
    <n v="0"/>
    <n v="0"/>
    <x v="0"/>
    <s v="Social Media"/>
    <s v="Yes"/>
    <s v="No"/>
    <s v="Yes"/>
    <n v="2023"/>
    <s v="February"/>
    <s v="Q1"/>
  </r>
  <r>
    <s v="A0260"/>
    <s v="Second Chance Rescue"/>
    <x v="3"/>
    <x v="1"/>
    <s v="German Shepherd"/>
    <x v="4"/>
    <s v="Male"/>
    <n v="8.1"/>
    <n v="14.5"/>
    <x v="1"/>
    <s v="2023-07-20"/>
    <s v="Abandoned"/>
    <s v="2023-10-31"/>
    <s v="Euthanized"/>
    <n v="103"/>
    <x v="0"/>
    <n v="0"/>
    <n v="0"/>
    <x v="0"/>
    <s v="Event"/>
    <s v="Yes"/>
    <s v="No"/>
    <s v="No"/>
    <n v="2023"/>
    <s v="July"/>
    <s v="Q3"/>
  </r>
  <r>
    <s v="A0261"/>
    <s v="Happy Paws Shelter"/>
    <x v="7"/>
    <x v="1"/>
    <s v="Poodle"/>
    <x v="1"/>
    <s v="Male"/>
    <n v="4.9000000000000004"/>
    <n v="4.2"/>
    <x v="2"/>
    <s v="2024-07-20"/>
    <s v="Born in Shelter"/>
    <s v="2024-11-01"/>
    <s v="Adopted"/>
    <n v="104"/>
    <x v="1"/>
    <n v="5138"/>
    <n v="0"/>
    <x v="4"/>
    <s v="Referral"/>
    <s v="No"/>
    <s v="No"/>
    <s v="No"/>
    <n v="2024"/>
    <s v="July"/>
    <s v="Q3"/>
  </r>
  <r>
    <s v="A0262"/>
    <s v="Furever Home"/>
    <x v="4"/>
    <x v="1"/>
    <s v="Beagle"/>
    <x v="6"/>
    <s v="Female"/>
    <n v="5.8"/>
    <n v="9.4"/>
    <x v="3"/>
    <s v="2024-07-28"/>
    <s v="Abandoned"/>
    <s v="2024-12-31"/>
    <s v="Fostered"/>
    <n v="175"/>
    <x v="0"/>
    <n v="0"/>
    <n v="0"/>
    <x v="0"/>
    <s v="Event"/>
    <s v="Yes"/>
    <s v="No"/>
    <s v="No"/>
    <n v="2024"/>
    <s v="July"/>
    <s v="Q3"/>
  </r>
  <r>
    <s v="A0263"/>
    <s v="Furever Home"/>
    <x v="2"/>
    <x v="1"/>
    <s v="Bulldog"/>
    <x v="1"/>
    <s v="Male"/>
    <n v="1"/>
    <n v="32.6"/>
    <x v="1"/>
    <s v="2022-07-10"/>
    <s v="Abandoned"/>
    <s v="2022-10-21"/>
    <s v="Euthanized"/>
    <n v="103"/>
    <x v="0"/>
    <n v="0"/>
    <n v="0"/>
    <x v="0"/>
    <s v="Website"/>
    <s v="Yes"/>
    <s v="No"/>
    <s v="No"/>
    <n v="2022"/>
    <s v="July"/>
    <s v="Q3"/>
  </r>
  <r>
    <s v="A0264"/>
    <s v="City Animal Shelter"/>
    <x v="6"/>
    <x v="1"/>
    <s v="Poodle"/>
    <x v="4"/>
    <s v="Male"/>
    <n v="10"/>
    <n v="29.4"/>
    <x v="0"/>
    <s v="2023-06-28"/>
    <s v="Confiscated"/>
    <s v="2023-08-20"/>
    <s v="Returned to Owner"/>
    <n v="53"/>
    <x v="0"/>
    <n v="0"/>
    <n v="0"/>
    <x v="0"/>
    <s v="Referral"/>
    <s v="Yes"/>
    <s v="No"/>
    <s v="Yes"/>
    <n v="2023"/>
    <s v="June"/>
    <s v="Q2"/>
  </r>
  <r>
    <s v="A0265"/>
    <s v="Paws &amp; Claws Rescue"/>
    <x v="7"/>
    <x v="1"/>
    <s v="Beagle"/>
    <x v="2"/>
    <s v="Male"/>
    <n v="5.9"/>
    <n v="34.5"/>
    <x v="2"/>
    <s v="2023-10-08"/>
    <s v="Born in Shelter"/>
    <s v="2024-02-12"/>
    <s v="Transferred"/>
    <n v="127"/>
    <x v="0"/>
    <n v="0"/>
    <n v="0"/>
    <x v="0"/>
    <s v="Website"/>
    <s v="Yes"/>
    <s v="No"/>
    <s v="No"/>
    <n v="2023"/>
    <s v="October"/>
    <s v="Q4"/>
  </r>
  <r>
    <s v="A0266"/>
    <s v="Furever Home"/>
    <x v="0"/>
    <x v="1"/>
    <s v="Labrador"/>
    <x v="5"/>
    <s v="Female"/>
    <n v="10.3"/>
    <n v="27.3"/>
    <x v="0"/>
    <s v="2024-10-26"/>
    <s v="Confiscated"/>
    <s v="2024-12-31"/>
    <s v="Still in Shelter"/>
    <n v="89"/>
    <x v="0"/>
    <n v="0"/>
    <n v="0"/>
    <x v="0"/>
    <s v="Walk-in"/>
    <s v="Yes"/>
    <s v="No"/>
    <s v="No"/>
    <n v="2024"/>
    <s v="October"/>
    <s v="Q4"/>
  </r>
  <r>
    <s v="A0267"/>
    <s v="Paws &amp; Claws Rescue"/>
    <x v="7"/>
    <x v="2"/>
    <s v="Finch"/>
    <x v="6"/>
    <s v="Female"/>
    <n v="7.4"/>
    <n v="9.5"/>
    <x v="3"/>
    <s v="2022-07-26"/>
    <s v="Born in Shelter"/>
    <s v="2022-10-18"/>
    <s v="Euthanized"/>
    <n v="84"/>
    <x v="0"/>
    <n v="0"/>
    <n v="0"/>
    <x v="0"/>
    <s v="Social Media"/>
    <s v="Yes"/>
    <s v="Yes"/>
    <s v="No"/>
    <n v="2022"/>
    <s v="July"/>
    <s v="Q3"/>
  </r>
  <r>
    <s v="A0268"/>
    <s v="Furever Home"/>
    <x v="6"/>
    <x v="2"/>
    <s v="Cockatiel"/>
    <x v="0"/>
    <s v="Male"/>
    <n v="4.4000000000000004"/>
    <n v="14.3"/>
    <x v="1"/>
    <s v="2024-05-08"/>
    <s v="Confiscated"/>
    <s v="2024-11-04"/>
    <s v="Euthanized"/>
    <n v="180"/>
    <x v="0"/>
    <n v="0"/>
    <n v="0"/>
    <x v="0"/>
    <s v="Website"/>
    <s v="Yes"/>
    <s v="No"/>
    <s v="No"/>
    <n v="2024"/>
    <s v="May"/>
    <s v="Q2"/>
  </r>
  <r>
    <s v="A0269"/>
    <s v="Furever Home"/>
    <x v="6"/>
    <x v="1"/>
    <s v="Mixed Breed"/>
    <x v="5"/>
    <s v="Female"/>
    <n v="9.6999999999999993"/>
    <n v="6.6"/>
    <x v="2"/>
    <s v="2024-02-20"/>
    <s v="Transfer from Another Shelter"/>
    <s v="2024-04-11"/>
    <s v="Adopted"/>
    <n v="51"/>
    <x v="1"/>
    <n v="4225"/>
    <n v="500"/>
    <x v="4"/>
    <s v="Event"/>
    <s v="Yes"/>
    <s v="No"/>
    <s v="Yes"/>
    <n v="2024"/>
    <s v="February"/>
    <s v="Q1"/>
  </r>
  <r>
    <s v="A0270"/>
    <s v="City Animal Shelter"/>
    <x v="2"/>
    <x v="1"/>
    <s v="Labrador"/>
    <x v="5"/>
    <s v="Female"/>
    <n v="5.5"/>
    <n v="12"/>
    <x v="0"/>
    <s v="2023-03-18"/>
    <s v="Stray"/>
    <s v="2023-05-23"/>
    <s v="Fostered"/>
    <n v="66"/>
    <x v="0"/>
    <n v="0"/>
    <n v="0"/>
    <x v="0"/>
    <s v="Referral"/>
    <s v="Yes"/>
    <s v="No"/>
    <s v="No"/>
    <n v="2023"/>
    <s v="March"/>
    <s v="Q1"/>
  </r>
  <r>
    <s v="A0271"/>
    <s v="Hope Animal Shelter"/>
    <x v="5"/>
    <x v="1"/>
    <s v="Golden Retriever"/>
    <x v="4"/>
    <s v="Female"/>
    <n v="8.1"/>
    <n v="17.3"/>
    <x v="1"/>
    <s v="2023-08-06"/>
    <s v="Abandoned"/>
    <s v="2023-11-05"/>
    <s v="Euthanized"/>
    <n v="91"/>
    <x v="0"/>
    <n v="0"/>
    <n v="0"/>
    <x v="0"/>
    <s v="Referral"/>
    <s v="Yes"/>
    <s v="Yes"/>
    <s v="No"/>
    <n v="2023"/>
    <s v="August"/>
    <s v="Q3"/>
  </r>
  <r>
    <s v="A0272"/>
    <s v="City Animal Shelter"/>
    <x v="7"/>
    <x v="2"/>
    <s v="Finch"/>
    <x v="0"/>
    <s v="Female"/>
    <n v="2.8"/>
    <n v="11.4"/>
    <x v="0"/>
    <s v="2024-04-08"/>
    <s v="Transfer from Another Shelter"/>
    <s v="2024-04-27"/>
    <s v="Adopted"/>
    <n v="19"/>
    <x v="1"/>
    <n v="1163"/>
    <n v="0"/>
    <x v="2"/>
    <s v="Referral"/>
    <s v="Yes"/>
    <s v="Yes"/>
    <s v="Yes"/>
    <n v="2024"/>
    <s v="April"/>
    <s v="Q2"/>
  </r>
  <r>
    <s v="A0273"/>
    <s v="Furever Home"/>
    <x v="3"/>
    <x v="1"/>
    <s v="Poodle"/>
    <x v="9"/>
    <s v="Female"/>
    <n v="4.8"/>
    <n v="3.8"/>
    <x v="1"/>
    <s v="2023-05-31"/>
    <s v="Stray"/>
    <s v="2023-11-27"/>
    <s v="Adopted"/>
    <n v="180"/>
    <x v="5"/>
    <n v="4725"/>
    <n v="0"/>
    <x v="4"/>
    <s v="Event"/>
    <s v="Yes"/>
    <s v="Yes"/>
    <s v="No"/>
    <n v="2023"/>
    <s v="May"/>
    <s v="Q2"/>
  </r>
  <r>
    <s v="A0274"/>
    <s v="Happy Paws Shelter"/>
    <x v="3"/>
    <x v="0"/>
    <s v="Siamese"/>
    <x v="1"/>
    <s v="Female"/>
    <n v="1.7"/>
    <n v="29.4"/>
    <x v="2"/>
    <s v="2023-05-22"/>
    <s v="Transfer from Another Shelter"/>
    <s v="2023-08-03"/>
    <s v="Fostered"/>
    <n v="73"/>
    <x v="0"/>
    <n v="0"/>
    <n v="0"/>
    <x v="0"/>
    <s v="Referral"/>
    <s v="Yes"/>
    <s v="No"/>
    <s v="No"/>
    <n v="2023"/>
    <s v="May"/>
    <s v="Q2"/>
  </r>
  <r>
    <s v="A0275"/>
    <s v="City Animal Shelter"/>
    <x v="2"/>
    <x v="1"/>
    <s v="Golden Retriever"/>
    <x v="7"/>
    <s v="Male"/>
    <n v="6.3"/>
    <n v="22.6"/>
    <x v="2"/>
    <s v="2024-07-24"/>
    <s v="Stray"/>
    <s v="2024-12-31"/>
    <s v="Still in Shelter"/>
    <n v="162"/>
    <x v="0"/>
    <n v="0"/>
    <n v="0"/>
    <x v="0"/>
    <s v="Referral"/>
    <s v="Yes"/>
    <s v="No"/>
    <s v="No"/>
    <n v="2024"/>
    <s v="July"/>
    <s v="Q3"/>
  </r>
  <r>
    <s v="A0276"/>
    <s v="City Animal Shelter"/>
    <x v="5"/>
    <x v="0"/>
    <s v="Siamese"/>
    <x v="5"/>
    <s v="Male"/>
    <n v="9.1"/>
    <n v="5.2"/>
    <x v="4"/>
    <s v="2023-09-14"/>
    <s v="Transfer from Another Shelter"/>
    <s v="2023-09-17"/>
    <s v="Adopted"/>
    <n v="3"/>
    <x v="4"/>
    <n v="3643"/>
    <n v="5000"/>
    <x v="4"/>
    <s v="Walk-in"/>
    <s v="No"/>
    <s v="No"/>
    <s v="No"/>
    <n v="2023"/>
    <s v="September"/>
    <s v="Q3"/>
  </r>
  <r>
    <s v="A0277"/>
    <s v="Hope Animal Shelter"/>
    <x v="1"/>
    <x v="1"/>
    <s v="Beagle"/>
    <x v="2"/>
    <s v="Male"/>
    <n v="4.8"/>
    <n v="6.1"/>
    <x v="0"/>
    <s v="2023-01-22"/>
    <s v="Stray"/>
    <s v="2023-05-08"/>
    <s v="Still in Shelter"/>
    <n v="106"/>
    <x v="0"/>
    <n v="0"/>
    <n v="0"/>
    <x v="0"/>
    <s v="Referral"/>
    <s v="Yes"/>
    <s v="No"/>
    <s v="No"/>
    <n v="2023"/>
    <s v="January"/>
    <s v="Q1"/>
  </r>
  <r>
    <s v="A0278"/>
    <s v="Second Chance Rescue"/>
    <x v="7"/>
    <x v="0"/>
    <s v="Mixed Breed"/>
    <x v="4"/>
    <s v="Female"/>
    <n v="2.2999999999999998"/>
    <n v="2.9"/>
    <x v="1"/>
    <s v="2024-12-25"/>
    <s v="Transfer from Another Shelter"/>
    <s v="2024-12-31"/>
    <s v="Still in Shelter"/>
    <n v="69"/>
    <x v="0"/>
    <n v="0"/>
    <n v="0"/>
    <x v="0"/>
    <s v="Social Media"/>
    <s v="No"/>
    <s v="Yes"/>
    <s v="No"/>
    <n v="2024"/>
    <s v="December"/>
    <s v="Q4"/>
  </r>
  <r>
    <s v="A0279"/>
    <s v="Furever Home"/>
    <x v="3"/>
    <x v="1"/>
    <s v="Golden Retriever"/>
    <x v="6"/>
    <s v="Male"/>
    <n v="3.5"/>
    <n v="4.8"/>
    <x v="0"/>
    <s v="2022-04-12"/>
    <s v="Stray"/>
    <s v="2022-08-27"/>
    <s v="Adopted"/>
    <n v="137"/>
    <x v="4"/>
    <n v="4523"/>
    <n v="0"/>
    <x v="3"/>
    <s v="Social Media"/>
    <s v="No"/>
    <s v="No"/>
    <s v="No"/>
    <n v="2022"/>
    <s v="April"/>
    <s v="Q2"/>
  </r>
  <r>
    <s v="A0280"/>
    <s v="Paws &amp; Claws Rescue"/>
    <x v="5"/>
    <x v="3"/>
    <s v="Dutch"/>
    <x v="3"/>
    <s v="Male"/>
    <n v="3.3"/>
    <n v="14"/>
    <x v="2"/>
    <s v="2022-03-06"/>
    <s v="Abandoned"/>
    <s v="2022-05-30"/>
    <s v="Adopted"/>
    <n v="85"/>
    <x v="4"/>
    <n v="1098"/>
    <n v="0"/>
    <x v="1"/>
    <s v="Walk-in"/>
    <s v="Yes"/>
    <s v="No"/>
    <s v="No"/>
    <n v="2022"/>
    <s v="March"/>
    <s v="Q1"/>
  </r>
  <r>
    <s v="A0281"/>
    <s v="Hope Animal Shelter"/>
    <x v="7"/>
    <x v="1"/>
    <s v="Labrador"/>
    <x v="1"/>
    <s v="Male"/>
    <n v="11.8"/>
    <n v="16.8"/>
    <x v="4"/>
    <s v="2023-02-12"/>
    <s v="Confiscated"/>
    <s v="2023-06-10"/>
    <s v="Adopted"/>
    <n v="118"/>
    <x v="5"/>
    <n v="7269"/>
    <n v="2000"/>
    <x v="1"/>
    <s v="Social Media"/>
    <s v="No"/>
    <s v="No"/>
    <s v="No"/>
    <n v="2023"/>
    <s v="February"/>
    <s v="Q1"/>
  </r>
  <r>
    <s v="A0282"/>
    <s v="Happy Paws Shelter"/>
    <x v="6"/>
    <x v="1"/>
    <s v="Beagle"/>
    <x v="8"/>
    <s v="Male"/>
    <n v="2.9"/>
    <n v="15.5"/>
    <x v="3"/>
    <s v="2022-04-17"/>
    <s v="Owner Surrender"/>
    <s v="2022-10-05"/>
    <s v="Returned to Owner"/>
    <n v="171"/>
    <x v="0"/>
    <n v="0"/>
    <n v="0"/>
    <x v="0"/>
    <s v="Walk-in"/>
    <s v="Yes"/>
    <s v="No"/>
    <s v="No"/>
    <n v="2022"/>
    <s v="April"/>
    <s v="Q2"/>
  </r>
  <r>
    <s v="A0283"/>
    <s v="City Animal Shelter"/>
    <x v="3"/>
    <x v="1"/>
    <s v="Golden Retriever"/>
    <x v="9"/>
    <s v="Female"/>
    <n v="6"/>
    <n v="24.2"/>
    <x v="4"/>
    <s v="2024-01-31"/>
    <s v="Owner Surrender"/>
    <s v="2024-02-23"/>
    <s v="Returned to Owner"/>
    <n v="23"/>
    <x v="0"/>
    <n v="0"/>
    <n v="0"/>
    <x v="0"/>
    <s v="Event"/>
    <s v="Yes"/>
    <s v="Yes"/>
    <s v="No"/>
    <n v="2024"/>
    <s v="January"/>
    <s v="Q1"/>
  </r>
  <r>
    <s v="A0284"/>
    <s v="Second Chance Rescue"/>
    <x v="7"/>
    <x v="1"/>
    <s v="Beagle"/>
    <x v="9"/>
    <s v="Female"/>
    <n v="8.3000000000000007"/>
    <n v="12.9"/>
    <x v="4"/>
    <s v="2023-12-13"/>
    <s v="Transfer from Another Shelter"/>
    <s v="2024-04-04"/>
    <s v="Returned to Owner"/>
    <n v="113"/>
    <x v="0"/>
    <n v="0"/>
    <n v="0"/>
    <x v="0"/>
    <s v="Event"/>
    <s v="Yes"/>
    <s v="No"/>
    <s v="No"/>
    <n v="2023"/>
    <s v="December"/>
    <s v="Q4"/>
  </r>
  <r>
    <s v="A0285"/>
    <s v="Paws &amp; Claws Rescue"/>
    <x v="6"/>
    <x v="1"/>
    <s v="Golden Retriever"/>
    <x v="4"/>
    <s v="Male"/>
    <n v="10.4"/>
    <n v="21.2"/>
    <x v="3"/>
    <s v="2023-12-14"/>
    <s v="Abandoned"/>
    <s v="2024-03-06"/>
    <s v="Fostered"/>
    <n v="83"/>
    <x v="0"/>
    <n v="0"/>
    <n v="500"/>
    <x v="0"/>
    <s v="Social Media"/>
    <s v="Yes"/>
    <s v="No"/>
    <s v="Yes"/>
    <n v="2023"/>
    <s v="December"/>
    <s v="Q4"/>
  </r>
  <r>
    <s v="A0286"/>
    <s v="Hope Animal Shelter"/>
    <x v="0"/>
    <x v="0"/>
    <s v="Domestic Shorthair"/>
    <x v="5"/>
    <s v="Female"/>
    <n v="9.3000000000000007"/>
    <n v="8.6999999999999993"/>
    <x v="0"/>
    <s v="2023-01-15"/>
    <s v="Born in Shelter"/>
    <s v="2023-01-20"/>
    <s v="Euthanized"/>
    <n v="5"/>
    <x v="0"/>
    <n v="0"/>
    <n v="0"/>
    <x v="0"/>
    <s v="Referral"/>
    <s v="Yes"/>
    <s v="No"/>
    <s v="No"/>
    <n v="2023"/>
    <s v="January"/>
    <s v="Q1"/>
  </r>
  <r>
    <s v="A0287"/>
    <s v="Second Chance Rescue"/>
    <x v="6"/>
    <x v="3"/>
    <s v="Dutch"/>
    <x v="9"/>
    <s v="Male"/>
    <n v="0.9"/>
    <n v="29.3"/>
    <x v="0"/>
    <s v="2023-10-22"/>
    <s v="Transfer from Another Shelter"/>
    <s v="2023-11-20"/>
    <s v="Adopted"/>
    <n v="29"/>
    <x v="2"/>
    <n v="2643"/>
    <n v="2000"/>
    <x v="1"/>
    <s v="Walk-in"/>
    <s v="No"/>
    <s v="No"/>
    <s v="No"/>
    <n v="2023"/>
    <s v="October"/>
    <s v="Q4"/>
  </r>
  <r>
    <s v="A0288"/>
    <s v="Happy Paws Shelter"/>
    <x v="4"/>
    <x v="0"/>
    <s v="Maine Coon"/>
    <x v="7"/>
    <s v="Male"/>
    <n v="2.7"/>
    <n v="25.3"/>
    <x v="3"/>
    <s v="2023-06-09"/>
    <s v="Confiscated"/>
    <s v="2023-06-22"/>
    <s v="Euthanized"/>
    <n v="13"/>
    <x v="0"/>
    <n v="0"/>
    <n v="0"/>
    <x v="0"/>
    <s v="Walk-in"/>
    <s v="Yes"/>
    <s v="No"/>
    <s v="No"/>
    <n v="2023"/>
    <s v="June"/>
    <s v="Q2"/>
  </r>
  <r>
    <s v="A0289"/>
    <s v="Paws &amp; Claws Rescue"/>
    <x v="0"/>
    <x v="3"/>
    <s v="Holland Lop"/>
    <x v="4"/>
    <s v="Male"/>
    <n v="3.7"/>
    <n v="33.1"/>
    <x v="1"/>
    <s v="2023-06-29"/>
    <s v="Transfer from Another Shelter"/>
    <s v="2023-11-12"/>
    <s v="Adopted"/>
    <n v="136"/>
    <x v="2"/>
    <n v="788"/>
    <n v="5000"/>
    <x v="3"/>
    <s v="Event"/>
    <s v="Yes"/>
    <s v="No"/>
    <s v="No"/>
    <n v="2023"/>
    <s v="June"/>
    <s v="Q2"/>
  </r>
  <r>
    <s v="A0290"/>
    <s v="Furever Home"/>
    <x v="0"/>
    <x v="0"/>
    <s v="Mixed Breed"/>
    <x v="3"/>
    <s v="Male"/>
    <n v="8.1"/>
    <n v="24.7"/>
    <x v="1"/>
    <s v="2024-04-30"/>
    <s v="Transfer from Another Shelter"/>
    <s v="2024-05-28"/>
    <s v="Euthanized"/>
    <n v="28"/>
    <x v="0"/>
    <n v="0"/>
    <n v="0"/>
    <x v="0"/>
    <s v="Event"/>
    <s v="Yes"/>
    <s v="No"/>
    <s v="No"/>
    <n v="2024"/>
    <s v="April"/>
    <s v="Q2"/>
  </r>
  <r>
    <s v="A0291"/>
    <s v="City Animal Shelter"/>
    <x v="1"/>
    <x v="0"/>
    <s v="Maine Coon"/>
    <x v="2"/>
    <s v="Female"/>
    <n v="6.6"/>
    <n v="34.9"/>
    <x v="1"/>
    <s v="2024-06-26"/>
    <s v="Owner Surrender"/>
    <s v="2024-09-25"/>
    <s v="Euthanized"/>
    <n v="91"/>
    <x v="0"/>
    <n v="0"/>
    <n v="0"/>
    <x v="0"/>
    <s v="Event"/>
    <s v="Yes"/>
    <s v="No"/>
    <s v="No"/>
    <n v="2024"/>
    <s v="June"/>
    <s v="Q2"/>
  </r>
  <r>
    <s v="A0292"/>
    <s v="City Animal Shelter"/>
    <x v="3"/>
    <x v="3"/>
    <s v="Dutch"/>
    <x v="8"/>
    <s v="Male"/>
    <n v="7.2"/>
    <n v="18.399999999999999"/>
    <x v="0"/>
    <s v="2024-07-05"/>
    <s v="Abandoned"/>
    <s v="2024-10-15"/>
    <s v="Adopted"/>
    <n v="102"/>
    <x v="5"/>
    <n v="641"/>
    <n v="0"/>
    <x v="4"/>
    <s v="Event"/>
    <s v="Yes"/>
    <s v="Yes"/>
    <s v="Yes"/>
    <n v="2024"/>
    <s v="July"/>
    <s v="Q3"/>
  </r>
  <r>
    <s v="A0293"/>
    <s v="Second Chance Rescue"/>
    <x v="7"/>
    <x v="1"/>
    <s v="Beagle"/>
    <x v="8"/>
    <s v="Male"/>
    <n v="4.5"/>
    <n v="20.6"/>
    <x v="1"/>
    <s v="2022-11-16"/>
    <s v="Transfer from Another Shelter"/>
    <s v="2022-12-22"/>
    <s v="Transferred"/>
    <n v="36"/>
    <x v="0"/>
    <n v="0"/>
    <n v="0"/>
    <x v="0"/>
    <s v="Event"/>
    <s v="Yes"/>
    <s v="No"/>
    <s v="Yes"/>
    <n v="2022"/>
    <s v="November"/>
    <s v="Q4"/>
  </r>
  <r>
    <s v="A0294"/>
    <s v="Paws &amp; Claws Rescue"/>
    <x v="1"/>
    <x v="3"/>
    <s v="Dutch"/>
    <x v="4"/>
    <s v="Male"/>
    <n v="3.7"/>
    <n v="25.7"/>
    <x v="2"/>
    <s v="2022-12-21"/>
    <s v="Abandoned"/>
    <s v="2023-04-25"/>
    <s v="Adopted"/>
    <n v="125"/>
    <x v="1"/>
    <n v="2938"/>
    <n v="2000"/>
    <x v="2"/>
    <s v="Referral"/>
    <s v="Yes"/>
    <s v="Yes"/>
    <s v="Yes"/>
    <n v="2022"/>
    <s v="December"/>
    <s v="Q4"/>
  </r>
  <r>
    <s v="A0295"/>
    <s v="Hope Animal Shelter"/>
    <x v="4"/>
    <x v="2"/>
    <s v="Parakeet"/>
    <x v="3"/>
    <s v="Male"/>
    <n v="6.8"/>
    <n v="11.8"/>
    <x v="4"/>
    <s v="2023-09-17"/>
    <s v="Confiscated"/>
    <s v="2024-01-30"/>
    <s v="Adopted"/>
    <n v="135"/>
    <x v="4"/>
    <n v="1807"/>
    <n v="1000"/>
    <x v="2"/>
    <s v="Event"/>
    <s v="Yes"/>
    <s v="Yes"/>
    <s v="No"/>
    <n v="2023"/>
    <s v="September"/>
    <s v="Q3"/>
  </r>
  <r>
    <s v="A0296"/>
    <s v="Paws &amp; Claws Rescue"/>
    <x v="1"/>
    <x v="0"/>
    <s v="Ragdoll"/>
    <x v="8"/>
    <s v="Male"/>
    <n v="5.8"/>
    <n v="26.2"/>
    <x v="3"/>
    <s v="2024-03-18"/>
    <s v="Born in Shelter"/>
    <s v="2024-04-25"/>
    <s v="Adopted"/>
    <n v="38"/>
    <x v="4"/>
    <n v="2876"/>
    <n v="0"/>
    <x v="3"/>
    <s v="Website"/>
    <s v="No"/>
    <s v="No"/>
    <s v="No"/>
    <n v="2024"/>
    <s v="March"/>
    <s v="Q1"/>
  </r>
  <r>
    <s v="A0297"/>
    <s v="City Animal Shelter"/>
    <x v="0"/>
    <x v="1"/>
    <s v="Mixed Breed"/>
    <x v="4"/>
    <s v="Female"/>
    <n v="1"/>
    <n v="27.3"/>
    <x v="3"/>
    <s v="2023-02-06"/>
    <s v="Abandoned"/>
    <s v="2023-06-30"/>
    <s v="Returned to Owner"/>
    <n v="144"/>
    <x v="0"/>
    <n v="0"/>
    <n v="0"/>
    <x v="0"/>
    <s v="Social Media"/>
    <s v="Yes"/>
    <s v="No"/>
    <s v="No"/>
    <n v="2023"/>
    <s v="February"/>
    <s v="Q1"/>
  </r>
  <r>
    <s v="A0298"/>
    <s v="Furever Home"/>
    <x v="6"/>
    <x v="1"/>
    <s v="Labrador"/>
    <x v="7"/>
    <s v="Male"/>
    <n v="7.4"/>
    <n v="34.700000000000003"/>
    <x v="2"/>
    <s v="2023-09-17"/>
    <s v="Owner Surrender"/>
    <s v="2023-10-31"/>
    <s v="Euthanized"/>
    <n v="44"/>
    <x v="0"/>
    <n v="0"/>
    <n v="0"/>
    <x v="0"/>
    <s v="Website"/>
    <s v="Yes"/>
    <s v="Yes"/>
    <s v="Yes"/>
    <n v="2023"/>
    <s v="September"/>
    <s v="Q3"/>
  </r>
  <r>
    <s v="A0299"/>
    <s v="Happy Paws Shelter"/>
    <x v="7"/>
    <x v="0"/>
    <s v="Mixed Breed"/>
    <x v="7"/>
    <s v="Female"/>
    <n v="3.5"/>
    <n v="12.3"/>
    <x v="0"/>
    <s v="2022-04-22"/>
    <s v="Abandoned"/>
    <s v="2022-06-24"/>
    <s v="Adopted"/>
    <n v="63"/>
    <x v="2"/>
    <n v="4909"/>
    <n v="5000"/>
    <x v="3"/>
    <s v="Website"/>
    <s v="Yes"/>
    <s v="No"/>
    <s v="No"/>
    <n v="2022"/>
    <s v="April"/>
    <s v="Q2"/>
  </r>
  <r>
    <s v="A0300"/>
    <s v="Hope Animal Shelter"/>
    <x v="7"/>
    <x v="1"/>
    <s v="Golden Retriever"/>
    <x v="9"/>
    <s v="Female"/>
    <n v="0.8"/>
    <n v="7.4"/>
    <x v="4"/>
    <s v="2022-02-07"/>
    <s v="Stray"/>
    <s v="2022-05-15"/>
    <s v="Adopted"/>
    <n v="97"/>
    <x v="5"/>
    <n v="5092"/>
    <n v="0"/>
    <x v="2"/>
    <s v="Social Media"/>
    <s v="Yes"/>
    <s v="Yes"/>
    <s v="Yes"/>
    <n v="2022"/>
    <s v="February"/>
    <s v="Q1"/>
  </r>
  <r>
    <s v="A0301"/>
    <s v="City Animal Shelter"/>
    <x v="5"/>
    <x v="0"/>
    <s v="Ragdoll"/>
    <x v="0"/>
    <s v="Male"/>
    <n v="6.2"/>
    <n v="25"/>
    <x v="0"/>
    <s v="2024-03-02"/>
    <s v="Owner Surrender"/>
    <s v="2024-05-01"/>
    <s v="Still in Shelter"/>
    <n v="60"/>
    <x v="0"/>
    <n v="0"/>
    <n v="0"/>
    <x v="0"/>
    <s v="Event"/>
    <s v="No"/>
    <s v="No"/>
    <s v="Yes"/>
    <n v="2024"/>
    <s v="March"/>
    <s v="Q1"/>
  </r>
  <r>
    <s v="A0302"/>
    <s v="Happy Paws Shelter"/>
    <x v="2"/>
    <x v="1"/>
    <s v="Poodle"/>
    <x v="1"/>
    <s v="Female"/>
    <n v="5.9"/>
    <n v="26.2"/>
    <x v="4"/>
    <s v="2024-12-20"/>
    <s v="Abandoned"/>
    <s v="2024-12-31"/>
    <s v="Euthanized"/>
    <n v="79"/>
    <x v="0"/>
    <n v="0"/>
    <n v="0"/>
    <x v="0"/>
    <s v="Website"/>
    <s v="Yes"/>
    <s v="Yes"/>
    <s v="No"/>
    <n v="2024"/>
    <s v="December"/>
    <s v="Q4"/>
  </r>
  <r>
    <s v="A0303"/>
    <s v="Furever Home"/>
    <x v="4"/>
    <x v="2"/>
    <s v="Parakeet"/>
    <x v="2"/>
    <s v="Male"/>
    <n v="7.9"/>
    <n v="3.5"/>
    <x v="1"/>
    <s v="2023-07-28"/>
    <s v="Owner Surrender"/>
    <s v="2023-09-24"/>
    <s v="Adopted"/>
    <n v="58"/>
    <x v="4"/>
    <n v="1899"/>
    <n v="500"/>
    <x v="4"/>
    <s v="Event"/>
    <s v="Yes"/>
    <s v="No"/>
    <s v="No"/>
    <n v="2023"/>
    <s v="July"/>
    <s v="Q3"/>
  </r>
  <r>
    <s v="A0304"/>
    <s v="Second Chance Rescue"/>
    <x v="1"/>
    <x v="1"/>
    <s v="Golden Retriever"/>
    <x v="3"/>
    <s v="Male"/>
    <n v="8.3000000000000007"/>
    <n v="31.5"/>
    <x v="0"/>
    <s v="2023-02-19"/>
    <s v="Stray"/>
    <s v="2023-03-27"/>
    <s v="Transferred"/>
    <n v="36"/>
    <x v="0"/>
    <n v="0"/>
    <n v="0"/>
    <x v="0"/>
    <s v="Event"/>
    <s v="Yes"/>
    <s v="Yes"/>
    <s v="No"/>
    <n v="2023"/>
    <s v="February"/>
    <s v="Q1"/>
  </r>
  <r>
    <s v="A0305"/>
    <s v="Hope Animal Shelter"/>
    <x v="7"/>
    <x v="1"/>
    <s v="Labrador"/>
    <x v="3"/>
    <s v="Male"/>
    <n v="3.7"/>
    <n v="26.2"/>
    <x v="0"/>
    <s v="2023-10-15"/>
    <s v="Owner Surrender"/>
    <s v="2024-01-29"/>
    <s v="Still in Shelter"/>
    <n v="106"/>
    <x v="0"/>
    <n v="0"/>
    <n v="0"/>
    <x v="0"/>
    <s v="Website"/>
    <s v="Yes"/>
    <s v="No"/>
    <s v="No"/>
    <n v="2023"/>
    <s v="October"/>
    <s v="Q4"/>
  </r>
  <r>
    <s v="A0306"/>
    <s v="Paws &amp; Claws Rescue"/>
    <x v="5"/>
    <x v="1"/>
    <s v="Poodle"/>
    <x v="1"/>
    <s v="Male"/>
    <n v="8.3000000000000007"/>
    <n v="16.899999999999999"/>
    <x v="2"/>
    <s v="2023-04-21"/>
    <s v="Transfer from Another Shelter"/>
    <s v="2023-06-20"/>
    <s v="Adopted"/>
    <n v="60"/>
    <x v="4"/>
    <n v="5943"/>
    <n v="0"/>
    <x v="2"/>
    <s v="Website"/>
    <s v="Yes"/>
    <s v="Yes"/>
    <s v="No"/>
    <n v="2023"/>
    <s v="April"/>
    <s v="Q2"/>
  </r>
  <r>
    <s v="A0307"/>
    <s v="Second Chance Rescue"/>
    <x v="4"/>
    <x v="1"/>
    <s v="Mixed Breed"/>
    <x v="4"/>
    <s v="Male"/>
    <n v="2.7"/>
    <n v="23.7"/>
    <x v="3"/>
    <s v="2022-01-31"/>
    <s v="Born in Shelter"/>
    <s v="2022-04-11"/>
    <s v="Still in Shelter"/>
    <n v="70"/>
    <x v="0"/>
    <n v="0"/>
    <n v="0"/>
    <x v="0"/>
    <s v="Referral"/>
    <s v="Yes"/>
    <s v="No"/>
    <s v="No"/>
    <n v="2022"/>
    <s v="January"/>
    <s v="Q1"/>
  </r>
  <r>
    <s v="A0308"/>
    <s v="Hope Animal Shelter"/>
    <x v="3"/>
    <x v="2"/>
    <s v="Lovebird"/>
    <x v="5"/>
    <s v="Male"/>
    <n v="8.6999999999999993"/>
    <n v="14.1"/>
    <x v="3"/>
    <s v="2022-03-27"/>
    <s v="Transfer from Another Shelter"/>
    <s v="2022-08-30"/>
    <s v="Still in Shelter"/>
    <n v="156"/>
    <x v="0"/>
    <n v="0"/>
    <n v="0"/>
    <x v="0"/>
    <s v="Walk-in"/>
    <s v="Yes"/>
    <s v="No"/>
    <s v="No"/>
    <n v="2022"/>
    <s v="March"/>
    <s v="Q1"/>
  </r>
  <r>
    <s v="A0309"/>
    <s v="City Animal Shelter"/>
    <x v="5"/>
    <x v="1"/>
    <s v="Mixed Breed"/>
    <x v="3"/>
    <s v="Female"/>
    <n v="5.3"/>
    <n v="31"/>
    <x v="0"/>
    <s v="2024-11-23"/>
    <s v="Born in Shelter"/>
    <s v="2024-12-31"/>
    <s v="Adopted"/>
    <n v="162"/>
    <x v="5"/>
    <n v="4555"/>
    <n v="0"/>
    <x v="3"/>
    <s v="Referral"/>
    <s v="No"/>
    <s v="Yes"/>
    <s v="Yes"/>
    <n v="2024"/>
    <s v="November"/>
    <s v="Q4"/>
  </r>
  <r>
    <s v="A0310"/>
    <s v="Paws &amp; Claws Rescue"/>
    <x v="4"/>
    <x v="1"/>
    <s v="Golden Retriever"/>
    <x v="7"/>
    <s v="Male"/>
    <n v="5.5"/>
    <n v="6.7"/>
    <x v="0"/>
    <s v="2024-03-16"/>
    <s v="Abandoned"/>
    <s v="2024-06-30"/>
    <s v="Euthanized"/>
    <n v="106"/>
    <x v="0"/>
    <n v="0"/>
    <n v="0"/>
    <x v="0"/>
    <s v="Website"/>
    <s v="Yes"/>
    <s v="Yes"/>
    <s v="Yes"/>
    <n v="2024"/>
    <s v="March"/>
    <s v="Q1"/>
  </r>
  <r>
    <s v="A0311"/>
    <s v="Paws &amp; Claws Rescue"/>
    <x v="6"/>
    <x v="1"/>
    <s v="Beagle"/>
    <x v="2"/>
    <s v="Female"/>
    <n v="8.6999999999999993"/>
    <n v="34.1"/>
    <x v="0"/>
    <s v="2022-06-24"/>
    <s v="Owner Surrender"/>
    <s v="2022-11-06"/>
    <s v="Still in Shelter"/>
    <n v="135"/>
    <x v="0"/>
    <n v="0"/>
    <n v="0"/>
    <x v="0"/>
    <s v="Social Media"/>
    <s v="Yes"/>
    <s v="Yes"/>
    <s v="No"/>
    <n v="2022"/>
    <s v="June"/>
    <s v="Q2"/>
  </r>
  <r>
    <s v="A0312"/>
    <s v="City Animal Shelter"/>
    <x v="6"/>
    <x v="1"/>
    <s v="Labrador"/>
    <x v="4"/>
    <s v="Male"/>
    <n v="8.8000000000000007"/>
    <n v="33.700000000000003"/>
    <x v="0"/>
    <s v="2024-05-09"/>
    <s v="Stray"/>
    <s v="2024-07-27"/>
    <s v="Transferred"/>
    <n v="79"/>
    <x v="0"/>
    <n v="0"/>
    <n v="0"/>
    <x v="0"/>
    <s v="Event"/>
    <s v="Yes"/>
    <s v="Yes"/>
    <s v="No"/>
    <n v="2024"/>
    <s v="May"/>
    <s v="Q2"/>
  </r>
  <r>
    <s v="A0313"/>
    <s v="Furever Home"/>
    <x v="1"/>
    <x v="1"/>
    <s v="Husky"/>
    <x v="7"/>
    <s v="Male"/>
    <n v="2.7"/>
    <n v="23.3"/>
    <x v="1"/>
    <s v="2022-01-12"/>
    <s v="Born in Shelter"/>
    <s v="2022-06-17"/>
    <s v="Fostered"/>
    <n v="156"/>
    <x v="0"/>
    <n v="0"/>
    <n v="0"/>
    <x v="0"/>
    <s v="Walk-in"/>
    <s v="Yes"/>
    <s v="No"/>
    <s v="No"/>
    <n v="2022"/>
    <s v="January"/>
    <s v="Q1"/>
  </r>
  <r>
    <s v="A0314"/>
    <s v="Happy Paws Shelter"/>
    <x v="7"/>
    <x v="1"/>
    <s v="Poodle"/>
    <x v="1"/>
    <s v="Male"/>
    <n v="4.3"/>
    <n v="5.5"/>
    <x v="0"/>
    <s v="2022-04-11"/>
    <s v="Stray"/>
    <s v="2022-05-29"/>
    <s v="Adopted"/>
    <n v="48"/>
    <x v="4"/>
    <n v="3451"/>
    <n v="2000"/>
    <x v="3"/>
    <s v="Website"/>
    <s v="Yes"/>
    <s v="No"/>
    <s v="No"/>
    <n v="2022"/>
    <s v="April"/>
    <s v="Q2"/>
  </r>
  <r>
    <s v="A0315"/>
    <s v="Happy Paws Shelter"/>
    <x v="1"/>
    <x v="1"/>
    <s v="Beagle"/>
    <x v="5"/>
    <s v="Male"/>
    <n v="3.9"/>
    <n v="31.5"/>
    <x v="0"/>
    <s v="2022-03-15"/>
    <s v="Transfer from Another Shelter"/>
    <s v="2022-04-08"/>
    <s v="Transferred"/>
    <n v="24"/>
    <x v="0"/>
    <n v="0"/>
    <n v="0"/>
    <x v="0"/>
    <s v="Website"/>
    <s v="Yes"/>
    <s v="No"/>
    <s v="No"/>
    <n v="2022"/>
    <s v="March"/>
    <s v="Q1"/>
  </r>
  <r>
    <s v="A0316"/>
    <s v="Hope Animal Shelter"/>
    <x v="0"/>
    <x v="3"/>
    <s v="Lionhead"/>
    <x v="7"/>
    <s v="Female"/>
    <n v="7.4"/>
    <n v="4.3"/>
    <x v="3"/>
    <s v="2024-04-27"/>
    <s v="Born in Shelter"/>
    <s v="2024-09-09"/>
    <s v="Returned to Owner"/>
    <n v="135"/>
    <x v="0"/>
    <n v="0"/>
    <n v="0"/>
    <x v="0"/>
    <s v="Social Media"/>
    <s v="Yes"/>
    <s v="No"/>
    <s v="No"/>
    <n v="2024"/>
    <s v="April"/>
    <s v="Q2"/>
  </r>
  <r>
    <s v="A0317"/>
    <s v="Second Chance Rescue"/>
    <x v="7"/>
    <x v="1"/>
    <s v="Husky"/>
    <x v="6"/>
    <s v="Male"/>
    <n v="9.6999999999999993"/>
    <n v="31"/>
    <x v="0"/>
    <s v="2024-11-30"/>
    <s v="Stray"/>
    <s v="2024-12-31"/>
    <s v="Fostered"/>
    <n v="162"/>
    <x v="0"/>
    <n v="0"/>
    <n v="1000"/>
    <x v="0"/>
    <s v="Referral"/>
    <s v="Yes"/>
    <s v="No"/>
    <s v="No"/>
    <n v="2024"/>
    <s v="November"/>
    <s v="Q4"/>
  </r>
  <r>
    <s v="A0318"/>
    <s v="Second Chance Rescue"/>
    <x v="3"/>
    <x v="1"/>
    <s v="Mixed Breed"/>
    <x v="6"/>
    <s v="Female"/>
    <n v="4.3"/>
    <n v="28.3"/>
    <x v="0"/>
    <s v="2024-04-27"/>
    <s v="Stray"/>
    <s v="2024-05-09"/>
    <s v="Euthanized"/>
    <n v="12"/>
    <x v="0"/>
    <n v="0"/>
    <n v="0"/>
    <x v="0"/>
    <s v="Social Media"/>
    <s v="Yes"/>
    <s v="No"/>
    <s v="No"/>
    <n v="2024"/>
    <s v="April"/>
    <s v="Q2"/>
  </r>
  <r>
    <s v="A0319"/>
    <s v="Happy Paws Shelter"/>
    <x v="6"/>
    <x v="1"/>
    <s v="German Shepherd"/>
    <x v="6"/>
    <s v="Female"/>
    <n v="8.6999999999999993"/>
    <n v="21.8"/>
    <x v="2"/>
    <s v="2023-11-14"/>
    <s v="Abandoned"/>
    <s v="2024-02-10"/>
    <s v="Still in Shelter"/>
    <n v="88"/>
    <x v="0"/>
    <n v="0"/>
    <n v="0"/>
    <x v="0"/>
    <s v="Referral"/>
    <s v="No"/>
    <s v="Yes"/>
    <s v="No"/>
    <n v="2023"/>
    <s v="November"/>
    <s v="Q4"/>
  </r>
  <r>
    <s v="A0320"/>
    <s v="Hope Animal Shelter"/>
    <x v="3"/>
    <x v="1"/>
    <s v="Golden Retriever"/>
    <x v="5"/>
    <s v="Female"/>
    <n v="5.6"/>
    <n v="28.6"/>
    <x v="1"/>
    <s v="2024-08-01"/>
    <s v="Confiscated"/>
    <s v="2024-12-17"/>
    <s v="Euthanized"/>
    <n v="138"/>
    <x v="0"/>
    <n v="0"/>
    <n v="0"/>
    <x v="0"/>
    <s v="Social Media"/>
    <s v="Yes"/>
    <s v="Yes"/>
    <s v="No"/>
    <n v="2024"/>
    <s v="August"/>
    <s v="Q3"/>
  </r>
  <r>
    <s v="A0321"/>
    <s v="Paws &amp; Claws Rescue"/>
    <x v="1"/>
    <x v="3"/>
    <s v="Holland Lop"/>
    <x v="3"/>
    <s v="Male"/>
    <n v="7.6"/>
    <n v="29.6"/>
    <x v="2"/>
    <s v="2022-11-02"/>
    <s v="Abandoned"/>
    <s v="2023-01-13"/>
    <s v="Adopted"/>
    <n v="72"/>
    <x v="1"/>
    <n v="1889"/>
    <n v="500"/>
    <x v="1"/>
    <s v="Social Media"/>
    <s v="No"/>
    <s v="Yes"/>
    <s v="No"/>
    <n v="2022"/>
    <s v="November"/>
    <s v="Q4"/>
  </r>
  <r>
    <s v="A0322"/>
    <s v="Happy Paws Shelter"/>
    <x v="4"/>
    <x v="1"/>
    <s v="Beagle"/>
    <x v="4"/>
    <s v="Female"/>
    <n v="2.2000000000000002"/>
    <n v="13.4"/>
    <x v="1"/>
    <s v="2024-07-14"/>
    <s v="Stray"/>
    <s v="2024-09-30"/>
    <s v="Returned to Owner"/>
    <n v="78"/>
    <x v="0"/>
    <n v="0"/>
    <n v="500"/>
    <x v="0"/>
    <s v="Referral"/>
    <s v="Yes"/>
    <s v="Yes"/>
    <s v="No"/>
    <n v="2024"/>
    <s v="July"/>
    <s v="Q3"/>
  </r>
  <r>
    <s v="A0323"/>
    <s v="Happy Paws Shelter"/>
    <x v="5"/>
    <x v="1"/>
    <s v="Bulldog"/>
    <x v="2"/>
    <s v="Male"/>
    <n v="11.9"/>
    <n v="7.6"/>
    <x v="0"/>
    <s v="2023-11-02"/>
    <s v="Abandoned"/>
    <s v="2023-12-09"/>
    <s v="Adopted"/>
    <n v="37"/>
    <x v="5"/>
    <n v="7228"/>
    <n v="2000"/>
    <x v="1"/>
    <s v="Social Media"/>
    <s v="No"/>
    <s v="Yes"/>
    <s v="Yes"/>
    <n v="2023"/>
    <s v="November"/>
    <s v="Q4"/>
  </r>
  <r>
    <s v="A0324"/>
    <s v="Second Chance Rescue"/>
    <x v="4"/>
    <x v="0"/>
    <s v="Ragdoll"/>
    <x v="8"/>
    <s v="Female"/>
    <n v="7.7"/>
    <n v="7.7"/>
    <x v="1"/>
    <s v="2023-10-02"/>
    <s v="Abandoned"/>
    <s v="2023-10-08"/>
    <s v="Transferred"/>
    <n v="6"/>
    <x v="0"/>
    <n v="0"/>
    <n v="0"/>
    <x v="0"/>
    <s v="Referral"/>
    <s v="Yes"/>
    <s v="No"/>
    <s v="No"/>
    <n v="2023"/>
    <s v="October"/>
    <s v="Q4"/>
  </r>
  <r>
    <s v="A0325"/>
    <s v="Second Chance Rescue"/>
    <x v="7"/>
    <x v="1"/>
    <s v="Bulldog"/>
    <x v="0"/>
    <s v="Male"/>
    <n v="4.3"/>
    <n v="11.5"/>
    <x v="0"/>
    <s v="2022-08-23"/>
    <s v="Stray"/>
    <s v="2022-08-27"/>
    <s v="Adopted"/>
    <n v="4"/>
    <x v="1"/>
    <n v="4692"/>
    <n v="1000"/>
    <x v="4"/>
    <s v="Event"/>
    <s v="No"/>
    <s v="Yes"/>
    <s v="No"/>
    <n v="2022"/>
    <s v="August"/>
    <s v="Q3"/>
  </r>
  <r>
    <s v="A0326"/>
    <s v="Second Chance Rescue"/>
    <x v="5"/>
    <x v="1"/>
    <s v="Husky"/>
    <x v="0"/>
    <s v="Female"/>
    <n v="0.7"/>
    <n v="15.2"/>
    <x v="0"/>
    <s v="2022-04-14"/>
    <s v="Abandoned"/>
    <s v="2022-05-12"/>
    <s v="Still in Shelter"/>
    <n v="28"/>
    <x v="0"/>
    <n v="0"/>
    <n v="0"/>
    <x v="0"/>
    <s v="Website"/>
    <s v="Yes"/>
    <s v="No"/>
    <s v="No"/>
    <n v="2022"/>
    <s v="April"/>
    <s v="Q2"/>
  </r>
  <r>
    <s v="A0327"/>
    <s v="Furever Home"/>
    <x v="5"/>
    <x v="0"/>
    <s v="Ragdoll"/>
    <x v="6"/>
    <s v="Male"/>
    <n v="8.1999999999999993"/>
    <n v="25"/>
    <x v="0"/>
    <s v="2024-08-17"/>
    <s v="Born in Shelter"/>
    <s v="2024-09-11"/>
    <s v="Fostered"/>
    <n v="25"/>
    <x v="0"/>
    <n v="0"/>
    <n v="500"/>
    <x v="0"/>
    <s v="Social Media"/>
    <s v="Yes"/>
    <s v="No"/>
    <s v="No"/>
    <n v="2024"/>
    <s v="August"/>
    <s v="Q3"/>
  </r>
  <r>
    <s v="A0328"/>
    <s v="Second Chance Rescue"/>
    <x v="7"/>
    <x v="3"/>
    <s v="Flemish Giant"/>
    <x v="1"/>
    <s v="Male"/>
    <n v="1.4"/>
    <n v="17"/>
    <x v="1"/>
    <s v="2024-07-17"/>
    <s v="Stray"/>
    <s v="2024-11-19"/>
    <s v="Adopted"/>
    <n v="125"/>
    <x v="4"/>
    <n v="767"/>
    <n v="500"/>
    <x v="1"/>
    <s v="Social Media"/>
    <s v="Yes"/>
    <s v="No"/>
    <s v="No"/>
    <n v="2024"/>
    <s v="July"/>
    <s v="Q3"/>
  </r>
  <r>
    <s v="A0329"/>
    <s v="City Animal Shelter"/>
    <x v="4"/>
    <x v="2"/>
    <s v="Finch"/>
    <x v="0"/>
    <s v="Female"/>
    <n v="11.7"/>
    <n v="13.7"/>
    <x v="2"/>
    <s v="2024-04-26"/>
    <s v="Transfer from Another Shelter"/>
    <s v="2024-06-27"/>
    <s v="Returned to Owner"/>
    <n v="62"/>
    <x v="0"/>
    <n v="0"/>
    <n v="0"/>
    <x v="0"/>
    <s v="Event"/>
    <s v="Yes"/>
    <s v="No"/>
    <s v="No"/>
    <n v="2024"/>
    <s v="April"/>
    <s v="Q2"/>
  </r>
  <r>
    <s v="A0330"/>
    <s v="Second Chance Rescue"/>
    <x v="7"/>
    <x v="1"/>
    <s v="German Shepherd"/>
    <x v="2"/>
    <s v="Male"/>
    <n v="6.7"/>
    <n v="28.9"/>
    <x v="1"/>
    <s v="2024-09-23"/>
    <s v="Stray"/>
    <s v="2024-10-23"/>
    <s v="Fostered"/>
    <n v="30"/>
    <x v="0"/>
    <n v="0"/>
    <n v="500"/>
    <x v="0"/>
    <s v="Event"/>
    <s v="No"/>
    <s v="No"/>
    <s v="No"/>
    <n v="2024"/>
    <s v="September"/>
    <s v="Q3"/>
  </r>
  <r>
    <s v="A0331"/>
    <s v="Furever Home"/>
    <x v="5"/>
    <x v="1"/>
    <s v="German Shepherd"/>
    <x v="6"/>
    <s v="Male"/>
    <n v="1.9"/>
    <n v="18.8"/>
    <x v="4"/>
    <s v="2023-03-22"/>
    <s v="Abandoned"/>
    <s v="2023-04-27"/>
    <s v="Adopted"/>
    <n v="36"/>
    <x v="1"/>
    <n v="4201"/>
    <n v="2000"/>
    <x v="4"/>
    <s v="Referral"/>
    <s v="Yes"/>
    <s v="Yes"/>
    <s v="Yes"/>
    <n v="2023"/>
    <s v="March"/>
    <s v="Q1"/>
  </r>
  <r>
    <s v="A0332"/>
    <s v="Paws &amp; Claws Rescue"/>
    <x v="2"/>
    <x v="1"/>
    <s v="Mixed Breed"/>
    <x v="4"/>
    <s v="Female"/>
    <n v="11.6"/>
    <n v="0.5"/>
    <x v="2"/>
    <s v="2022-09-19"/>
    <s v="Stray"/>
    <s v="2022-12-04"/>
    <s v="Adopted"/>
    <n v="76"/>
    <x v="2"/>
    <n v="6024"/>
    <n v="1000"/>
    <x v="2"/>
    <s v="Event"/>
    <s v="No"/>
    <s v="No"/>
    <s v="No"/>
    <n v="2022"/>
    <s v="September"/>
    <s v="Q3"/>
  </r>
  <r>
    <s v="A0333"/>
    <s v="Furever Home"/>
    <x v="2"/>
    <x v="2"/>
    <s v="Lovebird"/>
    <x v="2"/>
    <s v="Male"/>
    <n v="5.8"/>
    <n v="7"/>
    <x v="0"/>
    <s v="2024-02-21"/>
    <s v="Confiscated"/>
    <s v="2024-06-12"/>
    <s v="Returned to Owner"/>
    <n v="112"/>
    <x v="0"/>
    <n v="0"/>
    <n v="0"/>
    <x v="0"/>
    <s v="Website"/>
    <s v="Yes"/>
    <s v="Yes"/>
    <s v="Yes"/>
    <n v="2024"/>
    <s v="February"/>
    <s v="Q1"/>
  </r>
  <r>
    <s v="A0334"/>
    <s v="Second Chance Rescue"/>
    <x v="1"/>
    <x v="1"/>
    <s v="Golden Retriever"/>
    <x v="7"/>
    <s v="Female"/>
    <n v="11.7"/>
    <n v="5.2"/>
    <x v="1"/>
    <s v="2024-09-23"/>
    <s v="Owner Surrender"/>
    <s v="2024-12-31"/>
    <s v="Still in Shelter"/>
    <n v="169"/>
    <x v="0"/>
    <n v="0"/>
    <n v="0"/>
    <x v="0"/>
    <s v="Referral"/>
    <s v="No"/>
    <s v="No"/>
    <s v="No"/>
    <n v="2024"/>
    <s v="September"/>
    <s v="Q3"/>
  </r>
  <r>
    <s v="A0335"/>
    <s v="Hope Animal Shelter"/>
    <x v="4"/>
    <x v="2"/>
    <s v="Canary"/>
    <x v="5"/>
    <s v="Female"/>
    <n v="7.3"/>
    <n v="20.399999999999999"/>
    <x v="3"/>
    <s v="2023-04-08"/>
    <s v="Born in Shelter"/>
    <s v="2023-05-26"/>
    <s v="Still in Shelter"/>
    <n v="48"/>
    <x v="0"/>
    <n v="0"/>
    <n v="0"/>
    <x v="0"/>
    <s v="Event"/>
    <s v="Yes"/>
    <s v="Yes"/>
    <s v="Yes"/>
    <n v="2023"/>
    <s v="April"/>
    <s v="Q2"/>
  </r>
  <r>
    <s v="A0336"/>
    <s v="City Animal Shelter"/>
    <x v="5"/>
    <x v="1"/>
    <s v="Husky"/>
    <x v="5"/>
    <s v="Male"/>
    <n v="1.8"/>
    <n v="25.7"/>
    <x v="1"/>
    <s v="2024-01-25"/>
    <s v="Born in Shelter"/>
    <s v="2024-02-23"/>
    <s v="Fostered"/>
    <n v="29"/>
    <x v="0"/>
    <n v="0"/>
    <n v="0"/>
    <x v="0"/>
    <s v="Walk-in"/>
    <s v="Yes"/>
    <s v="No"/>
    <s v="Yes"/>
    <n v="2024"/>
    <s v="January"/>
    <s v="Q1"/>
  </r>
  <r>
    <s v="A0337"/>
    <s v="Paws &amp; Claws Rescue"/>
    <x v="5"/>
    <x v="0"/>
    <s v="Ragdoll"/>
    <x v="0"/>
    <s v="Female"/>
    <n v="9.4"/>
    <n v="16.7"/>
    <x v="3"/>
    <s v="2023-10-02"/>
    <s v="Abandoned"/>
    <s v="2024-03-07"/>
    <s v="Adopted"/>
    <n v="157"/>
    <x v="1"/>
    <n v="2907"/>
    <n v="1000"/>
    <x v="4"/>
    <s v="Website"/>
    <s v="Yes"/>
    <s v="No"/>
    <s v="No"/>
    <n v="2023"/>
    <s v="October"/>
    <s v="Q4"/>
  </r>
  <r>
    <s v="A0338"/>
    <s v="City Animal Shelter"/>
    <x v="3"/>
    <x v="1"/>
    <s v="Bulldog"/>
    <x v="8"/>
    <s v="Female"/>
    <n v="6.9"/>
    <n v="23.1"/>
    <x v="0"/>
    <s v="2022-05-06"/>
    <s v="Owner Surrender"/>
    <s v="2022-10-15"/>
    <s v="Fostered"/>
    <n v="162"/>
    <x v="0"/>
    <n v="0"/>
    <n v="0"/>
    <x v="0"/>
    <s v="Event"/>
    <s v="Yes"/>
    <s v="No"/>
    <s v="No"/>
    <n v="2022"/>
    <s v="May"/>
    <s v="Q2"/>
  </r>
  <r>
    <s v="A0339"/>
    <s v="Second Chance Rescue"/>
    <x v="5"/>
    <x v="1"/>
    <s v="Bulldog"/>
    <x v="1"/>
    <s v="Male"/>
    <n v="2.2000000000000002"/>
    <n v="20.9"/>
    <x v="0"/>
    <s v="2023-07-18"/>
    <s v="Confiscated"/>
    <s v="2023-09-22"/>
    <s v="Adopted"/>
    <n v="66"/>
    <x v="2"/>
    <n v="3913"/>
    <n v="1000"/>
    <x v="2"/>
    <s v="Website"/>
    <s v="Yes"/>
    <s v="No"/>
    <s v="Yes"/>
    <n v="2023"/>
    <s v="July"/>
    <s v="Q3"/>
  </r>
  <r>
    <s v="A0340"/>
    <s v="Hope Animal Shelter"/>
    <x v="6"/>
    <x v="1"/>
    <s v="Golden Retriever"/>
    <x v="6"/>
    <s v="Female"/>
    <n v="2.9"/>
    <n v="15.7"/>
    <x v="0"/>
    <s v="2024-10-12"/>
    <s v="Confiscated"/>
    <s v="2024-12-31"/>
    <s v="Still in Shelter"/>
    <n v="106"/>
    <x v="0"/>
    <n v="0"/>
    <n v="0"/>
    <x v="0"/>
    <s v="Social Media"/>
    <s v="Yes"/>
    <s v="Yes"/>
    <s v="No"/>
    <n v="2024"/>
    <s v="October"/>
    <s v="Q4"/>
  </r>
  <r>
    <s v="A0341"/>
    <s v="Furever Home"/>
    <x v="7"/>
    <x v="1"/>
    <s v="Mixed Breed"/>
    <x v="3"/>
    <s v="Female"/>
    <n v="4.5999999999999996"/>
    <n v="24.8"/>
    <x v="0"/>
    <s v="2024-09-02"/>
    <s v="Abandoned"/>
    <s v="2024-11-19"/>
    <s v="Fostered"/>
    <n v="78"/>
    <x v="0"/>
    <n v="0"/>
    <n v="0"/>
    <x v="0"/>
    <s v="Referral"/>
    <s v="No"/>
    <s v="No"/>
    <s v="No"/>
    <n v="2024"/>
    <s v="September"/>
    <s v="Q3"/>
  </r>
  <r>
    <s v="A0342"/>
    <s v="Hope Animal Shelter"/>
    <x v="7"/>
    <x v="0"/>
    <s v="Mixed Breed"/>
    <x v="1"/>
    <s v="Female"/>
    <n v="11.5"/>
    <n v="15.4"/>
    <x v="0"/>
    <s v="2022-03-26"/>
    <s v="Stray"/>
    <s v="2022-04-20"/>
    <s v="Euthanized"/>
    <n v="25"/>
    <x v="0"/>
    <n v="0"/>
    <n v="0"/>
    <x v="0"/>
    <s v="Social Media"/>
    <s v="No"/>
    <s v="No"/>
    <s v="No"/>
    <n v="2022"/>
    <s v="March"/>
    <s v="Q1"/>
  </r>
  <r>
    <s v="A0343"/>
    <s v="Happy Paws Shelter"/>
    <x v="3"/>
    <x v="1"/>
    <s v="Poodle"/>
    <x v="2"/>
    <s v="Male"/>
    <n v="0.2"/>
    <n v="0.8"/>
    <x v="1"/>
    <s v="2024-11-30"/>
    <s v="Stray"/>
    <s v="2024-12-31"/>
    <s v="Adopted"/>
    <n v="87"/>
    <x v="4"/>
    <n v="5566"/>
    <n v="1000"/>
    <x v="4"/>
    <s v="Website"/>
    <s v="Yes"/>
    <s v="No"/>
    <s v="No"/>
    <n v="2024"/>
    <s v="November"/>
    <s v="Q4"/>
  </r>
  <r>
    <s v="A0344"/>
    <s v="Paws &amp; Claws Rescue"/>
    <x v="6"/>
    <x v="1"/>
    <s v="Labrador"/>
    <x v="2"/>
    <s v="Male"/>
    <n v="8.5"/>
    <n v="4.5999999999999996"/>
    <x v="0"/>
    <s v="2022-07-08"/>
    <s v="Confiscated"/>
    <s v="2022-07-23"/>
    <s v="Returned to Owner"/>
    <n v="15"/>
    <x v="0"/>
    <n v="0"/>
    <n v="0"/>
    <x v="0"/>
    <s v="Website"/>
    <s v="Yes"/>
    <s v="No"/>
    <s v="No"/>
    <n v="2022"/>
    <s v="July"/>
    <s v="Q3"/>
  </r>
  <r>
    <s v="A0345"/>
    <s v="City Animal Shelter"/>
    <x v="7"/>
    <x v="0"/>
    <s v="Mixed Breed"/>
    <x v="3"/>
    <s v="Male"/>
    <n v="8.3000000000000007"/>
    <n v="23.5"/>
    <x v="0"/>
    <s v="2024-07-17"/>
    <s v="Stray"/>
    <s v="2024-09-26"/>
    <s v="Still in Shelter"/>
    <n v="71"/>
    <x v="0"/>
    <n v="0"/>
    <n v="0"/>
    <x v="0"/>
    <s v="Referral"/>
    <s v="No"/>
    <s v="No"/>
    <s v="Yes"/>
    <n v="2024"/>
    <s v="July"/>
    <s v="Q3"/>
  </r>
  <r>
    <s v="A0346"/>
    <s v="Paws &amp; Claws Rescue"/>
    <x v="1"/>
    <x v="0"/>
    <s v="Ragdoll"/>
    <x v="3"/>
    <s v="Female"/>
    <n v="6"/>
    <n v="32.5"/>
    <x v="0"/>
    <s v="2023-06-27"/>
    <s v="Owner Surrender"/>
    <s v="2023-08-12"/>
    <s v="Fostered"/>
    <n v="46"/>
    <x v="0"/>
    <n v="0"/>
    <n v="0"/>
    <x v="0"/>
    <s v="Event"/>
    <s v="No"/>
    <s v="Yes"/>
    <s v="Yes"/>
    <n v="2023"/>
    <s v="June"/>
    <s v="Q2"/>
  </r>
  <r>
    <s v="A0347"/>
    <s v="Happy Paws Shelter"/>
    <x v="5"/>
    <x v="1"/>
    <s v="Bulldog"/>
    <x v="3"/>
    <s v="Male"/>
    <n v="8.8000000000000007"/>
    <n v="27.3"/>
    <x v="0"/>
    <s v="2022-07-31"/>
    <s v="Confiscated"/>
    <s v="2022-08-09"/>
    <s v="Adopted"/>
    <n v="9"/>
    <x v="4"/>
    <n v="3576"/>
    <n v="1000"/>
    <x v="4"/>
    <s v="Website"/>
    <s v="Yes"/>
    <s v="No"/>
    <s v="Yes"/>
    <n v="2022"/>
    <s v="July"/>
    <s v="Q3"/>
  </r>
  <r>
    <s v="A0348"/>
    <s v="Happy Paws Shelter"/>
    <x v="4"/>
    <x v="0"/>
    <s v="Mixed Breed"/>
    <x v="9"/>
    <s v="Female"/>
    <n v="4.9000000000000004"/>
    <n v="25.6"/>
    <x v="4"/>
    <s v="2024-10-01"/>
    <s v="Transfer from Another Shelter"/>
    <s v="2024-12-31"/>
    <s v="Still in Shelter"/>
    <n v="123"/>
    <x v="0"/>
    <n v="0"/>
    <n v="0"/>
    <x v="0"/>
    <s v="Walk-in"/>
    <s v="Yes"/>
    <s v="No"/>
    <s v="No"/>
    <n v="2024"/>
    <s v="October"/>
    <s v="Q4"/>
  </r>
  <r>
    <s v="A0349"/>
    <s v="City Animal Shelter"/>
    <x v="4"/>
    <x v="2"/>
    <s v="Parakeet"/>
    <x v="3"/>
    <s v="Male"/>
    <n v="1.1000000000000001"/>
    <n v="16.399999999999999"/>
    <x v="3"/>
    <s v="2022-07-05"/>
    <s v="Confiscated"/>
    <s v="2022-10-07"/>
    <s v="Euthanized"/>
    <n v="94"/>
    <x v="0"/>
    <n v="0"/>
    <n v="0"/>
    <x v="0"/>
    <s v="Website"/>
    <s v="Yes"/>
    <s v="No"/>
    <s v="No"/>
    <n v="2022"/>
    <s v="July"/>
    <s v="Q3"/>
  </r>
  <r>
    <s v="A0350"/>
    <s v="Second Chance Rescue"/>
    <x v="3"/>
    <x v="0"/>
    <s v="Mixed Breed"/>
    <x v="0"/>
    <s v="Male"/>
    <n v="8.9"/>
    <n v="5.3"/>
    <x v="3"/>
    <s v="2024-01-06"/>
    <s v="Transfer from Another Shelter"/>
    <s v="2024-05-10"/>
    <s v="Adopted"/>
    <n v="125"/>
    <x v="5"/>
    <n v="4091"/>
    <n v="500"/>
    <x v="4"/>
    <s v="Referral"/>
    <s v="No"/>
    <s v="Yes"/>
    <s v="Yes"/>
    <n v="2024"/>
    <s v="January"/>
    <s v="Q1"/>
  </r>
  <r>
    <s v="A0351"/>
    <s v="Hope Animal Shelter"/>
    <x v="5"/>
    <x v="3"/>
    <s v="Holland Lop"/>
    <x v="5"/>
    <s v="Male"/>
    <n v="1.5"/>
    <n v="28.3"/>
    <x v="4"/>
    <s v="2023-11-23"/>
    <s v="Born in Shelter"/>
    <s v="2023-12-04"/>
    <s v="Still in Shelter"/>
    <n v="11"/>
    <x v="0"/>
    <n v="0"/>
    <n v="0"/>
    <x v="0"/>
    <s v="Website"/>
    <s v="Yes"/>
    <s v="Yes"/>
    <s v="No"/>
    <n v="2023"/>
    <s v="November"/>
    <s v="Q4"/>
  </r>
  <r>
    <s v="A0352"/>
    <s v="Hope Animal Shelter"/>
    <x v="3"/>
    <x v="1"/>
    <s v="Labrador"/>
    <x v="8"/>
    <s v="Male"/>
    <n v="7.8"/>
    <n v="1"/>
    <x v="3"/>
    <s v="2024-08-23"/>
    <s v="Born in Shelter"/>
    <s v="2024-12-31"/>
    <s v="Adopted"/>
    <n v="159"/>
    <x v="2"/>
    <n v="4988"/>
    <n v="2000"/>
    <x v="1"/>
    <s v="Walk-in"/>
    <s v="Yes"/>
    <s v="No"/>
    <s v="No"/>
    <n v="2024"/>
    <s v="August"/>
    <s v="Q3"/>
  </r>
  <r>
    <s v="A0353"/>
    <s v="Hope Animal Shelter"/>
    <x v="1"/>
    <x v="0"/>
    <s v="Ragdoll"/>
    <x v="1"/>
    <s v="Male"/>
    <n v="9.8000000000000007"/>
    <n v="34.4"/>
    <x v="4"/>
    <s v="2023-02-20"/>
    <s v="Born in Shelter"/>
    <s v="2023-06-10"/>
    <s v="Euthanized"/>
    <n v="110"/>
    <x v="0"/>
    <n v="0"/>
    <n v="0"/>
    <x v="0"/>
    <s v="Event"/>
    <s v="Yes"/>
    <s v="No"/>
    <s v="No"/>
    <n v="2023"/>
    <s v="February"/>
    <s v="Q1"/>
  </r>
  <r>
    <s v="A0354"/>
    <s v="City Animal Shelter"/>
    <x v="6"/>
    <x v="1"/>
    <s v="Golden Retriever"/>
    <x v="7"/>
    <s v="Male"/>
    <n v="9.1"/>
    <n v="6.3"/>
    <x v="1"/>
    <s v="2023-11-19"/>
    <s v="Stray"/>
    <s v="2023-12-06"/>
    <s v="Adopted"/>
    <n v="17"/>
    <x v="2"/>
    <n v="5243"/>
    <n v="0"/>
    <x v="1"/>
    <s v="Event"/>
    <s v="No"/>
    <s v="Yes"/>
    <s v="Yes"/>
    <n v="2023"/>
    <s v="November"/>
    <s v="Q4"/>
  </r>
  <r>
    <s v="A0355"/>
    <s v="Furever Home"/>
    <x v="5"/>
    <x v="1"/>
    <s v="German Shepherd"/>
    <x v="3"/>
    <s v="Male"/>
    <n v="7.9"/>
    <n v="31.1"/>
    <x v="0"/>
    <s v="2022-01-14"/>
    <s v="Confiscated"/>
    <s v="2022-01-16"/>
    <s v="Adopted"/>
    <n v="2"/>
    <x v="1"/>
    <n v="3730"/>
    <n v="2000"/>
    <x v="2"/>
    <s v="Referral"/>
    <s v="Yes"/>
    <s v="Yes"/>
    <s v="Yes"/>
    <n v="2022"/>
    <s v="January"/>
    <s v="Q1"/>
  </r>
  <r>
    <s v="A0356"/>
    <s v="Second Chance Rescue"/>
    <x v="0"/>
    <x v="1"/>
    <s v="Golden Retriever"/>
    <x v="5"/>
    <s v="Male"/>
    <n v="5.0999999999999996"/>
    <n v="19.7"/>
    <x v="1"/>
    <s v="2024-10-20"/>
    <s v="Abandoned"/>
    <s v="2024-12-31"/>
    <s v="Adopted"/>
    <n v="157"/>
    <x v="3"/>
    <n v="5467"/>
    <n v="0"/>
    <x v="3"/>
    <s v="Referral"/>
    <s v="Yes"/>
    <s v="No"/>
    <s v="Yes"/>
    <n v="2024"/>
    <s v="October"/>
    <s v="Q4"/>
  </r>
  <r>
    <s v="A0357"/>
    <s v="Happy Paws Shelter"/>
    <x v="3"/>
    <x v="1"/>
    <s v="German Shepherd"/>
    <x v="1"/>
    <s v="Female"/>
    <n v="2.2000000000000002"/>
    <n v="23.6"/>
    <x v="0"/>
    <s v="2022-11-02"/>
    <s v="Transfer from Another Shelter"/>
    <s v="2023-04-27"/>
    <s v="Fostered"/>
    <n v="176"/>
    <x v="0"/>
    <n v="0"/>
    <n v="1000"/>
    <x v="0"/>
    <s v="Social Media"/>
    <s v="Yes"/>
    <s v="No"/>
    <s v="No"/>
    <n v="2022"/>
    <s v="November"/>
    <s v="Q4"/>
  </r>
  <r>
    <s v="A0358"/>
    <s v="Happy Paws Shelter"/>
    <x v="4"/>
    <x v="1"/>
    <s v="German Shepherd"/>
    <x v="7"/>
    <s v="Female"/>
    <n v="0.4"/>
    <n v="18.3"/>
    <x v="3"/>
    <s v="2022-04-18"/>
    <s v="Owner Surrender"/>
    <s v="2022-09-03"/>
    <s v="Adopted"/>
    <n v="138"/>
    <x v="1"/>
    <n v="4294"/>
    <n v="5000"/>
    <x v="3"/>
    <s v="Walk-in"/>
    <s v="Yes"/>
    <s v="Yes"/>
    <s v="Yes"/>
    <n v="2022"/>
    <s v="April"/>
    <s v="Q2"/>
  </r>
  <r>
    <s v="A0359"/>
    <s v="Furever Home"/>
    <x v="6"/>
    <x v="1"/>
    <s v="Mixed Breed"/>
    <x v="6"/>
    <s v="Female"/>
    <n v="5.7"/>
    <n v="17.2"/>
    <x v="0"/>
    <s v="2023-02-14"/>
    <s v="Transfer from Another Shelter"/>
    <s v="2023-05-22"/>
    <s v="Returned to Owner"/>
    <n v="97"/>
    <x v="0"/>
    <n v="0"/>
    <n v="0"/>
    <x v="0"/>
    <s v="Social Media"/>
    <s v="Yes"/>
    <s v="No"/>
    <s v="No"/>
    <n v="2023"/>
    <s v="February"/>
    <s v="Q1"/>
  </r>
  <r>
    <s v="A0360"/>
    <s v="Happy Paws Shelter"/>
    <x v="5"/>
    <x v="3"/>
    <s v="Flemish Giant"/>
    <x v="7"/>
    <s v="Female"/>
    <n v="6.9"/>
    <n v="10.199999999999999"/>
    <x v="0"/>
    <s v="2023-02-19"/>
    <s v="Abandoned"/>
    <s v="2023-05-16"/>
    <s v="Adopted"/>
    <n v="86"/>
    <x v="2"/>
    <n v="631"/>
    <n v="2000"/>
    <x v="4"/>
    <s v="Event"/>
    <s v="Yes"/>
    <s v="No"/>
    <s v="No"/>
    <n v="2023"/>
    <s v="February"/>
    <s v="Q1"/>
  </r>
  <r>
    <s v="A0361"/>
    <s v="City Animal Shelter"/>
    <x v="3"/>
    <x v="1"/>
    <s v="Poodle"/>
    <x v="2"/>
    <s v="Male"/>
    <n v="7.1"/>
    <n v="29.4"/>
    <x v="0"/>
    <s v="2022-06-27"/>
    <s v="Abandoned"/>
    <s v="2022-10-11"/>
    <s v="Fostered"/>
    <n v="106"/>
    <x v="0"/>
    <n v="0"/>
    <n v="0"/>
    <x v="0"/>
    <s v="Referral"/>
    <s v="Yes"/>
    <s v="No"/>
    <s v="No"/>
    <n v="2022"/>
    <s v="June"/>
    <s v="Q2"/>
  </r>
  <r>
    <s v="A0362"/>
    <s v="Paws &amp; Claws Rescue"/>
    <x v="1"/>
    <x v="1"/>
    <s v="Labrador"/>
    <x v="7"/>
    <s v="Male"/>
    <n v="9.1999999999999993"/>
    <n v="1.7"/>
    <x v="3"/>
    <s v="2024-05-05"/>
    <s v="Transfer from Another Shelter"/>
    <s v="2024-05-17"/>
    <s v="Adopted"/>
    <n v="12"/>
    <x v="2"/>
    <n v="6855"/>
    <n v="2000"/>
    <x v="1"/>
    <s v="Event"/>
    <s v="Yes"/>
    <s v="No"/>
    <s v="No"/>
    <n v="2024"/>
    <s v="May"/>
    <s v="Q2"/>
  </r>
  <r>
    <s v="A0363"/>
    <s v="Second Chance Rescue"/>
    <x v="5"/>
    <x v="1"/>
    <s v="Golden Retriever"/>
    <x v="0"/>
    <s v="Male"/>
    <n v="0.3"/>
    <n v="23.6"/>
    <x v="3"/>
    <s v="2024-01-05"/>
    <s v="Transfer from Another Shelter"/>
    <s v="2024-03-21"/>
    <s v="Returned to Owner"/>
    <n v="76"/>
    <x v="0"/>
    <n v="0"/>
    <n v="0"/>
    <x v="0"/>
    <s v="Website"/>
    <s v="No"/>
    <s v="Yes"/>
    <s v="No"/>
    <n v="2024"/>
    <s v="January"/>
    <s v="Q1"/>
  </r>
  <r>
    <s v="A0364"/>
    <s v="City Animal Shelter"/>
    <x v="4"/>
    <x v="1"/>
    <s v="Labrador"/>
    <x v="4"/>
    <s v="Female"/>
    <n v="6.4"/>
    <n v="10.7"/>
    <x v="4"/>
    <s v="2022-05-25"/>
    <s v="Stray"/>
    <s v="2022-09-01"/>
    <s v="Euthanized"/>
    <n v="99"/>
    <x v="0"/>
    <n v="0"/>
    <n v="0"/>
    <x v="0"/>
    <s v="Event"/>
    <s v="Yes"/>
    <s v="Yes"/>
    <s v="Yes"/>
    <n v="2022"/>
    <s v="May"/>
    <s v="Q2"/>
  </r>
  <r>
    <s v="A0365"/>
    <s v="Happy Paws Shelter"/>
    <x v="4"/>
    <x v="2"/>
    <s v="Canary"/>
    <x v="3"/>
    <s v="Female"/>
    <n v="2.2000000000000002"/>
    <n v="19.8"/>
    <x v="0"/>
    <s v="2024-08-11"/>
    <s v="Born in Shelter"/>
    <s v="2024-12-31"/>
    <s v="Adopted"/>
    <n v="159"/>
    <x v="5"/>
    <n v="1997"/>
    <n v="0"/>
    <x v="2"/>
    <s v="Event"/>
    <s v="Yes"/>
    <s v="No"/>
    <s v="No"/>
    <n v="2024"/>
    <s v="August"/>
    <s v="Q3"/>
  </r>
  <r>
    <s v="A0366"/>
    <s v="City Animal Shelter"/>
    <x v="5"/>
    <x v="3"/>
    <s v="Flemish Giant"/>
    <x v="7"/>
    <s v="Male"/>
    <n v="3.4"/>
    <n v="2.7"/>
    <x v="3"/>
    <s v="2023-07-02"/>
    <s v="Confiscated"/>
    <s v="2023-11-08"/>
    <s v="Still in Shelter"/>
    <n v="129"/>
    <x v="0"/>
    <n v="0"/>
    <n v="0"/>
    <x v="0"/>
    <s v="Event"/>
    <s v="Yes"/>
    <s v="No"/>
    <s v="No"/>
    <n v="2023"/>
    <s v="July"/>
    <s v="Q3"/>
  </r>
  <r>
    <s v="A0367"/>
    <s v="Happy Paws Shelter"/>
    <x v="6"/>
    <x v="0"/>
    <s v="Siamese"/>
    <x v="8"/>
    <s v="Male"/>
    <n v="3.5"/>
    <n v="33.5"/>
    <x v="4"/>
    <s v="2024-07-26"/>
    <s v="Owner Surrender"/>
    <s v="2024-08-18"/>
    <s v="Adopted"/>
    <n v="23"/>
    <x v="4"/>
    <n v="3100"/>
    <n v="0"/>
    <x v="3"/>
    <s v="Website"/>
    <s v="Yes"/>
    <s v="No"/>
    <s v="No"/>
    <n v="2024"/>
    <s v="July"/>
    <s v="Q3"/>
  </r>
  <r>
    <s v="A0368"/>
    <s v="City Animal Shelter"/>
    <x v="4"/>
    <x v="0"/>
    <s v="Siamese"/>
    <x v="4"/>
    <s v="Male"/>
    <n v="5.4"/>
    <n v="22.7"/>
    <x v="2"/>
    <s v="2024-08-28"/>
    <s v="Owner Surrender"/>
    <s v="2024-11-25"/>
    <s v="Still in Shelter"/>
    <n v="89"/>
    <x v="0"/>
    <n v="0"/>
    <n v="0"/>
    <x v="0"/>
    <s v="Event"/>
    <s v="Yes"/>
    <s v="No"/>
    <s v="No"/>
    <n v="2024"/>
    <s v="August"/>
    <s v="Q3"/>
  </r>
  <r>
    <s v="A0369"/>
    <s v="City Animal Shelter"/>
    <x v="6"/>
    <x v="3"/>
    <s v="Dutch"/>
    <x v="8"/>
    <s v="Male"/>
    <n v="3.7"/>
    <n v="5.0999999999999996"/>
    <x v="3"/>
    <s v="2024-12-21"/>
    <s v="Abandoned"/>
    <s v="2024-12-31"/>
    <s v="Fostered"/>
    <n v="141"/>
    <x v="0"/>
    <n v="0"/>
    <n v="1000"/>
    <x v="0"/>
    <s v="Social Media"/>
    <s v="Yes"/>
    <s v="Yes"/>
    <s v="No"/>
    <n v="2024"/>
    <s v="December"/>
    <s v="Q4"/>
  </r>
  <r>
    <s v="A0370"/>
    <s v="Hope Animal Shelter"/>
    <x v="6"/>
    <x v="0"/>
    <s v="Domestic Shorthair"/>
    <x v="3"/>
    <s v="Male"/>
    <n v="3.5"/>
    <n v="34.1"/>
    <x v="0"/>
    <s v="2022-12-07"/>
    <s v="Stray"/>
    <s v="2023-05-15"/>
    <s v="Adopted"/>
    <n v="159"/>
    <x v="1"/>
    <n v="4415"/>
    <n v="1000"/>
    <x v="3"/>
    <s v="Referral"/>
    <s v="Yes"/>
    <s v="No"/>
    <s v="No"/>
    <n v="2022"/>
    <s v="December"/>
    <s v="Q4"/>
  </r>
  <r>
    <s v="A0371"/>
    <s v="City Animal Shelter"/>
    <x v="0"/>
    <x v="1"/>
    <s v="Labrador"/>
    <x v="9"/>
    <s v="Female"/>
    <n v="6.5"/>
    <n v="6.1"/>
    <x v="3"/>
    <s v="2023-10-12"/>
    <s v="Owner Surrender"/>
    <s v="2024-01-09"/>
    <s v="Adopted"/>
    <n v="89"/>
    <x v="4"/>
    <n v="6054"/>
    <n v="500"/>
    <x v="4"/>
    <s v="Website"/>
    <s v="Yes"/>
    <s v="No"/>
    <s v="No"/>
    <n v="2023"/>
    <s v="October"/>
    <s v="Q4"/>
  </r>
  <r>
    <s v="A0372"/>
    <s v="City Animal Shelter"/>
    <x v="0"/>
    <x v="0"/>
    <s v="Domestic Shorthair"/>
    <x v="7"/>
    <s v="Male"/>
    <n v="8.8000000000000007"/>
    <n v="32.299999999999997"/>
    <x v="0"/>
    <s v="2023-08-17"/>
    <s v="Confiscated"/>
    <s v="2024-01-11"/>
    <s v="Adopted"/>
    <n v="147"/>
    <x v="3"/>
    <n v="4775"/>
    <n v="1000"/>
    <x v="1"/>
    <s v="Social Media"/>
    <s v="Yes"/>
    <s v="No"/>
    <s v="No"/>
    <n v="2023"/>
    <s v="August"/>
    <s v="Q3"/>
  </r>
  <r>
    <s v="A0373"/>
    <s v="City Animal Shelter"/>
    <x v="4"/>
    <x v="1"/>
    <s v="Beagle"/>
    <x v="9"/>
    <s v="Male"/>
    <n v="2.4"/>
    <n v="18.7"/>
    <x v="1"/>
    <s v="2022-07-09"/>
    <s v="Transfer from Another Shelter"/>
    <s v="2022-10-01"/>
    <s v="Adopted"/>
    <n v="84"/>
    <x v="5"/>
    <n v="7981"/>
    <n v="2000"/>
    <x v="2"/>
    <s v="Website"/>
    <s v="No"/>
    <s v="No"/>
    <s v="Yes"/>
    <n v="2022"/>
    <s v="July"/>
    <s v="Q3"/>
  </r>
  <r>
    <s v="A0374"/>
    <s v="City Animal Shelter"/>
    <x v="2"/>
    <x v="3"/>
    <s v="Dutch"/>
    <x v="8"/>
    <s v="Female"/>
    <n v="4.7"/>
    <n v="0.9"/>
    <x v="2"/>
    <s v="2022-10-30"/>
    <s v="Born in Shelter"/>
    <s v="2023-02-17"/>
    <s v="Euthanized"/>
    <n v="110"/>
    <x v="0"/>
    <n v="0"/>
    <n v="0"/>
    <x v="0"/>
    <s v="Walk-in"/>
    <s v="Yes"/>
    <s v="No"/>
    <s v="No"/>
    <n v="2022"/>
    <s v="October"/>
    <s v="Q4"/>
  </r>
  <r>
    <s v="A0375"/>
    <s v="Paws &amp; Claws Rescue"/>
    <x v="0"/>
    <x v="2"/>
    <s v="Lovebird"/>
    <x v="3"/>
    <s v="Male"/>
    <n v="8.8000000000000007"/>
    <n v="14.8"/>
    <x v="0"/>
    <s v="2023-08-15"/>
    <s v="Transfer from Another Shelter"/>
    <s v="2023-09-26"/>
    <s v="Still in Shelter"/>
    <n v="42"/>
    <x v="0"/>
    <n v="0"/>
    <n v="0"/>
    <x v="0"/>
    <s v="Event"/>
    <s v="Yes"/>
    <s v="Yes"/>
    <s v="No"/>
    <n v="2023"/>
    <s v="August"/>
    <s v="Q3"/>
  </r>
  <r>
    <s v="A0376"/>
    <s v="Hope Animal Shelter"/>
    <x v="6"/>
    <x v="0"/>
    <s v="Persian"/>
    <x v="6"/>
    <s v="Male"/>
    <n v="5"/>
    <n v="19.7"/>
    <x v="2"/>
    <s v="2024-04-18"/>
    <s v="Transfer from Another Shelter"/>
    <s v="2024-09-29"/>
    <s v="Transferred"/>
    <n v="164"/>
    <x v="0"/>
    <n v="0"/>
    <n v="0"/>
    <x v="0"/>
    <s v="Social Media"/>
    <s v="No"/>
    <s v="Yes"/>
    <s v="No"/>
    <n v="2024"/>
    <s v="April"/>
    <s v="Q2"/>
  </r>
  <r>
    <s v="A0377"/>
    <s v="City Animal Shelter"/>
    <x v="7"/>
    <x v="1"/>
    <s v="Bulldog"/>
    <x v="7"/>
    <s v="Male"/>
    <n v="0.4"/>
    <n v="0.6"/>
    <x v="4"/>
    <s v="2024-10-08"/>
    <s v="Confiscated"/>
    <s v="2024-12-31"/>
    <s v="Fostered"/>
    <n v="144"/>
    <x v="0"/>
    <n v="0"/>
    <n v="0"/>
    <x v="0"/>
    <s v="Social Media"/>
    <s v="No"/>
    <s v="Yes"/>
    <s v="No"/>
    <n v="2024"/>
    <s v="October"/>
    <s v="Q4"/>
  </r>
  <r>
    <s v="A0378"/>
    <s v="Furever Home"/>
    <x v="1"/>
    <x v="1"/>
    <s v="Labrador"/>
    <x v="8"/>
    <s v="Female"/>
    <n v="7.2"/>
    <n v="13"/>
    <x v="4"/>
    <s v="2022-09-02"/>
    <s v="Stray"/>
    <s v="2022-11-12"/>
    <s v="Fostered"/>
    <n v="71"/>
    <x v="0"/>
    <n v="0"/>
    <n v="0"/>
    <x v="0"/>
    <s v="Social Media"/>
    <s v="Yes"/>
    <s v="No"/>
    <s v="No"/>
    <n v="2022"/>
    <s v="September"/>
    <s v="Q3"/>
  </r>
  <r>
    <s v="A0379"/>
    <s v="City Animal Shelter"/>
    <x v="1"/>
    <x v="1"/>
    <s v="Labrador"/>
    <x v="1"/>
    <s v="Male"/>
    <n v="4.4000000000000004"/>
    <n v="2.2999999999999998"/>
    <x v="0"/>
    <s v="2022-10-27"/>
    <s v="Abandoned"/>
    <s v="2023-01-17"/>
    <s v="Fostered"/>
    <n v="82"/>
    <x v="0"/>
    <n v="0"/>
    <n v="0"/>
    <x v="0"/>
    <s v="Event"/>
    <s v="Yes"/>
    <s v="No"/>
    <s v="No"/>
    <n v="2022"/>
    <s v="October"/>
    <s v="Q4"/>
  </r>
  <r>
    <s v="A0380"/>
    <s v="Hope Animal Shelter"/>
    <x v="7"/>
    <x v="1"/>
    <s v="German Shepherd"/>
    <x v="8"/>
    <s v="Female"/>
    <n v="10.5"/>
    <n v="29"/>
    <x v="0"/>
    <s v="2022-12-09"/>
    <s v="Born in Shelter"/>
    <s v="2023-04-28"/>
    <s v="Euthanized"/>
    <n v="140"/>
    <x v="0"/>
    <n v="0"/>
    <n v="0"/>
    <x v="0"/>
    <s v="Event"/>
    <s v="Yes"/>
    <s v="Yes"/>
    <s v="Yes"/>
    <n v="2022"/>
    <s v="December"/>
    <s v="Q4"/>
  </r>
  <r>
    <s v="A0381"/>
    <s v="Happy Paws Shelter"/>
    <x v="4"/>
    <x v="1"/>
    <s v="Bulldog"/>
    <x v="3"/>
    <s v="Male"/>
    <n v="4.0999999999999996"/>
    <n v="31.9"/>
    <x v="2"/>
    <s v="2024-02-03"/>
    <s v="Owner Surrender"/>
    <s v="2024-06-07"/>
    <s v="Still in Shelter"/>
    <n v="125"/>
    <x v="0"/>
    <n v="0"/>
    <n v="0"/>
    <x v="0"/>
    <s v="Event"/>
    <s v="Yes"/>
    <s v="No"/>
    <s v="No"/>
    <n v="2024"/>
    <s v="February"/>
    <s v="Q1"/>
  </r>
  <r>
    <s v="A0382"/>
    <s v="Furever Home"/>
    <x v="2"/>
    <x v="0"/>
    <s v="Persian"/>
    <x v="3"/>
    <s v="Female"/>
    <n v="3.8"/>
    <n v="13"/>
    <x v="0"/>
    <s v="2022-09-26"/>
    <s v="Confiscated"/>
    <s v="2022-10-01"/>
    <s v="Fostered"/>
    <n v="5"/>
    <x v="0"/>
    <n v="0"/>
    <n v="500"/>
    <x v="0"/>
    <s v="Walk-in"/>
    <s v="Yes"/>
    <s v="Yes"/>
    <s v="No"/>
    <n v="2022"/>
    <s v="September"/>
    <s v="Q3"/>
  </r>
  <r>
    <s v="A0383"/>
    <s v="Happy Paws Shelter"/>
    <x v="3"/>
    <x v="1"/>
    <s v="Bulldog"/>
    <x v="7"/>
    <s v="Female"/>
    <n v="8.3000000000000007"/>
    <n v="27.5"/>
    <x v="0"/>
    <s v="2022-09-14"/>
    <s v="Owner Surrender"/>
    <s v="2022-11-07"/>
    <s v="Adopted"/>
    <n v="54"/>
    <x v="5"/>
    <n v="3643"/>
    <n v="500"/>
    <x v="1"/>
    <s v="Event"/>
    <s v="Yes"/>
    <s v="No"/>
    <s v="Yes"/>
    <n v="2022"/>
    <s v="September"/>
    <s v="Q3"/>
  </r>
  <r>
    <s v="A0384"/>
    <s v="Second Chance Rescue"/>
    <x v="4"/>
    <x v="0"/>
    <s v="Persian"/>
    <x v="3"/>
    <s v="Female"/>
    <n v="9.4"/>
    <n v="32.200000000000003"/>
    <x v="0"/>
    <s v="2022-05-16"/>
    <s v="Stray"/>
    <s v="2022-08-02"/>
    <s v="Adopted"/>
    <n v="78"/>
    <x v="2"/>
    <n v="4590"/>
    <n v="0"/>
    <x v="4"/>
    <s v="Event"/>
    <s v="Yes"/>
    <s v="No"/>
    <s v="No"/>
    <n v="2022"/>
    <s v="May"/>
    <s v="Q2"/>
  </r>
  <r>
    <s v="A0385"/>
    <s v="Second Chance Rescue"/>
    <x v="4"/>
    <x v="0"/>
    <s v="Ragdoll"/>
    <x v="8"/>
    <s v="Male"/>
    <n v="7"/>
    <n v="1"/>
    <x v="2"/>
    <s v="2023-05-11"/>
    <s v="Born in Shelter"/>
    <s v="2023-09-18"/>
    <s v="Adopted"/>
    <n v="130"/>
    <x v="5"/>
    <n v="1905"/>
    <n v="5000"/>
    <x v="1"/>
    <s v="Website"/>
    <s v="No"/>
    <s v="No"/>
    <s v="No"/>
    <n v="2023"/>
    <s v="May"/>
    <s v="Q2"/>
  </r>
  <r>
    <s v="A0386"/>
    <s v="Furever Home"/>
    <x v="0"/>
    <x v="1"/>
    <s v="German Shepherd"/>
    <x v="1"/>
    <s v="Male"/>
    <n v="5.0999999999999996"/>
    <n v="18.2"/>
    <x v="3"/>
    <s v="2023-01-06"/>
    <s v="Stray"/>
    <s v="2023-04-07"/>
    <s v="Still in Shelter"/>
    <n v="91"/>
    <x v="0"/>
    <n v="0"/>
    <n v="0"/>
    <x v="0"/>
    <s v="Event"/>
    <s v="Yes"/>
    <s v="No"/>
    <s v="No"/>
    <n v="2023"/>
    <s v="January"/>
    <s v="Q1"/>
  </r>
  <r>
    <s v="A0387"/>
    <s v="Furever Home"/>
    <x v="7"/>
    <x v="0"/>
    <s v="Maine Coon"/>
    <x v="7"/>
    <s v="Male"/>
    <n v="6"/>
    <n v="13.8"/>
    <x v="1"/>
    <s v="2022-03-25"/>
    <s v="Transfer from Another Shelter"/>
    <s v="2022-04-16"/>
    <s v="Euthanized"/>
    <n v="22"/>
    <x v="0"/>
    <n v="0"/>
    <n v="0"/>
    <x v="0"/>
    <s v="Social Media"/>
    <s v="No"/>
    <s v="Yes"/>
    <s v="Yes"/>
    <n v="2022"/>
    <s v="March"/>
    <s v="Q1"/>
  </r>
  <r>
    <s v="A0388"/>
    <s v="Hope Animal Shelter"/>
    <x v="0"/>
    <x v="1"/>
    <s v="Beagle"/>
    <x v="4"/>
    <s v="Male"/>
    <n v="4.8"/>
    <n v="18.5"/>
    <x v="3"/>
    <s v="2023-01-03"/>
    <s v="Transfer from Another Shelter"/>
    <s v="2023-01-07"/>
    <s v="Fostered"/>
    <n v="4"/>
    <x v="0"/>
    <n v="0"/>
    <n v="0"/>
    <x v="0"/>
    <s v="Event"/>
    <s v="Yes"/>
    <s v="No"/>
    <s v="No"/>
    <n v="2023"/>
    <s v="January"/>
    <s v="Q1"/>
  </r>
  <r>
    <s v="A0389"/>
    <s v="Hope Animal Shelter"/>
    <x v="5"/>
    <x v="0"/>
    <s v="Bengal"/>
    <x v="8"/>
    <s v="Female"/>
    <n v="1.6"/>
    <n v="29.4"/>
    <x v="2"/>
    <s v="2023-02-12"/>
    <s v="Confiscated"/>
    <s v="2023-05-10"/>
    <s v="Returned to Owner"/>
    <n v="87"/>
    <x v="0"/>
    <n v="0"/>
    <n v="1000"/>
    <x v="0"/>
    <s v="Referral"/>
    <s v="Yes"/>
    <s v="No"/>
    <s v="No"/>
    <n v="2023"/>
    <s v="February"/>
    <s v="Q1"/>
  </r>
  <r>
    <s v="A0390"/>
    <s v="Second Chance Rescue"/>
    <x v="3"/>
    <x v="1"/>
    <s v="Bulldog"/>
    <x v="4"/>
    <s v="Male"/>
    <n v="5.9"/>
    <n v="8.5"/>
    <x v="2"/>
    <s v="2022-10-29"/>
    <s v="Stray"/>
    <s v="2023-02-23"/>
    <s v="Adopted"/>
    <n v="117"/>
    <x v="4"/>
    <n v="4000"/>
    <n v="0"/>
    <x v="1"/>
    <s v="Website"/>
    <s v="No"/>
    <s v="No"/>
    <s v="No"/>
    <n v="2022"/>
    <s v="October"/>
    <s v="Q4"/>
  </r>
  <r>
    <s v="A0391"/>
    <s v="Furever Home"/>
    <x v="7"/>
    <x v="1"/>
    <s v="Bulldog"/>
    <x v="5"/>
    <s v="Female"/>
    <n v="2.5"/>
    <n v="23.3"/>
    <x v="2"/>
    <s v="2022-07-17"/>
    <s v="Born in Shelter"/>
    <s v="2022-08-06"/>
    <s v="Fostered"/>
    <n v="20"/>
    <x v="0"/>
    <n v="0"/>
    <n v="1000"/>
    <x v="0"/>
    <s v="Event"/>
    <s v="Yes"/>
    <s v="Yes"/>
    <s v="No"/>
    <n v="2022"/>
    <s v="July"/>
    <s v="Q3"/>
  </r>
  <r>
    <s v="A0392"/>
    <s v="Second Chance Rescue"/>
    <x v="7"/>
    <x v="0"/>
    <s v="Domestic Shorthair"/>
    <x v="3"/>
    <s v="Female"/>
    <n v="5.4"/>
    <n v="1.7"/>
    <x v="3"/>
    <s v="2024-07-10"/>
    <s v="Owner Surrender"/>
    <s v="2024-09-29"/>
    <s v="Still in Shelter"/>
    <n v="81"/>
    <x v="0"/>
    <n v="0"/>
    <n v="0"/>
    <x v="0"/>
    <s v="Social Media"/>
    <s v="No"/>
    <s v="No"/>
    <s v="Yes"/>
    <n v="2024"/>
    <s v="July"/>
    <s v="Q3"/>
  </r>
  <r>
    <s v="A0393"/>
    <s v="Furever Home"/>
    <x v="2"/>
    <x v="1"/>
    <s v="Husky"/>
    <x v="8"/>
    <s v="Female"/>
    <n v="4.8"/>
    <n v="17.600000000000001"/>
    <x v="0"/>
    <s v="2024-08-20"/>
    <s v="Stray"/>
    <s v="2024-12-20"/>
    <s v="Adopted"/>
    <n v="122"/>
    <x v="3"/>
    <n v="7150"/>
    <n v="0"/>
    <x v="1"/>
    <s v="Website"/>
    <s v="Yes"/>
    <s v="No"/>
    <s v="Yes"/>
    <n v="2024"/>
    <s v="August"/>
    <s v="Q3"/>
  </r>
  <r>
    <s v="A0394"/>
    <s v="Happy Paws Shelter"/>
    <x v="4"/>
    <x v="3"/>
    <s v="Dutch"/>
    <x v="6"/>
    <s v="Male"/>
    <n v="11.9"/>
    <n v="14.7"/>
    <x v="4"/>
    <s v="2022-07-19"/>
    <s v="Abandoned"/>
    <s v="2022-11-06"/>
    <s v="Euthanized"/>
    <n v="110"/>
    <x v="0"/>
    <n v="0"/>
    <n v="0"/>
    <x v="0"/>
    <s v="Event"/>
    <s v="Yes"/>
    <s v="No"/>
    <s v="Yes"/>
    <n v="2022"/>
    <s v="July"/>
    <s v="Q3"/>
  </r>
  <r>
    <s v="A0395"/>
    <s v="Furever Home"/>
    <x v="1"/>
    <x v="0"/>
    <s v="Persian"/>
    <x v="8"/>
    <s v="Male"/>
    <n v="0.5"/>
    <n v="23.2"/>
    <x v="4"/>
    <s v="2023-11-23"/>
    <s v="Transfer from Another Shelter"/>
    <s v="2024-01-06"/>
    <s v="Adopted"/>
    <n v="44"/>
    <x v="3"/>
    <n v="3705"/>
    <n v="0"/>
    <x v="1"/>
    <s v="Social Media"/>
    <s v="No"/>
    <s v="No"/>
    <s v="No"/>
    <n v="2023"/>
    <s v="November"/>
    <s v="Q4"/>
  </r>
  <r>
    <s v="A0396"/>
    <s v="Hope Animal Shelter"/>
    <x v="2"/>
    <x v="3"/>
    <s v="Lionhead"/>
    <x v="3"/>
    <s v="Female"/>
    <n v="6"/>
    <n v="28.5"/>
    <x v="0"/>
    <s v="2022-07-20"/>
    <s v="Transfer from Another Shelter"/>
    <s v="2022-11-23"/>
    <s v="Adopted"/>
    <n v="126"/>
    <x v="2"/>
    <n v="1343"/>
    <n v="0"/>
    <x v="2"/>
    <s v="Walk-in"/>
    <s v="Yes"/>
    <s v="No"/>
    <s v="No"/>
    <n v="2022"/>
    <s v="July"/>
    <s v="Q3"/>
  </r>
  <r>
    <s v="A0397"/>
    <s v="Paws &amp; Claws Rescue"/>
    <x v="5"/>
    <x v="1"/>
    <s v="Bulldog"/>
    <x v="2"/>
    <s v="Male"/>
    <n v="7.1"/>
    <n v="9.9"/>
    <x v="0"/>
    <s v="2024-04-03"/>
    <s v="Stray"/>
    <s v="2024-05-31"/>
    <s v="Adopted"/>
    <n v="58"/>
    <x v="1"/>
    <n v="7736"/>
    <n v="0"/>
    <x v="4"/>
    <s v="Referral"/>
    <s v="Yes"/>
    <s v="Yes"/>
    <s v="No"/>
    <n v="2024"/>
    <s v="April"/>
    <s v="Q2"/>
  </r>
  <r>
    <s v="A0398"/>
    <s v="Paws &amp; Claws Rescue"/>
    <x v="5"/>
    <x v="2"/>
    <s v="Canary"/>
    <x v="6"/>
    <s v="Female"/>
    <n v="8.5"/>
    <n v="30.3"/>
    <x v="0"/>
    <s v="2024-11-21"/>
    <s v="Confiscated"/>
    <s v="2024-12-31"/>
    <s v="Adopted"/>
    <n v="117"/>
    <x v="3"/>
    <n v="576"/>
    <n v="2000"/>
    <x v="2"/>
    <s v="Event"/>
    <s v="Yes"/>
    <s v="No"/>
    <s v="No"/>
    <n v="2024"/>
    <s v="November"/>
    <s v="Q4"/>
  </r>
  <r>
    <s v="A0399"/>
    <s v="Happy Paws Shelter"/>
    <x v="4"/>
    <x v="3"/>
    <s v="Dutch"/>
    <x v="2"/>
    <s v="Female"/>
    <n v="5.3"/>
    <n v="11.5"/>
    <x v="2"/>
    <s v="2022-10-30"/>
    <s v="Abandoned"/>
    <s v="2022-12-31"/>
    <s v="Adopted"/>
    <n v="62"/>
    <x v="2"/>
    <n v="1729"/>
    <n v="5000"/>
    <x v="4"/>
    <s v="Event"/>
    <s v="Yes"/>
    <s v="No"/>
    <s v="No"/>
    <n v="2022"/>
    <s v="October"/>
    <s v="Q4"/>
  </r>
  <r>
    <s v="A0400"/>
    <s v="Furever Home"/>
    <x v="1"/>
    <x v="0"/>
    <s v="Siamese"/>
    <x v="9"/>
    <s v="Male"/>
    <n v="5.6"/>
    <n v="19.8"/>
    <x v="0"/>
    <s v="2023-01-29"/>
    <s v="Abandoned"/>
    <s v="2023-02-06"/>
    <s v="Returned to Owner"/>
    <n v="8"/>
    <x v="0"/>
    <n v="0"/>
    <n v="500"/>
    <x v="0"/>
    <s v="Website"/>
    <s v="Yes"/>
    <s v="No"/>
    <s v="No"/>
    <n v="2023"/>
    <s v="January"/>
    <s v="Q1"/>
  </r>
  <r>
    <s v="A0401"/>
    <s v="City Animal Shelter"/>
    <x v="0"/>
    <x v="0"/>
    <s v="Siamese"/>
    <x v="2"/>
    <s v="Female"/>
    <n v="10.8"/>
    <n v="11.3"/>
    <x v="4"/>
    <s v="2022-03-28"/>
    <s v="Confiscated"/>
    <s v="2022-07-31"/>
    <s v="Adopted"/>
    <n v="125"/>
    <x v="5"/>
    <n v="1726"/>
    <n v="5000"/>
    <x v="2"/>
    <s v="Website"/>
    <s v="Yes"/>
    <s v="Yes"/>
    <s v="Yes"/>
    <n v="2022"/>
    <s v="March"/>
    <s v="Q1"/>
  </r>
  <r>
    <s v="A0402"/>
    <s v="City Animal Shelter"/>
    <x v="2"/>
    <x v="0"/>
    <s v="Mixed Breed"/>
    <x v="0"/>
    <s v="Female"/>
    <n v="2.9"/>
    <n v="4.7"/>
    <x v="2"/>
    <s v="2024-12-11"/>
    <s v="Confiscated"/>
    <s v="2024-12-31"/>
    <s v="Fostered"/>
    <n v="65"/>
    <x v="0"/>
    <n v="0"/>
    <n v="0"/>
    <x v="0"/>
    <s v="Website"/>
    <s v="No"/>
    <s v="Yes"/>
    <s v="No"/>
    <n v="2024"/>
    <s v="December"/>
    <s v="Q4"/>
  </r>
  <r>
    <s v="A0403"/>
    <s v="Furever Home"/>
    <x v="2"/>
    <x v="0"/>
    <s v="Siamese"/>
    <x v="4"/>
    <s v="Female"/>
    <n v="3.1"/>
    <n v="20.8"/>
    <x v="1"/>
    <s v="2023-03-15"/>
    <s v="Transfer from Another Shelter"/>
    <s v="2023-05-25"/>
    <s v="Fostered"/>
    <n v="71"/>
    <x v="0"/>
    <n v="0"/>
    <n v="1000"/>
    <x v="0"/>
    <s v="Referral"/>
    <s v="Yes"/>
    <s v="No"/>
    <s v="No"/>
    <n v="2023"/>
    <s v="March"/>
    <s v="Q1"/>
  </r>
  <r>
    <s v="A0404"/>
    <s v="Happy Paws Shelter"/>
    <x v="4"/>
    <x v="3"/>
    <s v="Dutch"/>
    <x v="8"/>
    <s v="Female"/>
    <n v="10.1"/>
    <n v="23.3"/>
    <x v="0"/>
    <s v="2024-01-24"/>
    <s v="Confiscated"/>
    <s v="2024-04-12"/>
    <s v="Adopted"/>
    <n v="79"/>
    <x v="1"/>
    <n v="2981"/>
    <n v="0"/>
    <x v="1"/>
    <s v="Event"/>
    <s v="Yes"/>
    <s v="No"/>
    <s v="No"/>
    <n v="2024"/>
    <s v="January"/>
    <s v="Q1"/>
  </r>
  <r>
    <s v="A0405"/>
    <s v="Furever Home"/>
    <x v="2"/>
    <x v="1"/>
    <s v="Mixed Breed"/>
    <x v="2"/>
    <s v="Male"/>
    <n v="2.6"/>
    <n v="31.2"/>
    <x v="0"/>
    <s v="2023-06-08"/>
    <s v="Stray"/>
    <s v="2023-08-25"/>
    <s v="Adopted"/>
    <n v="78"/>
    <x v="4"/>
    <n v="4928"/>
    <n v="0"/>
    <x v="2"/>
    <s v="Referral"/>
    <s v="Yes"/>
    <s v="No"/>
    <s v="No"/>
    <n v="2023"/>
    <s v="June"/>
    <s v="Q2"/>
  </r>
  <r>
    <s v="A0406"/>
    <s v="Paws &amp; Claws Rescue"/>
    <x v="2"/>
    <x v="0"/>
    <s v="Ragdoll"/>
    <x v="7"/>
    <s v="Male"/>
    <n v="6.1"/>
    <n v="12.6"/>
    <x v="2"/>
    <s v="2022-11-25"/>
    <s v="Stray"/>
    <s v="2023-05-23"/>
    <s v="Transferred"/>
    <n v="179"/>
    <x v="0"/>
    <n v="0"/>
    <n v="0"/>
    <x v="0"/>
    <s v="Website"/>
    <s v="No"/>
    <s v="No"/>
    <s v="No"/>
    <n v="2022"/>
    <s v="November"/>
    <s v="Q4"/>
  </r>
  <r>
    <s v="A0407"/>
    <s v="Second Chance Rescue"/>
    <x v="4"/>
    <x v="1"/>
    <s v="Mixed Breed"/>
    <x v="5"/>
    <s v="Male"/>
    <n v="3.8"/>
    <n v="3.3"/>
    <x v="2"/>
    <s v="2023-02-14"/>
    <s v="Born in Shelter"/>
    <s v="2023-07-25"/>
    <s v="Transferred"/>
    <n v="161"/>
    <x v="0"/>
    <n v="0"/>
    <n v="0"/>
    <x v="0"/>
    <s v="Referral"/>
    <s v="Yes"/>
    <s v="No"/>
    <s v="No"/>
    <n v="2023"/>
    <s v="February"/>
    <s v="Q1"/>
  </r>
  <r>
    <s v="A0408"/>
    <s v="Furever Home"/>
    <x v="2"/>
    <x v="1"/>
    <s v="Bulldog"/>
    <x v="3"/>
    <s v="Female"/>
    <n v="9.6"/>
    <n v="7.4"/>
    <x v="3"/>
    <s v="2022-12-22"/>
    <s v="Born in Shelter"/>
    <s v="2023-06-16"/>
    <s v="Euthanized"/>
    <n v="176"/>
    <x v="0"/>
    <n v="0"/>
    <n v="0"/>
    <x v="0"/>
    <s v="Website"/>
    <s v="Yes"/>
    <s v="Yes"/>
    <s v="No"/>
    <n v="2022"/>
    <s v="December"/>
    <s v="Q4"/>
  </r>
  <r>
    <s v="A0409"/>
    <s v="Second Chance Rescue"/>
    <x v="0"/>
    <x v="0"/>
    <s v="Domestic Shorthair"/>
    <x v="1"/>
    <s v="Male"/>
    <n v="7.5"/>
    <n v="21.2"/>
    <x v="1"/>
    <s v="2023-02-11"/>
    <s v="Stray"/>
    <s v="2023-04-20"/>
    <s v="Adopted"/>
    <n v="68"/>
    <x v="5"/>
    <n v="1703"/>
    <n v="500"/>
    <x v="2"/>
    <s v="Referral"/>
    <s v="No"/>
    <s v="Yes"/>
    <s v="No"/>
    <n v="2023"/>
    <s v="February"/>
    <s v="Q1"/>
  </r>
  <r>
    <s v="A0410"/>
    <s v="Paws &amp; Claws Rescue"/>
    <x v="4"/>
    <x v="1"/>
    <s v="Poodle"/>
    <x v="8"/>
    <s v="Male"/>
    <n v="1.6"/>
    <n v="30"/>
    <x v="3"/>
    <s v="2023-06-30"/>
    <s v="Owner Surrender"/>
    <s v="2023-09-12"/>
    <s v="Fostered"/>
    <n v="74"/>
    <x v="0"/>
    <n v="0"/>
    <n v="1000"/>
    <x v="0"/>
    <s v="Referral"/>
    <s v="Yes"/>
    <s v="Yes"/>
    <s v="No"/>
    <n v="2023"/>
    <s v="June"/>
    <s v="Q2"/>
  </r>
  <r>
    <s v="A0411"/>
    <s v="Happy Paws Shelter"/>
    <x v="3"/>
    <x v="0"/>
    <s v="Siamese"/>
    <x v="7"/>
    <s v="Male"/>
    <n v="7"/>
    <n v="22.8"/>
    <x v="2"/>
    <s v="2024-07-12"/>
    <s v="Abandoned"/>
    <s v="2024-09-14"/>
    <s v="Euthanized"/>
    <n v="64"/>
    <x v="0"/>
    <n v="0"/>
    <n v="0"/>
    <x v="0"/>
    <s v="Referral"/>
    <s v="Yes"/>
    <s v="No"/>
    <s v="No"/>
    <n v="2024"/>
    <s v="July"/>
    <s v="Q3"/>
  </r>
  <r>
    <s v="A0412"/>
    <s v="Furever Home"/>
    <x v="2"/>
    <x v="2"/>
    <s v="Finch"/>
    <x v="0"/>
    <s v="Male"/>
    <n v="0.7"/>
    <n v="32.6"/>
    <x v="0"/>
    <s v="2023-06-09"/>
    <s v="Abandoned"/>
    <s v="2023-06-28"/>
    <s v="Adopted"/>
    <n v="19"/>
    <x v="3"/>
    <n v="2781"/>
    <n v="0"/>
    <x v="2"/>
    <s v="Social Media"/>
    <s v="No"/>
    <s v="No"/>
    <s v="No"/>
    <n v="2023"/>
    <s v="June"/>
    <s v="Q2"/>
  </r>
  <r>
    <s v="A0413"/>
    <s v="Second Chance Rescue"/>
    <x v="0"/>
    <x v="1"/>
    <s v="Labrador"/>
    <x v="1"/>
    <s v="Female"/>
    <n v="11.2"/>
    <n v="30.8"/>
    <x v="0"/>
    <s v="2023-01-03"/>
    <s v="Abandoned"/>
    <s v="2023-03-11"/>
    <s v="Adopted"/>
    <n v="67"/>
    <x v="5"/>
    <n v="7126"/>
    <n v="500"/>
    <x v="4"/>
    <s v="Walk-in"/>
    <s v="Yes"/>
    <s v="No"/>
    <s v="No"/>
    <n v="2023"/>
    <s v="January"/>
    <s v="Q1"/>
  </r>
  <r>
    <s v="A0414"/>
    <s v="Second Chance Rescue"/>
    <x v="2"/>
    <x v="3"/>
    <s v="Dutch"/>
    <x v="7"/>
    <s v="Male"/>
    <n v="6.3"/>
    <n v="15.5"/>
    <x v="1"/>
    <s v="2023-08-03"/>
    <s v="Confiscated"/>
    <s v="2023-10-10"/>
    <s v="Transferred"/>
    <n v="68"/>
    <x v="0"/>
    <n v="0"/>
    <n v="0"/>
    <x v="0"/>
    <s v="Referral"/>
    <s v="Yes"/>
    <s v="Yes"/>
    <s v="No"/>
    <n v="2023"/>
    <s v="August"/>
    <s v="Q3"/>
  </r>
  <r>
    <s v="A0415"/>
    <s v="Happy Paws Shelter"/>
    <x v="5"/>
    <x v="1"/>
    <s v="Poodle"/>
    <x v="9"/>
    <s v="Female"/>
    <n v="2"/>
    <n v="16.600000000000001"/>
    <x v="0"/>
    <s v="2023-01-11"/>
    <s v="Confiscated"/>
    <s v="2023-01-21"/>
    <s v="Fostered"/>
    <n v="10"/>
    <x v="0"/>
    <n v="0"/>
    <n v="500"/>
    <x v="0"/>
    <s v="Event"/>
    <s v="No"/>
    <s v="No"/>
    <s v="No"/>
    <n v="2023"/>
    <s v="January"/>
    <s v="Q1"/>
  </r>
  <r>
    <s v="A0416"/>
    <s v="Second Chance Rescue"/>
    <x v="6"/>
    <x v="0"/>
    <s v="Ragdoll"/>
    <x v="5"/>
    <s v="Female"/>
    <n v="1.2"/>
    <n v="30.5"/>
    <x v="1"/>
    <s v="2022-10-31"/>
    <s v="Confiscated"/>
    <s v="2022-12-02"/>
    <s v="Euthanized"/>
    <n v="32"/>
    <x v="0"/>
    <n v="0"/>
    <n v="0"/>
    <x v="0"/>
    <s v="Event"/>
    <s v="Yes"/>
    <s v="No"/>
    <s v="Yes"/>
    <n v="2022"/>
    <s v="October"/>
    <s v="Q4"/>
  </r>
  <r>
    <s v="A0417"/>
    <s v="City Animal Shelter"/>
    <x v="3"/>
    <x v="0"/>
    <s v="Ragdoll"/>
    <x v="8"/>
    <s v="Male"/>
    <n v="6"/>
    <n v="3.8"/>
    <x v="3"/>
    <s v="2023-01-05"/>
    <s v="Abandoned"/>
    <s v="2023-04-22"/>
    <s v="Adopted"/>
    <n v="107"/>
    <x v="3"/>
    <n v="2508"/>
    <n v="5000"/>
    <x v="1"/>
    <s v="Social Media"/>
    <s v="Yes"/>
    <s v="Yes"/>
    <s v="Yes"/>
    <n v="2023"/>
    <s v="January"/>
    <s v="Q1"/>
  </r>
  <r>
    <s v="A0418"/>
    <s v="Happy Paws Shelter"/>
    <x v="5"/>
    <x v="1"/>
    <s v="Husky"/>
    <x v="1"/>
    <s v="Male"/>
    <n v="7.2"/>
    <n v="0.7"/>
    <x v="0"/>
    <s v="2024-07-18"/>
    <s v="Stray"/>
    <s v="2024-12-26"/>
    <s v="Transferred"/>
    <n v="161"/>
    <x v="0"/>
    <n v="0"/>
    <n v="0"/>
    <x v="0"/>
    <s v="Social Media"/>
    <s v="Yes"/>
    <s v="Yes"/>
    <s v="Yes"/>
    <n v="2024"/>
    <s v="July"/>
    <s v="Q3"/>
  </r>
  <r>
    <s v="A0419"/>
    <s v="Furever Home"/>
    <x v="0"/>
    <x v="0"/>
    <s v="Maine Coon"/>
    <x v="9"/>
    <s v="Male"/>
    <n v="3.1"/>
    <n v="8.8000000000000007"/>
    <x v="0"/>
    <s v="2024-02-21"/>
    <s v="Transfer from Another Shelter"/>
    <s v="2024-03-16"/>
    <s v="Still in Shelter"/>
    <n v="24"/>
    <x v="0"/>
    <n v="0"/>
    <n v="0"/>
    <x v="0"/>
    <s v="Referral"/>
    <s v="Yes"/>
    <s v="No"/>
    <s v="No"/>
    <n v="2024"/>
    <s v="February"/>
    <s v="Q1"/>
  </r>
  <r>
    <s v="A0420"/>
    <s v="City Animal Shelter"/>
    <x v="0"/>
    <x v="0"/>
    <s v="Bengal"/>
    <x v="1"/>
    <s v="Male"/>
    <n v="10.9"/>
    <n v="21.3"/>
    <x v="3"/>
    <s v="2024-10-02"/>
    <s v="Transfer from Another Shelter"/>
    <s v="2024-12-31"/>
    <s v="Transferred"/>
    <n v="111"/>
    <x v="0"/>
    <n v="0"/>
    <n v="0"/>
    <x v="0"/>
    <s v="Referral"/>
    <s v="No"/>
    <s v="No"/>
    <s v="No"/>
    <n v="2024"/>
    <s v="October"/>
    <s v="Q4"/>
  </r>
  <r>
    <s v="A0421"/>
    <s v="City Animal Shelter"/>
    <x v="5"/>
    <x v="0"/>
    <s v="Ragdoll"/>
    <x v="6"/>
    <s v="Male"/>
    <n v="5.2"/>
    <n v="1.9"/>
    <x v="3"/>
    <s v="2024-05-15"/>
    <s v="Born in Shelter"/>
    <s v="2024-08-18"/>
    <s v="Adopted"/>
    <n v="95"/>
    <x v="3"/>
    <n v="3278"/>
    <n v="2000"/>
    <x v="1"/>
    <s v="Social Media"/>
    <s v="No"/>
    <s v="No"/>
    <s v="Yes"/>
    <n v="2024"/>
    <s v="May"/>
    <s v="Q2"/>
  </r>
  <r>
    <s v="A0422"/>
    <s v="City Animal Shelter"/>
    <x v="3"/>
    <x v="1"/>
    <s v="Bulldog"/>
    <x v="5"/>
    <s v="Male"/>
    <n v="10.1"/>
    <n v="18.5"/>
    <x v="0"/>
    <s v="2022-11-01"/>
    <s v="Born in Shelter"/>
    <s v="2022-12-04"/>
    <s v="Transferred"/>
    <n v="33"/>
    <x v="0"/>
    <n v="0"/>
    <n v="0"/>
    <x v="0"/>
    <s v="Walk-in"/>
    <s v="No"/>
    <s v="No"/>
    <s v="Yes"/>
    <n v="2022"/>
    <s v="November"/>
    <s v="Q4"/>
  </r>
  <r>
    <s v="A0423"/>
    <s v="Second Chance Rescue"/>
    <x v="6"/>
    <x v="1"/>
    <s v="Bulldog"/>
    <x v="2"/>
    <s v="Male"/>
    <n v="1.5"/>
    <n v="23.3"/>
    <x v="0"/>
    <s v="2023-12-29"/>
    <s v="Transfer from Another Shelter"/>
    <s v="2024-03-04"/>
    <s v="Adopted"/>
    <n v="66"/>
    <x v="1"/>
    <n v="7124"/>
    <n v="0"/>
    <x v="4"/>
    <s v="Event"/>
    <s v="No"/>
    <s v="No"/>
    <s v="No"/>
    <n v="2023"/>
    <s v="December"/>
    <s v="Q4"/>
  </r>
  <r>
    <s v="A0424"/>
    <s v="City Animal Shelter"/>
    <x v="0"/>
    <x v="1"/>
    <s v="Bulldog"/>
    <x v="2"/>
    <s v="Male"/>
    <n v="1"/>
    <n v="34.4"/>
    <x v="0"/>
    <s v="2023-12-01"/>
    <s v="Transfer from Another Shelter"/>
    <s v="2024-01-18"/>
    <s v="Returned to Owner"/>
    <n v="48"/>
    <x v="0"/>
    <n v="0"/>
    <n v="0"/>
    <x v="0"/>
    <s v="Walk-in"/>
    <s v="Yes"/>
    <s v="Yes"/>
    <s v="No"/>
    <n v="2023"/>
    <s v="December"/>
    <s v="Q4"/>
  </r>
  <r>
    <s v="A0425"/>
    <s v="Hope Animal Shelter"/>
    <x v="1"/>
    <x v="1"/>
    <s v="Mixed Breed"/>
    <x v="8"/>
    <s v="Male"/>
    <n v="8.3000000000000007"/>
    <n v="33.700000000000003"/>
    <x v="0"/>
    <s v="2024-09-23"/>
    <s v="Owner Surrender"/>
    <s v="2024-12-10"/>
    <s v="Euthanized"/>
    <n v="78"/>
    <x v="0"/>
    <n v="0"/>
    <n v="0"/>
    <x v="0"/>
    <s v="Walk-in"/>
    <s v="Yes"/>
    <s v="Yes"/>
    <s v="Yes"/>
    <n v="2024"/>
    <s v="September"/>
    <s v="Q3"/>
  </r>
  <r>
    <s v="A0426"/>
    <s v="Paws &amp; Claws Rescue"/>
    <x v="4"/>
    <x v="1"/>
    <s v="Labrador"/>
    <x v="4"/>
    <s v="Female"/>
    <n v="10.1"/>
    <n v="30.1"/>
    <x v="2"/>
    <s v="2023-03-05"/>
    <s v="Transfer from Another Shelter"/>
    <s v="2023-07-07"/>
    <s v="Adopted"/>
    <n v="124"/>
    <x v="2"/>
    <n v="4980"/>
    <n v="500"/>
    <x v="2"/>
    <s v="Referral"/>
    <s v="Yes"/>
    <s v="Yes"/>
    <s v="No"/>
    <n v="2023"/>
    <s v="March"/>
    <s v="Q1"/>
  </r>
  <r>
    <s v="A0427"/>
    <s v="Furever Home"/>
    <x v="3"/>
    <x v="1"/>
    <s v="Husky"/>
    <x v="1"/>
    <s v="Male"/>
    <n v="3"/>
    <n v="10.7"/>
    <x v="0"/>
    <s v="2024-09-20"/>
    <s v="Confiscated"/>
    <s v="2024-12-31"/>
    <s v="Adopted"/>
    <n v="121"/>
    <x v="4"/>
    <n v="6682"/>
    <n v="1000"/>
    <x v="2"/>
    <s v="Referral"/>
    <s v="Yes"/>
    <s v="Yes"/>
    <s v="No"/>
    <n v="2024"/>
    <s v="September"/>
    <s v="Q3"/>
  </r>
  <r>
    <s v="A0428"/>
    <s v="Furever Home"/>
    <x v="2"/>
    <x v="2"/>
    <s v="Lovebird"/>
    <x v="5"/>
    <s v="Male"/>
    <n v="8.6"/>
    <n v="18.7"/>
    <x v="0"/>
    <s v="2024-11-17"/>
    <s v="Confiscated"/>
    <s v="2024-12-31"/>
    <s v="Fostered"/>
    <n v="152"/>
    <x v="0"/>
    <n v="0"/>
    <n v="0"/>
    <x v="0"/>
    <s v="Referral"/>
    <s v="No"/>
    <s v="Yes"/>
    <s v="No"/>
    <n v="2024"/>
    <s v="November"/>
    <s v="Q4"/>
  </r>
  <r>
    <s v="A0429"/>
    <s v="Second Chance Rescue"/>
    <x v="5"/>
    <x v="1"/>
    <s v="Beagle"/>
    <x v="1"/>
    <s v="Female"/>
    <n v="0.3"/>
    <n v="10.4"/>
    <x v="0"/>
    <s v="2024-07-07"/>
    <s v="Born in Shelter"/>
    <s v="2024-12-31"/>
    <s v="Still in Shelter"/>
    <n v="179"/>
    <x v="0"/>
    <n v="0"/>
    <n v="0"/>
    <x v="0"/>
    <s v="Website"/>
    <s v="Yes"/>
    <s v="No"/>
    <s v="No"/>
    <n v="2024"/>
    <s v="July"/>
    <s v="Q3"/>
  </r>
  <r>
    <s v="A0430"/>
    <s v="Second Chance Rescue"/>
    <x v="4"/>
    <x v="1"/>
    <s v="Bulldog"/>
    <x v="8"/>
    <s v="Male"/>
    <n v="9.6"/>
    <n v="28.1"/>
    <x v="4"/>
    <s v="2024-03-10"/>
    <s v="Transfer from Another Shelter"/>
    <s v="2024-06-25"/>
    <s v="Euthanized"/>
    <n v="107"/>
    <x v="0"/>
    <n v="0"/>
    <n v="0"/>
    <x v="0"/>
    <s v="Website"/>
    <s v="Yes"/>
    <s v="Yes"/>
    <s v="No"/>
    <n v="2024"/>
    <s v="March"/>
    <s v="Q1"/>
  </r>
  <r>
    <s v="A0431"/>
    <s v="Happy Paws Shelter"/>
    <x v="2"/>
    <x v="1"/>
    <s v="Husky"/>
    <x v="8"/>
    <s v="Female"/>
    <n v="2.9"/>
    <n v="19.7"/>
    <x v="4"/>
    <s v="2022-07-26"/>
    <s v="Owner Surrender"/>
    <s v="2022-11-10"/>
    <s v="Fostered"/>
    <n v="107"/>
    <x v="0"/>
    <n v="0"/>
    <n v="500"/>
    <x v="0"/>
    <s v="Website"/>
    <s v="Yes"/>
    <s v="Yes"/>
    <s v="No"/>
    <n v="2022"/>
    <s v="July"/>
    <s v="Q3"/>
  </r>
  <r>
    <s v="A0432"/>
    <s v="City Animal Shelter"/>
    <x v="3"/>
    <x v="2"/>
    <s v="Parakeet"/>
    <x v="5"/>
    <s v="Female"/>
    <n v="3.2"/>
    <n v="12.2"/>
    <x v="0"/>
    <s v="2023-04-10"/>
    <s v="Confiscated"/>
    <s v="2023-05-11"/>
    <s v="Returned to Owner"/>
    <n v="31"/>
    <x v="0"/>
    <n v="0"/>
    <n v="1000"/>
    <x v="0"/>
    <s v="Event"/>
    <s v="Yes"/>
    <s v="No"/>
    <s v="Yes"/>
    <n v="2023"/>
    <s v="April"/>
    <s v="Q2"/>
  </r>
  <r>
    <s v="A0433"/>
    <s v="Happy Paws Shelter"/>
    <x v="4"/>
    <x v="1"/>
    <s v="Husky"/>
    <x v="1"/>
    <s v="Male"/>
    <n v="6.1"/>
    <n v="6.3"/>
    <x v="4"/>
    <s v="2022-08-16"/>
    <s v="Abandoned"/>
    <s v="2022-09-13"/>
    <s v="Adopted"/>
    <n v="28"/>
    <x v="4"/>
    <n v="7607"/>
    <n v="0"/>
    <x v="2"/>
    <s v="Walk-in"/>
    <s v="Yes"/>
    <s v="No"/>
    <s v="No"/>
    <n v="2022"/>
    <s v="August"/>
    <s v="Q3"/>
  </r>
  <r>
    <s v="A0434"/>
    <s v="Furever Home"/>
    <x v="2"/>
    <x v="3"/>
    <s v="Mini Rex"/>
    <x v="8"/>
    <s v="Male"/>
    <n v="9.3000000000000007"/>
    <n v="0.7"/>
    <x v="0"/>
    <s v="2022-09-09"/>
    <s v="Abandoned"/>
    <s v="2022-10-31"/>
    <s v="Fostered"/>
    <n v="52"/>
    <x v="0"/>
    <n v="0"/>
    <n v="1000"/>
    <x v="0"/>
    <s v="Social Media"/>
    <s v="No"/>
    <s v="No"/>
    <s v="No"/>
    <n v="2022"/>
    <s v="September"/>
    <s v="Q3"/>
  </r>
  <r>
    <s v="A0435"/>
    <s v="Furever Home"/>
    <x v="2"/>
    <x v="1"/>
    <s v="Mixed Breed"/>
    <x v="9"/>
    <s v="Female"/>
    <n v="5"/>
    <n v="14.6"/>
    <x v="0"/>
    <s v="2023-04-13"/>
    <s v="Stray"/>
    <s v="2023-05-19"/>
    <s v="Still in Shelter"/>
    <n v="36"/>
    <x v="0"/>
    <n v="0"/>
    <n v="0"/>
    <x v="0"/>
    <s v="Event"/>
    <s v="Yes"/>
    <s v="Yes"/>
    <s v="No"/>
    <n v="2023"/>
    <s v="April"/>
    <s v="Q2"/>
  </r>
  <r>
    <s v="A0436"/>
    <s v="Second Chance Rescue"/>
    <x v="3"/>
    <x v="3"/>
    <s v="Dutch"/>
    <x v="5"/>
    <s v="Female"/>
    <n v="0.5"/>
    <n v="32.299999999999997"/>
    <x v="3"/>
    <s v="2022-12-03"/>
    <s v="Transfer from Another Shelter"/>
    <s v="2023-03-25"/>
    <s v="Adopted"/>
    <n v="112"/>
    <x v="3"/>
    <n v="2110"/>
    <n v="5000"/>
    <x v="4"/>
    <s v="Social Media"/>
    <s v="Yes"/>
    <s v="Yes"/>
    <s v="No"/>
    <n v="2022"/>
    <s v="December"/>
    <s v="Q4"/>
  </r>
  <r>
    <s v="A0437"/>
    <s v="Paws &amp; Claws Rescue"/>
    <x v="5"/>
    <x v="0"/>
    <s v="Maine Coon"/>
    <x v="1"/>
    <s v="Female"/>
    <n v="5.4"/>
    <n v="7.6"/>
    <x v="2"/>
    <s v="2022-10-28"/>
    <s v="Owner Surrender"/>
    <s v="2023-04-26"/>
    <s v="Still in Shelter"/>
    <n v="180"/>
    <x v="0"/>
    <n v="0"/>
    <n v="0"/>
    <x v="0"/>
    <s v="Social Media"/>
    <s v="Yes"/>
    <s v="Yes"/>
    <s v="No"/>
    <n v="2022"/>
    <s v="October"/>
    <s v="Q4"/>
  </r>
  <r>
    <s v="A0438"/>
    <s v="City Animal Shelter"/>
    <x v="2"/>
    <x v="2"/>
    <s v="Cockatiel"/>
    <x v="3"/>
    <s v="Male"/>
    <n v="2.6"/>
    <n v="18.2"/>
    <x v="0"/>
    <s v="2024-12-01"/>
    <s v="Born in Shelter"/>
    <s v="2024-12-31"/>
    <s v="Transferred"/>
    <n v="139"/>
    <x v="0"/>
    <n v="0"/>
    <n v="0"/>
    <x v="0"/>
    <s v="Event"/>
    <s v="Yes"/>
    <s v="Yes"/>
    <s v="No"/>
    <n v="2024"/>
    <s v="December"/>
    <s v="Q4"/>
  </r>
  <r>
    <s v="A0439"/>
    <s v="Happy Paws Shelter"/>
    <x v="3"/>
    <x v="2"/>
    <s v="Finch"/>
    <x v="4"/>
    <s v="Female"/>
    <n v="3.2"/>
    <n v="18"/>
    <x v="0"/>
    <s v="2022-08-15"/>
    <s v="Born in Shelter"/>
    <s v="2022-08-31"/>
    <s v="Euthanized"/>
    <n v="16"/>
    <x v="0"/>
    <n v="0"/>
    <n v="0"/>
    <x v="0"/>
    <s v="Walk-in"/>
    <s v="No"/>
    <s v="No"/>
    <s v="No"/>
    <n v="2022"/>
    <s v="August"/>
    <s v="Q3"/>
  </r>
  <r>
    <s v="A0440"/>
    <s v="Paws &amp; Claws Rescue"/>
    <x v="6"/>
    <x v="1"/>
    <s v="Poodle"/>
    <x v="2"/>
    <s v="Male"/>
    <n v="8"/>
    <n v="28.6"/>
    <x v="0"/>
    <s v="2023-12-19"/>
    <s v="Abandoned"/>
    <s v="2024-03-05"/>
    <s v="Transferred"/>
    <n v="77"/>
    <x v="0"/>
    <n v="0"/>
    <n v="0"/>
    <x v="0"/>
    <s v="Event"/>
    <s v="Yes"/>
    <s v="No"/>
    <s v="No"/>
    <n v="2023"/>
    <s v="December"/>
    <s v="Q4"/>
  </r>
  <r>
    <s v="A0441"/>
    <s v="Second Chance Rescue"/>
    <x v="5"/>
    <x v="0"/>
    <s v="Siamese"/>
    <x v="4"/>
    <s v="Female"/>
    <n v="5.2"/>
    <n v="5"/>
    <x v="4"/>
    <s v="2024-05-21"/>
    <s v="Born in Shelter"/>
    <s v="2024-09-04"/>
    <s v="Adopted"/>
    <n v="106"/>
    <x v="4"/>
    <n v="1877"/>
    <n v="0"/>
    <x v="2"/>
    <s v="Social Media"/>
    <s v="No"/>
    <s v="No"/>
    <s v="No"/>
    <n v="2024"/>
    <s v="May"/>
    <s v="Q2"/>
  </r>
  <r>
    <s v="A0442"/>
    <s v="Hope Animal Shelter"/>
    <x v="0"/>
    <x v="1"/>
    <s v="Husky"/>
    <x v="6"/>
    <s v="Female"/>
    <n v="5.9"/>
    <n v="16.3"/>
    <x v="3"/>
    <s v="2024-05-03"/>
    <s v="Stray"/>
    <s v="2024-06-14"/>
    <s v="Adopted"/>
    <n v="42"/>
    <x v="2"/>
    <n v="7143"/>
    <n v="0"/>
    <x v="4"/>
    <s v="Walk-in"/>
    <s v="No"/>
    <s v="Yes"/>
    <s v="Yes"/>
    <n v="2024"/>
    <s v="May"/>
    <s v="Q2"/>
  </r>
  <r>
    <s v="A0443"/>
    <s v="City Animal Shelter"/>
    <x v="5"/>
    <x v="3"/>
    <s v="Lionhead"/>
    <x v="9"/>
    <s v="Male"/>
    <n v="3.7"/>
    <n v="13.4"/>
    <x v="0"/>
    <s v="2023-08-17"/>
    <s v="Born in Shelter"/>
    <s v="2023-08-28"/>
    <s v="Adopted"/>
    <n v="11"/>
    <x v="4"/>
    <n v="982"/>
    <n v="0"/>
    <x v="1"/>
    <s v="Social Media"/>
    <s v="Yes"/>
    <s v="Yes"/>
    <s v="No"/>
    <n v="2023"/>
    <s v="August"/>
    <s v="Q3"/>
  </r>
  <r>
    <s v="A0444"/>
    <s v="Furever Home"/>
    <x v="7"/>
    <x v="1"/>
    <s v="Labrador"/>
    <x v="0"/>
    <s v="Female"/>
    <n v="0.9"/>
    <n v="2"/>
    <x v="0"/>
    <s v="2022-09-08"/>
    <s v="Transfer from Another Shelter"/>
    <s v="2023-01-27"/>
    <s v="Euthanized"/>
    <n v="141"/>
    <x v="0"/>
    <n v="0"/>
    <n v="0"/>
    <x v="0"/>
    <s v="Referral"/>
    <s v="Yes"/>
    <s v="Yes"/>
    <s v="No"/>
    <n v="2022"/>
    <s v="September"/>
    <s v="Q3"/>
  </r>
  <r>
    <s v="A0445"/>
    <s v="Paws &amp; Claws Rescue"/>
    <x v="3"/>
    <x v="1"/>
    <s v="Husky"/>
    <x v="7"/>
    <s v="Female"/>
    <n v="2.9"/>
    <n v="14.1"/>
    <x v="4"/>
    <s v="2022-11-02"/>
    <s v="Stray"/>
    <s v="2023-01-25"/>
    <s v="Adopted"/>
    <n v="84"/>
    <x v="2"/>
    <n v="6355"/>
    <n v="500"/>
    <x v="1"/>
    <s v="Event"/>
    <s v="Yes"/>
    <s v="No"/>
    <s v="Yes"/>
    <n v="2022"/>
    <s v="November"/>
    <s v="Q4"/>
  </r>
  <r>
    <s v="A0446"/>
    <s v="Happy Paws Shelter"/>
    <x v="0"/>
    <x v="0"/>
    <s v="Persian"/>
    <x v="5"/>
    <s v="Male"/>
    <n v="2.4"/>
    <n v="16.899999999999999"/>
    <x v="0"/>
    <s v="2023-01-30"/>
    <s v="Abandoned"/>
    <s v="2023-07-08"/>
    <s v="Adopted"/>
    <n v="159"/>
    <x v="2"/>
    <n v="3835"/>
    <n v="1000"/>
    <x v="3"/>
    <s v="Event"/>
    <s v="No"/>
    <s v="Yes"/>
    <s v="No"/>
    <n v="2023"/>
    <s v="January"/>
    <s v="Q1"/>
  </r>
  <r>
    <s v="A0447"/>
    <s v="Paws &amp; Claws Rescue"/>
    <x v="2"/>
    <x v="2"/>
    <s v="Finch"/>
    <x v="2"/>
    <s v="Female"/>
    <n v="2.2000000000000002"/>
    <n v="1.3"/>
    <x v="0"/>
    <s v="2022-04-03"/>
    <s v="Stray"/>
    <s v="2022-08-07"/>
    <s v="Adopted"/>
    <n v="126"/>
    <x v="5"/>
    <n v="1892"/>
    <n v="500"/>
    <x v="3"/>
    <s v="Social Media"/>
    <s v="Yes"/>
    <s v="Yes"/>
    <s v="No"/>
    <n v="2022"/>
    <s v="April"/>
    <s v="Q2"/>
  </r>
  <r>
    <s v="A0448"/>
    <s v="Hope Animal Shelter"/>
    <x v="3"/>
    <x v="0"/>
    <s v="Siamese"/>
    <x v="8"/>
    <s v="Female"/>
    <n v="11.5"/>
    <n v="6.8"/>
    <x v="0"/>
    <s v="2023-09-21"/>
    <s v="Abandoned"/>
    <s v="2024-01-04"/>
    <s v="Adopted"/>
    <n v="105"/>
    <x v="2"/>
    <n v="1741"/>
    <n v="1000"/>
    <x v="2"/>
    <s v="Social Media"/>
    <s v="Yes"/>
    <s v="No"/>
    <s v="Yes"/>
    <n v="2023"/>
    <s v="September"/>
    <s v="Q3"/>
  </r>
  <r>
    <s v="A0449"/>
    <s v="Happy Paws Shelter"/>
    <x v="7"/>
    <x v="1"/>
    <s v="Poodle"/>
    <x v="9"/>
    <s v="Female"/>
    <n v="6.2"/>
    <n v="17.899999999999999"/>
    <x v="3"/>
    <s v="2023-05-06"/>
    <s v="Born in Shelter"/>
    <s v="2023-10-06"/>
    <s v="Returned to Owner"/>
    <n v="153"/>
    <x v="0"/>
    <n v="0"/>
    <n v="1000"/>
    <x v="0"/>
    <s v="Referral"/>
    <s v="Yes"/>
    <s v="No"/>
    <s v="Yes"/>
    <n v="2023"/>
    <s v="May"/>
    <s v="Q2"/>
  </r>
  <r>
    <s v="A0450"/>
    <s v="City Animal Shelter"/>
    <x v="1"/>
    <x v="2"/>
    <s v="Cockatiel"/>
    <x v="7"/>
    <s v="Male"/>
    <n v="6.7"/>
    <n v="27.6"/>
    <x v="2"/>
    <s v="2022-02-08"/>
    <s v="Confiscated"/>
    <s v="2022-04-18"/>
    <s v="Adopted"/>
    <n v="69"/>
    <x v="3"/>
    <n v="1508"/>
    <n v="5000"/>
    <x v="3"/>
    <s v="Website"/>
    <s v="Yes"/>
    <s v="No"/>
    <s v="No"/>
    <n v="2022"/>
    <s v="February"/>
    <s v="Q1"/>
  </r>
  <r>
    <s v="A0451"/>
    <s v="Second Chance Rescue"/>
    <x v="3"/>
    <x v="1"/>
    <s v="Mixed Breed"/>
    <x v="9"/>
    <s v="Female"/>
    <n v="7.5"/>
    <n v="23"/>
    <x v="0"/>
    <s v="2024-07-14"/>
    <s v="Born in Shelter"/>
    <s v="2024-07-25"/>
    <s v="Adopted"/>
    <n v="11"/>
    <x v="1"/>
    <n v="6806"/>
    <n v="5000"/>
    <x v="2"/>
    <s v="Social Media"/>
    <s v="Yes"/>
    <s v="No"/>
    <s v="No"/>
    <n v="2024"/>
    <s v="July"/>
    <s v="Q3"/>
  </r>
  <r>
    <s v="A0452"/>
    <s v="Second Chance Rescue"/>
    <x v="7"/>
    <x v="1"/>
    <s v="Golden Retriever"/>
    <x v="2"/>
    <s v="Male"/>
    <n v="4.8"/>
    <n v="4.7"/>
    <x v="1"/>
    <s v="2024-12-29"/>
    <s v="Born in Shelter"/>
    <s v="2024-12-31"/>
    <s v="Adopted"/>
    <n v="145"/>
    <x v="1"/>
    <n v="5462"/>
    <n v="0"/>
    <x v="4"/>
    <s v="Social Media"/>
    <s v="No"/>
    <s v="No"/>
    <s v="No"/>
    <n v="2024"/>
    <s v="December"/>
    <s v="Q4"/>
  </r>
  <r>
    <s v="A0453"/>
    <s v="Hope Animal Shelter"/>
    <x v="3"/>
    <x v="3"/>
    <s v="Flemish Giant"/>
    <x v="0"/>
    <s v="Female"/>
    <n v="0.3"/>
    <n v="24.4"/>
    <x v="0"/>
    <s v="2023-03-08"/>
    <s v="Stray"/>
    <s v="2023-07-04"/>
    <s v="Euthanized"/>
    <n v="118"/>
    <x v="0"/>
    <n v="0"/>
    <n v="0"/>
    <x v="0"/>
    <s v="Website"/>
    <s v="No"/>
    <s v="No"/>
    <s v="No"/>
    <n v="2023"/>
    <s v="March"/>
    <s v="Q1"/>
  </r>
  <r>
    <s v="A0454"/>
    <s v="Furever Home"/>
    <x v="0"/>
    <x v="2"/>
    <s v="Finch"/>
    <x v="1"/>
    <s v="Female"/>
    <n v="10.7"/>
    <n v="28.7"/>
    <x v="2"/>
    <s v="2022-06-16"/>
    <s v="Born in Shelter"/>
    <s v="2022-11-30"/>
    <s v="Adopted"/>
    <n v="167"/>
    <x v="1"/>
    <n v="2706"/>
    <n v="0"/>
    <x v="2"/>
    <s v="Website"/>
    <s v="Yes"/>
    <s v="Yes"/>
    <s v="No"/>
    <n v="2022"/>
    <s v="June"/>
    <s v="Q2"/>
  </r>
  <r>
    <s v="A0455"/>
    <s v="Hope Animal Shelter"/>
    <x v="2"/>
    <x v="3"/>
    <s v="Mini Rex"/>
    <x v="6"/>
    <s v="Male"/>
    <n v="9.1"/>
    <n v="24"/>
    <x v="2"/>
    <s v="2024-06-29"/>
    <s v="Born in Shelter"/>
    <s v="2024-07-02"/>
    <s v="Returned to Owner"/>
    <n v="3"/>
    <x v="0"/>
    <n v="0"/>
    <n v="0"/>
    <x v="0"/>
    <s v="Social Media"/>
    <s v="Yes"/>
    <s v="Yes"/>
    <s v="No"/>
    <n v="2024"/>
    <s v="June"/>
    <s v="Q2"/>
  </r>
  <r>
    <s v="A0456"/>
    <s v="Furever Home"/>
    <x v="0"/>
    <x v="3"/>
    <s v="Holland Lop"/>
    <x v="8"/>
    <s v="Female"/>
    <n v="2.4"/>
    <n v="28.8"/>
    <x v="0"/>
    <s v="2023-07-29"/>
    <s v="Born in Shelter"/>
    <s v="2023-12-03"/>
    <s v="Returned to Owner"/>
    <n v="127"/>
    <x v="0"/>
    <n v="0"/>
    <n v="0"/>
    <x v="0"/>
    <s v="Website"/>
    <s v="Yes"/>
    <s v="Yes"/>
    <s v="No"/>
    <n v="2023"/>
    <s v="July"/>
    <s v="Q3"/>
  </r>
  <r>
    <s v="A0457"/>
    <s v="Hope Animal Shelter"/>
    <x v="7"/>
    <x v="0"/>
    <s v="Siamese"/>
    <x v="5"/>
    <s v="Female"/>
    <n v="2.4"/>
    <n v="23.9"/>
    <x v="0"/>
    <s v="2023-06-16"/>
    <s v="Transfer from Another Shelter"/>
    <s v="2023-11-09"/>
    <s v="Returned to Owner"/>
    <n v="146"/>
    <x v="0"/>
    <n v="0"/>
    <n v="500"/>
    <x v="0"/>
    <s v="Walk-in"/>
    <s v="Yes"/>
    <s v="No"/>
    <s v="No"/>
    <n v="2023"/>
    <s v="June"/>
    <s v="Q2"/>
  </r>
  <r>
    <s v="A0458"/>
    <s v="Hope Animal Shelter"/>
    <x v="4"/>
    <x v="0"/>
    <s v="Persian"/>
    <x v="9"/>
    <s v="Female"/>
    <n v="6.3"/>
    <n v="2"/>
    <x v="3"/>
    <s v="2024-11-27"/>
    <s v="Born in Shelter"/>
    <s v="2024-12-31"/>
    <s v="Fostered"/>
    <n v="120"/>
    <x v="0"/>
    <n v="0"/>
    <n v="500"/>
    <x v="0"/>
    <s v="Referral"/>
    <s v="Yes"/>
    <s v="Yes"/>
    <s v="No"/>
    <n v="2024"/>
    <s v="November"/>
    <s v="Q4"/>
  </r>
  <r>
    <s v="A0459"/>
    <s v="Second Chance Rescue"/>
    <x v="4"/>
    <x v="1"/>
    <s v="Beagle"/>
    <x v="3"/>
    <s v="Female"/>
    <n v="5.0999999999999996"/>
    <n v="3.1"/>
    <x v="0"/>
    <s v="2022-06-17"/>
    <s v="Stray"/>
    <s v="2022-11-11"/>
    <s v="Adopted"/>
    <n v="147"/>
    <x v="5"/>
    <n v="4848"/>
    <n v="2000"/>
    <x v="1"/>
    <s v="Referral"/>
    <s v="No"/>
    <s v="Yes"/>
    <s v="No"/>
    <n v="2022"/>
    <s v="June"/>
    <s v="Q2"/>
  </r>
  <r>
    <s v="A0460"/>
    <s v="Paws &amp; Claws Rescue"/>
    <x v="4"/>
    <x v="0"/>
    <s v="Siamese"/>
    <x v="4"/>
    <s v="Female"/>
    <n v="10"/>
    <n v="28.8"/>
    <x v="2"/>
    <s v="2022-08-09"/>
    <s v="Stray"/>
    <s v="2022-12-09"/>
    <s v="Returned to Owner"/>
    <n v="122"/>
    <x v="0"/>
    <n v="0"/>
    <n v="500"/>
    <x v="0"/>
    <s v="Referral"/>
    <s v="Yes"/>
    <s v="Yes"/>
    <s v="Yes"/>
    <n v="2022"/>
    <s v="August"/>
    <s v="Q3"/>
  </r>
  <r>
    <s v="A0461"/>
    <s v="City Animal Shelter"/>
    <x v="1"/>
    <x v="1"/>
    <s v="Mixed Breed"/>
    <x v="4"/>
    <s v="Male"/>
    <n v="11"/>
    <n v="15.7"/>
    <x v="4"/>
    <s v="2023-10-04"/>
    <s v="Stray"/>
    <s v="2024-03-30"/>
    <s v="Adopted"/>
    <n v="178"/>
    <x v="3"/>
    <n v="4044"/>
    <n v="0"/>
    <x v="1"/>
    <s v="Social Media"/>
    <s v="No"/>
    <s v="No"/>
    <s v="Yes"/>
    <n v="2023"/>
    <s v="October"/>
    <s v="Q4"/>
  </r>
  <r>
    <s v="A0462"/>
    <s v="Paws &amp; Claws Rescue"/>
    <x v="0"/>
    <x v="1"/>
    <s v="Mixed Breed"/>
    <x v="1"/>
    <s v="Male"/>
    <n v="5.6"/>
    <n v="15.3"/>
    <x v="3"/>
    <s v="2023-04-23"/>
    <s v="Born in Shelter"/>
    <s v="2023-09-24"/>
    <s v="Adopted"/>
    <n v="154"/>
    <x v="1"/>
    <n v="6714"/>
    <n v="500"/>
    <x v="3"/>
    <s v="Walk-in"/>
    <s v="Yes"/>
    <s v="Yes"/>
    <s v="Yes"/>
    <n v="2023"/>
    <s v="April"/>
    <s v="Q2"/>
  </r>
  <r>
    <s v="A0463"/>
    <s v="Paws &amp; Claws Rescue"/>
    <x v="5"/>
    <x v="1"/>
    <s v="Poodle"/>
    <x v="3"/>
    <s v="Male"/>
    <n v="4.3"/>
    <n v="17.100000000000001"/>
    <x v="0"/>
    <s v="2022-09-16"/>
    <s v="Stray"/>
    <s v="2023-02-27"/>
    <s v="Transferred"/>
    <n v="164"/>
    <x v="0"/>
    <n v="0"/>
    <n v="0"/>
    <x v="0"/>
    <s v="Walk-in"/>
    <s v="Yes"/>
    <s v="No"/>
    <s v="No"/>
    <n v="2022"/>
    <s v="September"/>
    <s v="Q3"/>
  </r>
  <r>
    <s v="A0464"/>
    <s v="City Animal Shelter"/>
    <x v="3"/>
    <x v="0"/>
    <s v="Mixed Breed"/>
    <x v="5"/>
    <s v="Male"/>
    <n v="3.8"/>
    <n v="12.3"/>
    <x v="0"/>
    <s v="2024-01-03"/>
    <s v="Owner Surrender"/>
    <s v="2024-03-23"/>
    <s v="Adopted"/>
    <n v="80"/>
    <x v="3"/>
    <n v="2103"/>
    <n v="500"/>
    <x v="1"/>
    <s v="Referral"/>
    <s v="Yes"/>
    <s v="Yes"/>
    <s v="No"/>
    <n v="2024"/>
    <s v="January"/>
    <s v="Q1"/>
  </r>
  <r>
    <s v="A0465"/>
    <s v="Paws &amp; Claws Rescue"/>
    <x v="2"/>
    <x v="1"/>
    <s v="German Shepherd"/>
    <x v="0"/>
    <s v="Female"/>
    <n v="7.2"/>
    <n v="11.9"/>
    <x v="3"/>
    <s v="2023-12-01"/>
    <s v="Abandoned"/>
    <s v="2024-01-19"/>
    <s v="Fostered"/>
    <n v="49"/>
    <x v="0"/>
    <n v="0"/>
    <n v="1000"/>
    <x v="0"/>
    <s v="Website"/>
    <s v="Yes"/>
    <s v="No"/>
    <s v="Yes"/>
    <n v="2023"/>
    <s v="December"/>
    <s v="Q4"/>
  </r>
  <r>
    <s v="A0466"/>
    <s v="Furever Home"/>
    <x v="2"/>
    <x v="1"/>
    <s v="Poodle"/>
    <x v="2"/>
    <s v="Male"/>
    <n v="5.7"/>
    <n v="7.9"/>
    <x v="3"/>
    <s v="2022-01-08"/>
    <s v="Owner Surrender"/>
    <s v="2022-06-21"/>
    <s v="Returned to Owner"/>
    <n v="164"/>
    <x v="0"/>
    <n v="0"/>
    <n v="0"/>
    <x v="0"/>
    <s v="Walk-in"/>
    <s v="Yes"/>
    <s v="Yes"/>
    <s v="Yes"/>
    <n v="2022"/>
    <s v="January"/>
    <s v="Q1"/>
  </r>
  <r>
    <s v="A0467"/>
    <s v="City Animal Shelter"/>
    <x v="3"/>
    <x v="3"/>
    <s v="Holland Lop"/>
    <x v="9"/>
    <s v="Male"/>
    <n v="5.3"/>
    <n v="22.3"/>
    <x v="0"/>
    <s v="2022-08-24"/>
    <s v="Abandoned"/>
    <s v="2022-09-30"/>
    <s v="Transferred"/>
    <n v="37"/>
    <x v="0"/>
    <n v="0"/>
    <n v="0"/>
    <x v="0"/>
    <s v="Website"/>
    <s v="Yes"/>
    <s v="No"/>
    <s v="No"/>
    <n v="2022"/>
    <s v="August"/>
    <s v="Q3"/>
  </r>
  <r>
    <s v="A0468"/>
    <s v="Happy Paws Shelter"/>
    <x v="3"/>
    <x v="3"/>
    <s v="Lionhead"/>
    <x v="3"/>
    <s v="Female"/>
    <n v="2.2000000000000002"/>
    <n v="9.5"/>
    <x v="4"/>
    <s v="2023-05-19"/>
    <s v="Stray"/>
    <s v="2023-07-04"/>
    <s v="Returned to Owner"/>
    <n v="46"/>
    <x v="0"/>
    <n v="0"/>
    <n v="0"/>
    <x v="0"/>
    <s v="Social Media"/>
    <s v="Yes"/>
    <s v="No"/>
    <s v="No"/>
    <n v="2023"/>
    <s v="May"/>
    <s v="Q2"/>
  </r>
  <r>
    <s v="A0469"/>
    <s v="Hope Animal Shelter"/>
    <x v="0"/>
    <x v="1"/>
    <s v="Beagle"/>
    <x v="4"/>
    <s v="Male"/>
    <n v="12"/>
    <n v="30.9"/>
    <x v="0"/>
    <s v="2024-02-02"/>
    <s v="Owner Surrender"/>
    <s v="2024-07-21"/>
    <s v="Adopted"/>
    <n v="170"/>
    <x v="2"/>
    <n v="7316"/>
    <n v="5000"/>
    <x v="2"/>
    <s v="Social Media"/>
    <s v="Yes"/>
    <s v="No"/>
    <s v="No"/>
    <n v="2024"/>
    <s v="February"/>
    <s v="Q1"/>
  </r>
  <r>
    <s v="A0470"/>
    <s v="Happy Paws Shelter"/>
    <x v="7"/>
    <x v="1"/>
    <s v="Labrador"/>
    <x v="3"/>
    <s v="Female"/>
    <n v="9.5"/>
    <n v="11.8"/>
    <x v="0"/>
    <s v="2023-01-23"/>
    <s v="Confiscated"/>
    <s v="2023-06-10"/>
    <s v="Transferred"/>
    <n v="138"/>
    <x v="0"/>
    <n v="0"/>
    <n v="0"/>
    <x v="0"/>
    <s v="Walk-in"/>
    <s v="No"/>
    <s v="No"/>
    <s v="Yes"/>
    <n v="2023"/>
    <s v="January"/>
    <s v="Q1"/>
  </r>
  <r>
    <s v="A0471"/>
    <s v="Paws &amp; Claws Rescue"/>
    <x v="5"/>
    <x v="1"/>
    <s v="Mixed Breed"/>
    <x v="7"/>
    <s v="Female"/>
    <n v="2.2000000000000002"/>
    <n v="25.1"/>
    <x v="0"/>
    <s v="2024-11-08"/>
    <s v="Born in Shelter"/>
    <s v="2024-12-31"/>
    <s v="Fostered"/>
    <n v="96"/>
    <x v="0"/>
    <n v="0"/>
    <n v="1000"/>
    <x v="0"/>
    <s v="Referral"/>
    <s v="Yes"/>
    <s v="Yes"/>
    <s v="No"/>
    <n v="2024"/>
    <s v="November"/>
    <s v="Q4"/>
  </r>
  <r>
    <s v="A0472"/>
    <s v="Second Chance Rescue"/>
    <x v="2"/>
    <x v="1"/>
    <s v="Husky"/>
    <x v="8"/>
    <s v="Male"/>
    <n v="5.2"/>
    <n v="13.5"/>
    <x v="0"/>
    <s v="2023-04-26"/>
    <s v="Stray"/>
    <s v="2023-08-06"/>
    <s v="Returned to Owner"/>
    <n v="102"/>
    <x v="0"/>
    <n v="0"/>
    <n v="500"/>
    <x v="0"/>
    <s v="Social Media"/>
    <s v="No"/>
    <s v="No"/>
    <s v="No"/>
    <n v="2023"/>
    <s v="April"/>
    <s v="Q2"/>
  </r>
  <r>
    <s v="A0473"/>
    <s v="Furever Home"/>
    <x v="2"/>
    <x v="1"/>
    <s v="Labrador"/>
    <x v="7"/>
    <s v="Female"/>
    <n v="5.2"/>
    <n v="16.600000000000001"/>
    <x v="0"/>
    <s v="2024-08-10"/>
    <s v="Transfer from Another Shelter"/>
    <s v="2024-12-20"/>
    <s v="Euthanized"/>
    <n v="132"/>
    <x v="0"/>
    <n v="0"/>
    <n v="0"/>
    <x v="0"/>
    <s v="Walk-in"/>
    <s v="Yes"/>
    <s v="No"/>
    <s v="No"/>
    <n v="2024"/>
    <s v="August"/>
    <s v="Q3"/>
  </r>
  <r>
    <s v="A0474"/>
    <s v="Happy Paws Shelter"/>
    <x v="7"/>
    <x v="0"/>
    <s v="Mixed Breed"/>
    <x v="6"/>
    <s v="Male"/>
    <n v="6.1"/>
    <n v="19.399999999999999"/>
    <x v="0"/>
    <s v="2022-06-05"/>
    <s v="Stray"/>
    <s v="2022-09-05"/>
    <s v="Adopted"/>
    <n v="92"/>
    <x v="1"/>
    <n v="2706"/>
    <n v="5000"/>
    <x v="1"/>
    <s v="Event"/>
    <s v="Yes"/>
    <s v="No"/>
    <s v="No"/>
    <n v="2022"/>
    <s v="June"/>
    <s v="Q2"/>
  </r>
  <r>
    <s v="A0475"/>
    <s v="Second Chance Rescue"/>
    <x v="7"/>
    <x v="3"/>
    <s v="Flemish Giant"/>
    <x v="9"/>
    <s v="Female"/>
    <n v="2.4"/>
    <n v="21.3"/>
    <x v="0"/>
    <s v="2023-09-12"/>
    <s v="Abandoned"/>
    <s v="2024-03-05"/>
    <s v="Transferred"/>
    <n v="175"/>
    <x v="0"/>
    <n v="0"/>
    <n v="0"/>
    <x v="0"/>
    <s v="Referral"/>
    <s v="No"/>
    <s v="No"/>
    <s v="Yes"/>
    <n v="2023"/>
    <s v="September"/>
    <s v="Q3"/>
  </r>
  <r>
    <s v="A0476"/>
    <s v="Paws &amp; Claws Rescue"/>
    <x v="5"/>
    <x v="1"/>
    <s v="Golden Retriever"/>
    <x v="7"/>
    <s v="Female"/>
    <n v="5.7"/>
    <n v="18.3"/>
    <x v="2"/>
    <s v="2024-03-25"/>
    <s v="Stray"/>
    <s v="2024-05-23"/>
    <s v="Returned to Owner"/>
    <n v="59"/>
    <x v="0"/>
    <n v="0"/>
    <n v="0"/>
    <x v="0"/>
    <s v="Social Media"/>
    <s v="Yes"/>
    <s v="No"/>
    <s v="No"/>
    <n v="2024"/>
    <s v="March"/>
    <s v="Q1"/>
  </r>
  <r>
    <s v="A0477"/>
    <s v="Hope Animal Shelter"/>
    <x v="3"/>
    <x v="1"/>
    <s v="Husky"/>
    <x v="7"/>
    <s v="Female"/>
    <n v="7"/>
    <n v="4.9000000000000004"/>
    <x v="0"/>
    <s v="2024-07-10"/>
    <s v="Owner Surrender"/>
    <s v="2024-11-30"/>
    <s v="Adopted"/>
    <n v="143"/>
    <x v="4"/>
    <n v="6069"/>
    <n v="0"/>
    <x v="2"/>
    <s v="Referral"/>
    <s v="Yes"/>
    <s v="No"/>
    <s v="Yes"/>
    <n v="2024"/>
    <s v="July"/>
    <s v="Q3"/>
  </r>
  <r>
    <s v="A0478"/>
    <s v="Paws &amp; Claws Rescue"/>
    <x v="1"/>
    <x v="1"/>
    <s v="Labrador"/>
    <x v="2"/>
    <s v="Male"/>
    <n v="6.9"/>
    <n v="28.1"/>
    <x v="3"/>
    <s v="2022-10-12"/>
    <s v="Stray"/>
    <s v="2022-11-21"/>
    <s v="Euthanized"/>
    <n v="40"/>
    <x v="0"/>
    <n v="0"/>
    <n v="0"/>
    <x v="0"/>
    <s v="Event"/>
    <s v="No"/>
    <s v="Yes"/>
    <s v="No"/>
    <n v="2022"/>
    <s v="October"/>
    <s v="Q4"/>
  </r>
  <r>
    <s v="A0479"/>
    <s v="Paws &amp; Claws Rescue"/>
    <x v="6"/>
    <x v="0"/>
    <s v="Bengal"/>
    <x v="9"/>
    <s v="Female"/>
    <n v="1.2"/>
    <n v="4.0999999999999996"/>
    <x v="0"/>
    <s v="2024-07-13"/>
    <s v="Owner Surrender"/>
    <s v="2024-12-24"/>
    <s v="Transferred"/>
    <n v="164"/>
    <x v="0"/>
    <n v="0"/>
    <n v="0"/>
    <x v="0"/>
    <s v="Website"/>
    <s v="Yes"/>
    <s v="No"/>
    <s v="No"/>
    <n v="2024"/>
    <s v="July"/>
    <s v="Q3"/>
  </r>
  <r>
    <s v="A0480"/>
    <s v="City Animal Shelter"/>
    <x v="1"/>
    <x v="1"/>
    <s v="Poodle"/>
    <x v="2"/>
    <s v="Male"/>
    <n v="4.5"/>
    <n v="0.9"/>
    <x v="0"/>
    <s v="2023-08-20"/>
    <s v="Owner Surrender"/>
    <s v="2024-02-05"/>
    <s v="Adopted"/>
    <n v="169"/>
    <x v="3"/>
    <n v="6724"/>
    <n v="0"/>
    <x v="2"/>
    <s v="Referral"/>
    <s v="Yes"/>
    <s v="No"/>
    <s v="No"/>
    <n v="2023"/>
    <s v="August"/>
    <s v="Q3"/>
  </r>
  <r>
    <s v="A0481"/>
    <s v="Paws &amp; Claws Rescue"/>
    <x v="4"/>
    <x v="1"/>
    <s v="Poodle"/>
    <x v="5"/>
    <s v="Female"/>
    <n v="7.3"/>
    <n v="32.9"/>
    <x v="0"/>
    <s v="2023-09-27"/>
    <s v="Owner Surrender"/>
    <s v="2024-01-16"/>
    <s v="Fostered"/>
    <n v="111"/>
    <x v="0"/>
    <n v="0"/>
    <n v="0"/>
    <x v="0"/>
    <s v="Walk-in"/>
    <s v="Yes"/>
    <s v="No"/>
    <s v="Yes"/>
    <n v="2023"/>
    <s v="September"/>
    <s v="Q3"/>
  </r>
  <r>
    <s v="A0482"/>
    <s v="Furever Home"/>
    <x v="5"/>
    <x v="2"/>
    <s v="Finch"/>
    <x v="0"/>
    <s v="Male"/>
    <n v="10.9"/>
    <n v="30.8"/>
    <x v="4"/>
    <s v="2023-05-21"/>
    <s v="Stray"/>
    <s v="2023-10-03"/>
    <s v="Euthanized"/>
    <n v="135"/>
    <x v="0"/>
    <n v="0"/>
    <n v="0"/>
    <x v="0"/>
    <s v="Social Media"/>
    <s v="No"/>
    <s v="No"/>
    <s v="No"/>
    <n v="2023"/>
    <s v="May"/>
    <s v="Q2"/>
  </r>
  <r>
    <s v="A0483"/>
    <s v="Furever Home"/>
    <x v="1"/>
    <x v="2"/>
    <s v="Finch"/>
    <x v="3"/>
    <s v="Male"/>
    <n v="10.8"/>
    <n v="25.8"/>
    <x v="3"/>
    <s v="2022-12-25"/>
    <s v="Confiscated"/>
    <s v="2023-04-11"/>
    <s v="Returned to Owner"/>
    <n v="107"/>
    <x v="0"/>
    <n v="0"/>
    <n v="0"/>
    <x v="0"/>
    <s v="Walk-in"/>
    <s v="Yes"/>
    <s v="Yes"/>
    <s v="No"/>
    <n v="2022"/>
    <s v="December"/>
    <s v="Q4"/>
  </r>
  <r>
    <s v="A0484"/>
    <s v="Happy Paws Shelter"/>
    <x v="2"/>
    <x v="0"/>
    <s v="Bengal"/>
    <x v="4"/>
    <s v="Male"/>
    <n v="5"/>
    <n v="26.8"/>
    <x v="1"/>
    <s v="2022-05-17"/>
    <s v="Abandoned"/>
    <s v="2022-11-12"/>
    <s v="Returned to Owner"/>
    <n v="179"/>
    <x v="0"/>
    <n v="0"/>
    <n v="1000"/>
    <x v="0"/>
    <s v="Referral"/>
    <s v="No"/>
    <s v="Yes"/>
    <s v="No"/>
    <n v="2022"/>
    <s v="May"/>
    <s v="Q2"/>
  </r>
  <r>
    <s v="A0485"/>
    <s v="Second Chance Rescue"/>
    <x v="1"/>
    <x v="1"/>
    <s v="Labrador"/>
    <x v="9"/>
    <s v="Male"/>
    <n v="4.2"/>
    <n v="14.3"/>
    <x v="0"/>
    <s v="2024-08-04"/>
    <s v="Stray"/>
    <s v="2024-08-11"/>
    <s v="Adopted"/>
    <n v="7"/>
    <x v="2"/>
    <n v="6783"/>
    <n v="500"/>
    <x v="4"/>
    <s v="Referral"/>
    <s v="No"/>
    <s v="No"/>
    <s v="Yes"/>
    <n v="2024"/>
    <s v="August"/>
    <s v="Q3"/>
  </r>
  <r>
    <s v="A0486"/>
    <s v="Happy Paws Shelter"/>
    <x v="0"/>
    <x v="0"/>
    <s v="Maine Coon"/>
    <x v="3"/>
    <s v="Female"/>
    <n v="3.4"/>
    <n v="6.1"/>
    <x v="0"/>
    <s v="2023-05-12"/>
    <s v="Born in Shelter"/>
    <s v="2023-09-02"/>
    <s v="Adopted"/>
    <n v="113"/>
    <x v="4"/>
    <n v="3428"/>
    <n v="5000"/>
    <x v="3"/>
    <s v="Walk-in"/>
    <s v="Yes"/>
    <s v="No"/>
    <s v="No"/>
    <n v="2023"/>
    <s v="May"/>
    <s v="Q2"/>
  </r>
  <r>
    <s v="A0487"/>
    <s v="Furever Home"/>
    <x v="3"/>
    <x v="1"/>
    <s v="Husky"/>
    <x v="5"/>
    <s v="Male"/>
    <n v="10.7"/>
    <n v="18.899999999999999"/>
    <x v="3"/>
    <s v="2024-01-04"/>
    <s v="Confiscated"/>
    <s v="2024-02-19"/>
    <s v="Returned to Owner"/>
    <n v="46"/>
    <x v="0"/>
    <n v="0"/>
    <n v="0"/>
    <x v="0"/>
    <s v="Social Media"/>
    <s v="No"/>
    <s v="Yes"/>
    <s v="Yes"/>
    <n v="2024"/>
    <s v="January"/>
    <s v="Q1"/>
  </r>
  <r>
    <s v="A0488"/>
    <s v="Happy Paws Shelter"/>
    <x v="1"/>
    <x v="1"/>
    <s v="Mixed Breed"/>
    <x v="9"/>
    <s v="Male"/>
    <n v="10.9"/>
    <n v="7.4"/>
    <x v="0"/>
    <s v="2023-02-18"/>
    <s v="Owner Surrender"/>
    <s v="2023-04-23"/>
    <s v="Euthanized"/>
    <n v="64"/>
    <x v="0"/>
    <n v="0"/>
    <n v="0"/>
    <x v="0"/>
    <s v="Walk-in"/>
    <s v="Yes"/>
    <s v="Yes"/>
    <s v="No"/>
    <n v="2023"/>
    <s v="February"/>
    <s v="Q1"/>
  </r>
  <r>
    <s v="A0489"/>
    <s v="Second Chance Rescue"/>
    <x v="1"/>
    <x v="1"/>
    <s v="Labrador"/>
    <x v="2"/>
    <s v="Male"/>
    <n v="6.8"/>
    <n v="7"/>
    <x v="0"/>
    <s v="2024-05-01"/>
    <s v="Owner Surrender"/>
    <s v="2024-09-10"/>
    <s v="Adopted"/>
    <n v="132"/>
    <x v="5"/>
    <n v="5679"/>
    <n v="0"/>
    <x v="4"/>
    <s v="Social Media"/>
    <s v="Yes"/>
    <s v="Yes"/>
    <s v="No"/>
    <n v="2024"/>
    <s v="May"/>
    <s v="Q2"/>
  </r>
  <r>
    <s v="A0490"/>
    <s v="Hope Animal Shelter"/>
    <x v="2"/>
    <x v="3"/>
    <s v="Holland Lop"/>
    <x v="9"/>
    <s v="Male"/>
    <n v="0.9"/>
    <n v="28.6"/>
    <x v="0"/>
    <s v="2024-03-08"/>
    <s v="Transfer from Another Shelter"/>
    <s v="2024-05-02"/>
    <s v="Fostered"/>
    <n v="55"/>
    <x v="0"/>
    <n v="0"/>
    <n v="0"/>
    <x v="0"/>
    <s v="Social Media"/>
    <s v="No"/>
    <s v="Yes"/>
    <s v="No"/>
    <n v="2024"/>
    <s v="March"/>
    <s v="Q1"/>
  </r>
  <r>
    <s v="A0491"/>
    <s v="Hope Animal Shelter"/>
    <x v="6"/>
    <x v="0"/>
    <s v="Persian"/>
    <x v="1"/>
    <s v="Male"/>
    <n v="8.1999999999999993"/>
    <n v="34"/>
    <x v="4"/>
    <s v="2023-10-27"/>
    <s v="Confiscated"/>
    <s v="2024-04-06"/>
    <s v="Still in Shelter"/>
    <n v="162"/>
    <x v="0"/>
    <n v="0"/>
    <n v="0"/>
    <x v="0"/>
    <s v="Social Media"/>
    <s v="No"/>
    <s v="Yes"/>
    <s v="No"/>
    <n v="2023"/>
    <s v="October"/>
    <s v="Q4"/>
  </r>
  <r>
    <s v="A0492"/>
    <s v="Happy Paws Shelter"/>
    <x v="7"/>
    <x v="1"/>
    <s v="Husky"/>
    <x v="6"/>
    <s v="Female"/>
    <n v="2.9"/>
    <n v="21.8"/>
    <x v="2"/>
    <s v="2024-02-23"/>
    <s v="Owner Surrender"/>
    <s v="2024-07-03"/>
    <s v="Returned to Owner"/>
    <n v="131"/>
    <x v="0"/>
    <n v="0"/>
    <n v="0"/>
    <x v="0"/>
    <s v="Event"/>
    <s v="Yes"/>
    <s v="Yes"/>
    <s v="No"/>
    <n v="2024"/>
    <s v="February"/>
    <s v="Q1"/>
  </r>
  <r>
    <s v="A0493"/>
    <s v="Hope Animal Shelter"/>
    <x v="5"/>
    <x v="3"/>
    <s v="Dutch"/>
    <x v="1"/>
    <s v="Male"/>
    <n v="7.7"/>
    <n v="8.6999999999999993"/>
    <x v="0"/>
    <s v="2023-08-31"/>
    <s v="Abandoned"/>
    <s v="2023-10-22"/>
    <s v="Adopted"/>
    <n v="52"/>
    <x v="5"/>
    <n v="2039"/>
    <n v="0"/>
    <x v="2"/>
    <s v="Social Media"/>
    <s v="Yes"/>
    <s v="Yes"/>
    <s v="No"/>
    <n v="2023"/>
    <s v="August"/>
    <s v="Q3"/>
  </r>
  <r>
    <s v="A0494"/>
    <s v="Paws &amp; Claws Rescue"/>
    <x v="1"/>
    <x v="3"/>
    <s v="Mini Rex"/>
    <x v="5"/>
    <s v="Female"/>
    <n v="8.3000000000000007"/>
    <n v="25.3"/>
    <x v="0"/>
    <s v="2023-02-26"/>
    <s v="Transfer from Another Shelter"/>
    <s v="2023-07-15"/>
    <s v="Adopted"/>
    <n v="139"/>
    <x v="5"/>
    <n v="1517"/>
    <n v="5000"/>
    <x v="1"/>
    <s v="Referral"/>
    <s v="Yes"/>
    <s v="Yes"/>
    <s v="Yes"/>
    <n v="2023"/>
    <s v="February"/>
    <s v="Q1"/>
  </r>
  <r>
    <s v="A0495"/>
    <s v="Second Chance Rescue"/>
    <x v="0"/>
    <x v="1"/>
    <s v="Poodle"/>
    <x v="2"/>
    <s v="Female"/>
    <n v="10"/>
    <n v="32.6"/>
    <x v="0"/>
    <s v="2022-09-15"/>
    <s v="Owner Surrender"/>
    <s v="2022-10-09"/>
    <s v="Adopted"/>
    <n v="24"/>
    <x v="2"/>
    <n v="7854"/>
    <n v="1000"/>
    <x v="3"/>
    <s v="Referral"/>
    <s v="Yes"/>
    <s v="No"/>
    <s v="No"/>
    <n v="2022"/>
    <s v="September"/>
    <s v="Q3"/>
  </r>
  <r>
    <s v="A0496"/>
    <s v="City Animal Shelter"/>
    <x v="1"/>
    <x v="0"/>
    <s v="Bengal"/>
    <x v="2"/>
    <s v="Male"/>
    <n v="10.4"/>
    <n v="17.100000000000001"/>
    <x v="3"/>
    <s v="2024-07-07"/>
    <s v="Transfer from Another Shelter"/>
    <s v="2024-12-17"/>
    <s v="Returned to Owner"/>
    <n v="163"/>
    <x v="0"/>
    <n v="0"/>
    <n v="500"/>
    <x v="0"/>
    <s v="Referral"/>
    <s v="No"/>
    <s v="Yes"/>
    <s v="No"/>
    <n v="2024"/>
    <s v="July"/>
    <s v="Q3"/>
  </r>
  <r>
    <s v="A0497"/>
    <s v="Hope Animal Shelter"/>
    <x v="6"/>
    <x v="1"/>
    <s v="Mixed Breed"/>
    <x v="8"/>
    <s v="Female"/>
    <n v="7.2"/>
    <n v="5.8"/>
    <x v="3"/>
    <s v="2024-05-25"/>
    <s v="Abandoned"/>
    <s v="2024-06-16"/>
    <s v="Transferred"/>
    <n v="22"/>
    <x v="0"/>
    <n v="0"/>
    <n v="0"/>
    <x v="0"/>
    <s v="Referral"/>
    <s v="Yes"/>
    <s v="No"/>
    <s v="No"/>
    <n v="2024"/>
    <s v="May"/>
    <s v="Q2"/>
  </r>
  <r>
    <s v="A0498"/>
    <s v="Paws &amp; Claws Rescue"/>
    <x v="2"/>
    <x v="0"/>
    <s v="Bengal"/>
    <x v="7"/>
    <s v="Female"/>
    <n v="11"/>
    <n v="0.6"/>
    <x v="3"/>
    <s v="2022-10-07"/>
    <s v="Transfer from Another Shelter"/>
    <s v="2023-02-05"/>
    <s v="Returned to Owner"/>
    <n v="121"/>
    <x v="0"/>
    <n v="0"/>
    <n v="0"/>
    <x v="0"/>
    <s v="Social Media"/>
    <s v="No"/>
    <s v="No"/>
    <s v="No"/>
    <n v="2022"/>
    <s v="October"/>
    <s v="Q4"/>
  </r>
  <r>
    <s v="A0499"/>
    <s v="City Animal Shelter"/>
    <x v="2"/>
    <x v="1"/>
    <s v="German Shepherd"/>
    <x v="5"/>
    <s v="Female"/>
    <n v="2"/>
    <n v="26.8"/>
    <x v="4"/>
    <s v="2024-04-17"/>
    <s v="Confiscated"/>
    <s v="2024-04-27"/>
    <s v="Adopted"/>
    <n v="10"/>
    <x v="1"/>
    <n v="6152"/>
    <n v="1000"/>
    <x v="1"/>
    <s v="Referral"/>
    <s v="No"/>
    <s v="No"/>
    <s v="No"/>
    <n v="2024"/>
    <s v="April"/>
    <s v="Q2"/>
  </r>
  <r>
    <s v="A0500"/>
    <s v="Second Chance Rescue"/>
    <x v="7"/>
    <x v="1"/>
    <s v="Husky"/>
    <x v="6"/>
    <s v="Male"/>
    <n v="7.3"/>
    <n v="33.1"/>
    <x v="0"/>
    <s v="2022-03-12"/>
    <s v="Stray"/>
    <s v="2022-06-13"/>
    <s v="Adopted"/>
    <n v="93"/>
    <x v="5"/>
    <n v="4211"/>
    <n v="0"/>
    <x v="2"/>
    <s v="Referral"/>
    <s v="Yes"/>
    <s v="No"/>
    <s v="No"/>
    <n v="2022"/>
    <s v="March"/>
    <s v="Q1"/>
  </r>
  <r>
    <s v="A0501"/>
    <s v="Furever Home"/>
    <x v="7"/>
    <x v="2"/>
    <s v="Cockatiel"/>
    <x v="2"/>
    <s v="Male"/>
    <n v="6.1"/>
    <n v="18.899999999999999"/>
    <x v="0"/>
    <s v="2024-05-24"/>
    <s v="Confiscated"/>
    <s v="2024-07-28"/>
    <s v="Transferred"/>
    <n v="65"/>
    <x v="0"/>
    <n v="0"/>
    <n v="0"/>
    <x v="0"/>
    <s v="Event"/>
    <s v="Yes"/>
    <s v="Yes"/>
    <s v="No"/>
    <n v="2024"/>
    <s v="May"/>
    <s v="Q2"/>
  </r>
  <r>
    <s v="A0502"/>
    <s v="Furever Home"/>
    <x v="1"/>
    <x v="1"/>
    <s v="Mixed Breed"/>
    <x v="8"/>
    <s v="Female"/>
    <n v="1.3"/>
    <n v="27.2"/>
    <x v="0"/>
    <s v="2023-09-23"/>
    <s v="Owner Surrender"/>
    <s v="2023-09-25"/>
    <s v="Adopted"/>
    <n v="2"/>
    <x v="1"/>
    <n v="7028"/>
    <n v="0"/>
    <x v="3"/>
    <s v="Website"/>
    <s v="Yes"/>
    <s v="No"/>
    <s v="No"/>
    <n v="2023"/>
    <s v="September"/>
    <s v="Q3"/>
  </r>
  <r>
    <s v="A0503"/>
    <s v="Second Chance Rescue"/>
    <x v="7"/>
    <x v="0"/>
    <s v="Persian"/>
    <x v="2"/>
    <s v="Female"/>
    <n v="2.5"/>
    <n v="26.4"/>
    <x v="4"/>
    <s v="2024-07-11"/>
    <s v="Born in Shelter"/>
    <s v="2024-12-04"/>
    <s v="Returned to Owner"/>
    <n v="146"/>
    <x v="0"/>
    <n v="0"/>
    <n v="0"/>
    <x v="0"/>
    <s v="Walk-in"/>
    <s v="Yes"/>
    <s v="Yes"/>
    <s v="No"/>
    <n v="2024"/>
    <s v="July"/>
    <s v="Q3"/>
  </r>
  <r>
    <s v="A0504"/>
    <s v="Hope Animal Shelter"/>
    <x v="0"/>
    <x v="0"/>
    <s v="Domestic Shorthair"/>
    <x v="9"/>
    <s v="Male"/>
    <n v="7.1"/>
    <n v="17"/>
    <x v="0"/>
    <s v="2022-09-13"/>
    <s v="Stray"/>
    <s v="2022-11-23"/>
    <s v="Adopted"/>
    <n v="71"/>
    <x v="3"/>
    <n v="2901"/>
    <n v="0"/>
    <x v="1"/>
    <s v="Walk-in"/>
    <s v="Yes"/>
    <s v="No"/>
    <s v="Yes"/>
    <n v="2022"/>
    <s v="September"/>
    <s v="Q3"/>
  </r>
  <r>
    <s v="A0505"/>
    <s v="City Animal Shelter"/>
    <x v="2"/>
    <x v="2"/>
    <s v="Finch"/>
    <x v="1"/>
    <s v="Female"/>
    <n v="9.1"/>
    <n v="21.4"/>
    <x v="2"/>
    <s v="2024-12-01"/>
    <s v="Owner Surrender"/>
    <s v="2024-12-31"/>
    <s v="Fostered"/>
    <n v="69"/>
    <x v="0"/>
    <n v="0"/>
    <n v="1000"/>
    <x v="0"/>
    <s v="Social Media"/>
    <s v="No"/>
    <s v="No"/>
    <s v="Yes"/>
    <n v="2024"/>
    <s v="December"/>
    <s v="Q4"/>
  </r>
  <r>
    <s v="A0506"/>
    <s v="Second Chance Rescue"/>
    <x v="3"/>
    <x v="3"/>
    <s v="Flemish Giant"/>
    <x v="0"/>
    <s v="Male"/>
    <n v="8.6999999999999993"/>
    <n v="31.1"/>
    <x v="2"/>
    <s v="2022-07-25"/>
    <s v="Born in Shelter"/>
    <s v="2022-07-26"/>
    <s v="Fostered"/>
    <n v="1"/>
    <x v="0"/>
    <n v="0"/>
    <n v="1000"/>
    <x v="0"/>
    <s v="Social Media"/>
    <s v="Yes"/>
    <s v="No"/>
    <s v="No"/>
    <n v="2022"/>
    <s v="July"/>
    <s v="Q3"/>
  </r>
  <r>
    <s v="A0507"/>
    <s v="City Animal Shelter"/>
    <x v="3"/>
    <x v="1"/>
    <s v="Husky"/>
    <x v="1"/>
    <s v="Male"/>
    <n v="11.8"/>
    <n v="33.5"/>
    <x v="2"/>
    <s v="2024-11-20"/>
    <s v="Confiscated"/>
    <s v="2024-12-31"/>
    <s v="Returned to Owner"/>
    <n v="106"/>
    <x v="0"/>
    <n v="0"/>
    <n v="0"/>
    <x v="0"/>
    <s v="Social Media"/>
    <s v="No"/>
    <s v="Yes"/>
    <s v="No"/>
    <n v="2024"/>
    <s v="November"/>
    <s v="Q4"/>
  </r>
  <r>
    <s v="A0508"/>
    <s v="Furever Home"/>
    <x v="0"/>
    <x v="2"/>
    <s v="Finch"/>
    <x v="2"/>
    <s v="Female"/>
    <n v="11.3"/>
    <n v="33"/>
    <x v="1"/>
    <s v="2022-06-16"/>
    <s v="Owner Surrender"/>
    <s v="2022-09-14"/>
    <s v="Still in Shelter"/>
    <n v="90"/>
    <x v="0"/>
    <n v="0"/>
    <n v="0"/>
    <x v="0"/>
    <s v="Website"/>
    <s v="Yes"/>
    <s v="Yes"/>
    <s v="No"/>
    <n v="2022"/>
    <s v="June"/>
    <s v="Q2"/>
  </r>
  <r>
    <s v="A0509"/>
    <s v="Second Chance Rescue"/>
    <x v="4"/>
    <x v="0"/>
    <s v="Bengal"/>
    <x v="3"/>
    <s v="Male"/>
    <n v="5.8"/>
    <n v="19.2"/>
    <x v="0"/>
    <s v="2024-08-14"/>
    <s v="Transfer from Another Shelter"/>
    <s v="2024-09-27"/>
    <s v="Fostered"/>
    <n v="44"/>
    <x v="0"/>
    <n v="0"/>
    <n v="0"/>
    <x v="0"/>
    <s v="Walk-in"/>
    <s v="Yes"/>
    <s v="No"/>
    <s v="No"/>
    <n v="2024"/>
    <s v="August"/>
    <s v="Q3"/>
  </r>
  <r>
    <s v="A0510"/>
    <s v="Hope Animal Shelter"/>
    <x v="5"/>
    <x v="0"/>
    <s v="Siamese"/>
    <x v="4"/>
    <s v="Female"/>
    <n v="8"/>
    <n v="32.299999999999997"/>
    <x v="2"/>
    <s v="2023-06-12"/>
    <s v="Owner Surrender"/>
    <s v="2023-11-30"/>
    <s v="Fostered"/>
    <n v="171"/>
    <x v="0"/>
    <n v="0"/>
    <n v="0"/>
    <x v="0"/>
    <s v="Event"/>
    <s v="Yes"/>
    <s v="No"/>
    <s v="No"/>
    <n v="2023"/>
    <s v="June"/>
    <s v="Q2"/>
  </r>
  <r>
    <s v="A0511"/>
    <s v="Happy Paws Shelter"/>
    <x v="2"/>
    <x v="2"/>
    <s v="Lovebird"/>
    <x v="0"/>
    <s v="Male"/>
    <n v="1.5"/>
    <n v="3.5"/>
    <x v="4"/>
    <s v="2024-06-13"/>
    <s v="Stray"/>
    <s v="2024-08-12"/>
    <s v="Returned to Owner"/>
    <n v="60"/>
    <x v="0"/>
    <n v="0"/>
    <n v="500"/>
    <x v="0"/>
    <s v="Event"/>
    <s v="Yes"/>
    <s v="Yes"/>
    <s v="No"/>
    <n v="2024"/>
    <s v="June"/>
    <s v="Q2"/>
  </r>
  <r>
    <s v="A0512"/>
    <s v="Furever Home"/>
    <x v="2"/>
    <x v="2"/>
    <s v="Finch"/>
    <x v="1"/>
    <s v="Male"/>
    <n v="2.4"/>
    <n v="13.9"/>
    <x v="1"/>
    <s v="2022-01-04"/>
    <s v="Confiscated"/>
    <s v="2022-03-25"/>
    <s v="Adopted"/>
    <n v="80"/>
    <x v="3"/>
    <n v="2916"/>
    <n v="1000"/>
    <x v="3"/>
    <s v="Walk-in"/>
    <s v="No"/>
    <s v="Yes"/>
    <s v="No"/>
    <n v="2022"/>
    <s v="January"/>
    <s v="Q1"/>
  </r>
  <r>
    <s v="A0513"/>
    <s v="Hope Animal Shelter"/>
    <x v="3"/>
    <x v="3"/>
    <s v="Mini Rex"/>
    <x v="0"/>
    <s v="Female"/>
    <n v="1.9"/>
    <n v="10.3"/>
    <x v="0"/>
    <s v="2023-08-31"/>
    <s v="Born in Shelter"/>
    <s v="2023-10-27"/>
    <s v="Fostered"/>
    <n v="57"/>
    <x v="0"/>
    <n v="0"/>
    <n v="1000"/>
    <x v="0"/>
    <s v="Walk-in"/>
    <s v="Yes"/>
    <s v="No"/>
    <s v="No"/>
    <n v="2023"/>
    <s v="August"/>
    <s v="Q3"/>
  </r>
  <r>
    <s v="A0514"/>
    <s v="Hope Animal Shelter"/>
    <x v="4"/>
    <x v="1"/>
    <s v="Husky"/>
    <x v="9"/>
    <s v="Male"/>
    <n v="10"/>
    <n v="7.8"/>
    <x v="2"/>
    <s v="2023-08-20"/>
    <s v="Transfer from Another Shelter"/>
    <s v="2023-11-25"/>
    <s v="Adopted"/>
    <n v="97"/>
    <x v="4"/>
    <n v="5729"/>
    <n v="0"/>
    <x v="4"/>
    <s v="Website"/>
    <s v="Yes"/>
    <s v="No"/>
    <s v="No"/>
    <n v="2023"/>
    <s v="August"/>
    <s v="Q3"/>
  </r>
  <r>
    <s v="A0515"/>
    <s v="City Animal Shelter"/>
    <x v="7"/>
    <x v="3"/>
    <s v="Dutch"/>
    <x v="6"/>
    <s v="Female"/>
    <n v="4.8"/>
    <n v="18.7"/>
    <x v="0"/>
    <s v="2024-08-27"/>
    <s v="Owner Surrender"/>
    <s v="2024-11-25"/>
    <s v="Still in Shelter"/>
    <n v="90"/>
    <x v="0"/>
    <n v="0"/>
    <n v="0"/>
    <x v="0"/>
    <s v="Social Media"/>
    <s v="Yes"/>
    <s v="No"/>
    <s v="No"/>
    <n v="2024"/>
    <s v="August"/>
    <s v="Q3"/>
  </r>
  <r>
    <s v="A0516"/>
    <s v="Hope Animal Shelter"/>
    <x v="4"/>
    <x v="1"/>
    <s v="Golden Retriever"/>
    <x v="9"/>
    <s v="Female"/>
    <n v="10.8"/>
    <n v="7.7"/>
    <x v="4"/>
    <s v="2022-10-09"/>
    <s v="Born in Shelter"/>
    <s v="2023-01-31"/>
    <s v="Fostered"/>
    <n v="114"/>
    <x v="0"/>
    <n v="0"/>
    <n v="500"/>
    <x v="0"/>
    <s v="Walk-in"/>
    <s v="Yes"/>
    <s v="No"/>
    <s v="No"/>
    <n v="2022"/>
    <s v="October"/>
    <s v="Q4"/>
  </r>
  <r>
    <s v="A0517"/>
    <s v="Paws &amp; Claws Rescue"/>
    <x v="2"/>
    <x v="1"/>
    <s v="Labrador"/>
    <x v="0"/>
    <s v="Female"/>
    <n v="11.3"/>
    <n v="4.5"/>
    <x v="0"/>
    <s v="2022-07-16"/>
    <s v="Confiscated"/>
    <s v="2022-10-16"/>
    <s v="Fostered"/>
    <n v="92"/>
    <x v="0"/>
    <n v="0"/>
    <n v="0"/>
    <x v="0"/>
    <s v="Referral"/>
    <s v="Yes"/>
    <s v="Yes"/>
    <s v="Yes"/>
    <n v="2022"/>
    <s v="July"/>
    <s v="Q3"/>
  </r>
  <r>
    <s v="A0518"/>
    <s v="Hope Animal Shelter"/>
    <x v="0"/>
    <x v="1"/>
    <s v="Mixed Breed"/>
    <x v="7"/>
    <s v="Female"/>
    <n v="8.3000000000000007"/>
    <n v="27.9"/>
    <x v="0"/>
    <s v="2024-09-27"/>
    <s v="Confiscated"/>
    <s v="2024-12-14"/>
    <s v="Adopted"/>
    <n v="78"/>
    <x v="4"/>
    <n v="6075"/>
    <n v="5000"/>
    <x v="4"/>
    <s v="Walk-in"/>
    <s v="Yes"/>
    <s v="Yes"/>
    <s v="Yes"/>
    <n v="2024"/>
    <s v="September"/>
    <s v="Q3"/>
  </r>
  <r>
    <s v="A0519"/>
    <s v="Hope Animal Shelter"/>
    <x v="0"/>
    <x v="0"/>
    <s v="Domestic Shorthair"/>
    <x v="0"/>
    <s v="Male"/>
    <n v="11.8"/>
    <n v="17"/>
    <x v="3"/>
    <s v="2024-11-09"/>
    <s v="Transfer from Another Shelter"/>
    <s v="2024-12-31"/>
    <s v="Adopted"/>
    <n v="58"/>
    <x v="4"/>
    <n v="3903"/>
    <n v="1000"/>
    <x v="4"/>
    <s v="Event"/>
    <s v="Yes"/>
    <s v="Yes"/>
    <s v="No"/>
    <n v="2024"/>
    <s v="November"/>
    <s v="Q4"/>
  </r>
  <r>
    <s v="A0520"/>
    <s v="Paws &amp; Claws Rescue"/>
    <x v="5"/>
    <x v="0"/>
    <s v="Mixed Breed"/>
    <x v="4"/>
    <s v="Male"/>
    <n v="9.8000000000000007"/>
    <n v="27.5"/>
    <x v="2"/>
    <s v="2023-01-14"/>
    <s v="Owner Surrender"/>
    <s v="2023-04-28"/>
    <s v="Adopted"/>
    <n v="104"/>
    <x v="5"/>
    <n v="3112"/>
    <n v="1000"/>
    <x v="3"/>
    <s v="Event"/>
    <s v="Yes"/>
    <s v="Yes"/>
    <s v="No"/>
    <n v="2023"/>
    <s v="January"/>
    <s v="Q1"/>
  </r>
  <r>
    <s v="A0521"/>
    <s v="Happy Paws Shelter"/>
    <x v="0"/>
    <x v="3"/>
    <s v="Holland Lop"/>
    <x v="4"/>
    <s v="Female"/>
    <n v="1.1000000000000001"/>
    <n v="9.4"/>
    <x v="0"/>
    <s v="2022-03-22"/>
    <s v="Born in Shelter"/>
    <s v="2022-04-24"/>
    <s v="Returned to Owner"/>
    <n v="33"/>
    <x v="0"/>
    <n v="0"/>
    <n v="0"/>
    <x v="0"/>
    <s v="Website"/>
    <s v="No"/>
    <s v="No"/>
    <s v="Yes"/>
    <n v="2022"/>
    <s v="March"/>
    <s v="Q1"/>
  </r>
  <r>
    <s v="A0522"/>
    <s v="Paws &amp; Claws Rescue"/>
    <x v="5"/>
    <x v="1"/>
    <s v="Bulldog"/>
    <x v="1"/>
    <s v="Female"/>
    <n v="7.9"/>
    <n v="15.8"/>
    <x v="1"/>
    <s v="2022-04-05"/>
    <s v="Born in Shelter"/>
    <s v="2022-08-16"/>
    <s v="Transferred"/>
    <n v="133"/>
    <x v="0"/>
    <n v="0"/>
    <n v="0"/>
    <x v="0"/>
    <s v="Event"/>
    <s v="Yes"/>
    <s v="No"/>
    <s v="Yes"/>
    <n v="2022"/>
    <s v="April"/>
    <s v="Q2"/>
  </r>
  <r>
    <s v="A0523"/>
    <s v="Paws &amp; Claws Rescue"/>
    <x v="4"/>
    <x v="1"/>
    <s v="Poodle"/>
    <x v="0"/>
    <s v="Female"/>
    <n v="10"/>
    <n v="33.5"/>
    <x v="0"/>
    <s v="2022-03-17"/>
    <s v="Owner Surrender"/>
    <s v="2022-05-05"/>
    <s v="Adopted"/>
    <n v="49"/>
    <x v="3"/>
    <n v="5455"/>
    <n v="5000"/>
    <x v="2"/>
    <s v="Walk-in"/>
    <s v="Yes"/>
    <s v="No"/>
    <s v="No"/>
    <n v="2022"/>
    <s v="March"/>
    <s v="Q1"/>
  </r>
  <r>
    <s v="A0524"/>
    <s v="Second Chance Rescue"/>
    <x v="4"/>
    <x v="1"/>
    <s v="Mixed Breed"/>
    <x v="4"/>
    <s v="Female"/>
    <n v="8.1999999999999993"/>
    <n v="32.9"/>
    <x v="4"/>
    <s v="2024-07-23"/>
    <s v="Confiscated"/>
    <s v="2024-08-14"/>
    <s v="Transferred"/>
    <n v="22"/>
    <x v="0"/>
    <n v="0"/>
    <n v="0"/>
    <x v="0"/>
    <s v="Website"/>
    <s v="Yes"/>
    <s v="No"/>
    <s v="No"/>
    <n v="2024"/>
    <s v="July"/>
    <s v="Q3"/>
  </r>
  <r>
    <s v="A0525"/>
    <s v="Happy Paws Shelter"/>
    <x v="7"/>
    <x v="2"/>
    <s v="Cockatiel"/>
    <x v="4"/>
    <s v="Male"/>
    <n v="0.4"/>
    <n v="21.3"/>
    <x v="4"/>
    <s v="2023-10-10"/>
    <s v="Born in Shelter"/>
    <s v="2024-01-30"/>
    <s v="Still in Shelter"/>
    <n v="112"/>
    <x v="0"/>
    <n v="0"/>
    <n v="0"/>
    <x v="0"/>
    <s v="Referral"/>
    <s v="Yes"/>
    <s v="No"/>
    <s v="Yes"/>
    <n v="2023"/>
    <s v="October"/>
    <s v="Q4"/>
  </r>
  <r>
    <s v="A0526"/>
    <s v="Second Chance Rescue"/>
    <x v="1"/>
    <x v="3"/>
    <s v="Flemish Giant"/>
    <x v="4"/>
    <s v="Male"/>
    <n v="0.2"/>
    <n v="13.5"/>
    <x v="0"/>
    <s v="2023-07-14"/>
    <s v="Born in Shelter"/>
    <s v="2023-08-21"/>
    <s v="Returned to Owner"/>
    <n v="38"/>
    <x v="0"/>
    <n v="0"/>
    <n v="500"/>
    <x v="0"/>
    <s v="Social Media"/>
    <s v="No"/>
    <s v="Yes"/>
    <s v="No"/>
    <n v="2023"/>
    <s v="July"/>
    <s v="Q3"/>
  </r>
  <r>
    <s v="A0527"/>
    <s v="Second Chance Rescue"/>
    <x v="2"/>
    <x v="1"/>
    <s v="Bulldog"/>
    <x v="5"/>
    <s v="Female"/>
    <n v="3.9"/>
    <n v="26.4"/>
    <x v="3"/>
    <s v="2023-07-10"/>
    <s v="Born in Shelter"/>
    <s v="2023-12-13"/>
    <s v="Adopted"/>
    <n v="156"/>
    <x v="2"/>
    <n v="3392"/>
    <n v="0"/>
    <x v="4"/>
    <s v="Walk-in"/>
    <s v="Yes"/>
    <s v="No"/>
    <s v="No"/>
    <n v="2023"/>
    <s v="July"/>
    <s v="Q3"/>
  </r>
  <r>
    <s v="A0528"/>
    <s v="Paws &amp; Claws Rescue"/>
    <x v="1"/>
    <x v="1"/>
    <s v="Mixed Breed"/>
    <x v="7"/>
    <s v="Male"/>
    <n v="8.5"/>
    <n v="9.1"/>
    <x v="3"/>
    <s v="2023-07-02"/>
    <s v="Abandoned"/>
    <s v="2023-07-16"/>
    <s v="Euthanized"/>
    <n v="14"/>
    <x v="0"/>
    <n v="0"/>
    <n v="0"/>
    <x v="0"/>
    <s v="Referral"/>
    <s v="Yes"/>
    <s v="No"/>
    <s v="No"/>
    <n v="2023"/>
    <s v="July"/>
    <s v="Q3"/>
  </r>
  <r>
    <s v="A0529"/>
    <s v="Hope Animal Shelter"/>
    <x v="0"/>
    <x v="0"/>
    <s v="Mixed Breed"/>
    <x v="4"/>
    <s v="Male"/>
    <n v="9.3000000000000007"/>
    <n v="29.7"/>
    <x v="0"/>
    <s v="2023-04-14"/>
    <s v="Owner Surrender"/>
    <s v="2023-07-02"/>
    <s v="Adopted"/>
    <n v="79"/>
    <x v="3"/>
    <n v="2751"/>
    <n v="500"/>
    <x v="1"/>
    <s v="Walk-in"/>
    <s v="Yes"/>
    <s v="No"/>
    <s v="No"/>
    <n v="2023"/>
    <s v="April"/>
    <s v="Q2"/>
  </r>
  <r>
    <s v="A0530"/>
    <s v="Paws &amp; Claws Rescue"/>
    <x v="0"/>
    <x v="1"/>
    <s v="Mixed Breed"/>
    <x v="2"/>
    <s v="Male"/>
    <n v="6.2"/>
    <n v="34.9"/>
    <x v="1"/>
    <s v="2024-11-07"/>
    <s v="Owner Surrender"/>
    <s v="2024-12-12"/>
    <s v="Fostered"/>
    <n v="35"/>
    <x v="0"/>
    <n v="0"/>
    <n v="1000"/>
    <x v="0"/>
    <s v="Walk-in"/>
    <s v="No"/>
    <s v="No"/>
    <s v="No"/>
    <n v="2024"/>
    <s v="November"/>
    <s v="Q4"/>
  </r>
  <r>
    <s v="A0531"/>
    <s v="Paws &amp; Claws Rescue"/>
    <x v="2"/>
    <x v="1"/>
    <s v="Labrador"/>
    <x v="9"/>
    <s v="Female"/>
    <n v="1"/>
    <n v="29.5"/>
    <x v="3"/>
    <s v="2024-07-07"/>
    <s v="Transfer from Another Shelter"/>
    <s v="2024-08-20"/>
    <s v="Returned to Owner"/>
    <n v="44"/>
    <x v="0"/>
    <n v="0"/>
    <n v="0"/>
    <x v="0"/>
    <s v="Website"/>
    <s v="Yes"/>
    <s v="Yes"/>
    <s v="No"/>
    <n v="2024"/>
    <s v="July"/>
    <s v="Q3"/>
  </r>
  <r>
    <s v="A0532"/>
    <s v="Hope Animal Shelter"/>
    <x v="1"/>
    <x v="1"/>
    <s v="German Shepherd"/>
    <x v="6"/>
    <s v="Female"/>
    <n v="3.3"/>
    <n v="0.6"/>
    <x v="4"/>
    <s v="2023-08-18"/>
    <s v="Born in Shelter"/>
    <s v="2023-11-03"/>
    <s v="Fostered"/>
    <n v="77"/>
    <x v="0"/>
    <n v="0"/>
    <n v="500"/>
    <x v="0"/>
    <s v="Walk-in"/>
    <s v="No"/>
    <s v="No"/>
    <s v="No"/>
    <n v="2023"/>
    <s v="August"/>
    <s v="Q3"/>
  </r>
  <r>
    <s v="A0533"/>
    <s v="City Animal Shelter"/>
    <x v="6"/>
    <x v="1"/>
    <s v="Beagle"/>
    <x v="2"/>
    <s v="Female"/>
    <n v="3.7"/>
    <n v="4.2"/>
    <x v="0"/>
    <s v="2022-01-13"/>
    <s v="Stray"/>
    <s v="2022-06-20"/>
    <s v="Fostered"/>
    <n v="158"/>
    <x v="0"/>
    <n v="0"/>
    <n v="500"/>
    <x v="0"/>
    <s v="Referral"/>
    <s v="No"/>
    <s v="Yes"/>
    <s v="Yes"/>
    <n v="2022"/>
    <s v="January"/>
    <s v="Q1"/>
  </r>
  <r>
    <s v="A0534"/>
    <s v="Second Chance Rescue"/>
    <x v="5"/>
    <x v="0"/>
    <s v="Maine Coon"/>
    <x v="2"/>
    <s v="Female"/>
    <n v="2"/>
    <n v="23.2"/>
    <x v="0"/>
    <s v="2022-11-11"/>
    <s v="Abandoned"/>
    <s v="2023-02-25"/>
    <s v="Adopted"/>
    <n v="106"/>
    <x v="4"/>
    <n v="3496"/>
    <n v="0"/>
    <x v="3"/>
    <s v="Event"/>
    <s v="Yes"/>
    <s v="Yes"/>
    <s v="No"/>
    <n v="2022"/>
    <s v="November"/>
    <s v="Q4"/>
  </r>
  <r>
    <s v="A0535"/>
    <s v="Hope Animal Shelter"/>
    <x v="4"/>
    <x v="1"/>
    <s v="Golden Retriever"/>
    <x v="4"/>
    <s v="Male"/>
    <n v="0.2"/>
    <n v="31"/>
    <x v="0"/>
    <s v="2022-10-14"/>
    <s v="Stray"/>
    <s v="2023-01-13"/>
    <s v="Still in Shelter"/>
    <n v="91"/>
    <x v="0"/>
    <n v="0"/>
    <n v="0"/>
    <x v="0"/>
    <s v="Website"/>
    <s v="No"/>
    <s v="No"/>
    <s v="No"/>
    <n v="2022"/>
    <s v="October"/>
    <s v="Q4"/>
  </r>
  <r>
    <s v="A0536"/>
    <s v="Furever Home"/>
    <x v="6"/>
    <x v="1"/>
    <s v="Golden Retriever"/>
    <x v="1"/>
    <s v="Female"/>
    <n v="1.5"/>
    <n v="17.399999999999999"/>
    <x v="1"/>
    <s v="2023-02-12"/>
    <s v="Confiscated"/>
    <s v="2023-06-15"/>
    <s v="Transferred"/>
    <n v="123"/>
    <x v="0"/>
    <n v="0"/>
    <n v="0"/>
    <x v="0"/>
    <s v="Referral"/>
    <s v="Yes"/>
    <s v="Yes"/>
    <s v="Yes"/>
    <n v="2023"/>
    <s v="February"/>
    <s v="Q1"/>
  </r>
  <r>
    <s v="A0537"/>
    <s v="Paws &amp; Claws Rescue"/>
    <x v="3"/>
    <x v="1"/>
    <s v="Golden Retriever"/>
    <x v="2"/>
    <s v="Female"/>
    <n v="8.1999999999999993"/>
    <n v="12.3"/>
    <x v="0"/>
    <s v="2022-11-15"/>
    <s v="Abandoned"/>
    <s v="2023-02-12"/>
    <s v="Adopted"/>
    <n v="89"/>
    <x v="4"/>
    <n v="4937"/>
    <n v="0"/>
    <x v="1"/>
    <s v="Referral"/>
    <s v="Yes"/>
    <s v="No"/>
    <s v="No"/>
    <n v="2022"/>
    <s v="November"/>
    <s v="Q4"/>
  </r>
  <r>
    <s v="A0538"/>
    <s v="Second Chance Rescue"/>
    <x v="5"/>
    <x v="0"/>
    <s v="Siamese"/>
    <x v="4"/>
    <s v="Male"/>
    <n v="3"/>
    <n v="28.8"/>
    <x v="0"/>
    <s v="2023-05-26"/>
    <s v="Born in Shelter"/>
    <s v="2023-08-06"/>
    <s v="Adopted"/>
    <n v="72"/>
    <x v="2"/>
    <n v="2579"/>
    <n v="2000"/>
    <x v="3"/>
    <s v="Walk-in"/>
    <s v="Yes"/>
    <s v="No"/>
    <s v="Yes"/>
    <n v="2023"/>
    <s v="May"/>
    <s v="Q2"/>
  </r>
  <r>
    <s v="A0539"/>
    <s v="Furever Home"/>
    <x v="7"/>
    <x v="0"/>
    <s v="Siamese"/>
    <x v="6"/>
    <s v="Male"/>
    <n v="1.2"/>
    <n v="2.2999999999999998"/>
    <x v="0"/>
    <s v="2022-10-27"/>
    <s v="Transfer from Another Shelter"/>
    <s v="2023-02-14"/>
    <s v="Adopted"/>
    <n v="110"/>
    <x v="4"/>
    <n v="4025"/>
    <n v="0"/>
    <x v="1"/>
    <s v="Event"/>
    <s v="No"/>
    <s v="No"/>
    <s v="Yes"/>
    <n v="2022"/>
    <s v="October"/>
    <s v="Q4"/>
  </r>
  <r>
    <s v="A0540"/>
    <s v="Second Chance Rescue"/>
    <x v="2"/>
    <x v="0"/>
    <s v="Persian"/>
    <x v="9"/>
    <s v="Male"/>
    <n v="11.3"/>
    <n v="25"/>
    <x v="0"/>
    <s v="2023-07-06"/>
    <s v="Stray"/>
    <s v="2023-10-08"/>
    <s v="Transferred"/>
    <n v="94"/>
    <x v="0"/>
    <n v="0"/>
    <n v="0"/>
    <x v="0"/>
    <s v="Walk-in"/>
    <s v="Yes"/>
    <s v="Yes"/>
    <s v="No"/>
    <n v="2023"/>
    <s v="July"/>
    <s v="Q3"/>
  </r>
  <r>
    <s v="A0541"/>
    <s v="Happy Paws Shelter"/>
    <x v="3"/>
    <x v="1"/>
    <s v="Bulldog"/>
    <x v="5"/>
    <s v="Male"/>
    <n v="4.4000000000000004"/>
    <n v="11"/>
    <x v="0"/>
    <s v="2022-07-26"/>
    <s v="Abandoned"/>
    <s v="2022-11-14"/>
    <s v="Adopted"/>
    <n v="111"/>
    <x v="1"/>
    <n v="5066"/>
    <n v="500"/>
    <x v="4"/>
    <s v="Website"/>
    <s v="Yes"/>
    <s v="Yes"/>
    <s v="No"/>
    <n v="2022"/>
    <s v="July"/>
    <s v="Q3"/>
  </r>
  <r>
    <s v="A0542"/>
    <s v="Second Chance Rescue"/>
    <x v="4"/>
    <x v="0"/>
    <s v="Persian"/>
    <x v="7"/>
    <s v="Male"/>
    <n v="11.6"/>
    <n v="31"/>
    <x v="0"/>
    <s v="2022-09-25"/>
    <s v="Born in Shelter"/>
    <s v="2023-03-06"/>
    <s v="Adopted"/>
    <n v="162"/>
    <x v="3"/>
    <n v="1668"/>
    <n v="1000"/>
    <x v="4"/>
    <s v="Social Media"/>
    <s v="No"/>
    <s v="Yes"/>
    <s v="No"/>
    <n v="2022"/>
    <s v="September"/>
    <s v="Q3"/>
  </r>
  <r>
    <s v="A0543"/>
    <s v="Paws &amp; Claws Rescue"/>
    <x v="2"/>
    <x v="1"/>
    <s v="Golden Retriever"/>
    <x v="1"/>
    <s v="Female"/>
    <n v="10.7"/>
    <n v="26.7"/>
    <x v="4"/>
    <s v="2023-01-28"/>
    <s v="Confiscated"/>
    <s v="2023-05-16"/>
    <s v="Transferred"/>
    <n v="108"/>
    <x v="0"/>
    <n v="0"/>
    <n v="0"/>
    <x v="0"/>
    <s v="Walk-in"/>
    <s v="No"/>
    <s v="Yes"/>
    <s v="No"/>
    <n v="2023"/>
    <s v="January"/>
    <s v="Q1"/>
  </r>
  <r>
    <s v="A0544"/>
    <s v="Happy Paws Shelter"/>
    <x v="3"/>
    <x v="2"/>
    <s v="Finch"/>
    <x v="6"/>
    <s v="Female"/>
    <n v="8.4"/>
    <n v="4.9000000000000004"/>
    <x v="3"/>
    <s v="2024-10-28"/>
    <s v="Confiscated"/>
    <s v="2024-11-03"/>
    <s v="Adopted"/>
    <n v="6"/>
    <x v="3"/>
    <n v="2954"/>
    <n v="0"/>
    <x v="1"/>
    <s v="Website"/>
    <s v="No"/>
    <s v="No"/>
    <s v="No"/>
    <n v="2024"/>
    <s v="October"/>
    <s v="Q4"/>
  </r>
  <r>
    <s v="A0545"/>
    <s v="Paws &amp; Claws Rescue"/>
    <x v="4"/>
    <x v="0"/>
    <s v="Ragdoll"/>
    <x v="0"/>
    <s v="Male"/>
    <n v="2.6"/>
    <n v="0.6"/>
    <x v="2"/>
    <s v="2024-03-10"/>
    <s v="Born in Shelter"/>
    <s v="2024-06-21"/>
    <s v="Transferred"/>
    <n v="103"/>
    <x v="0"/>
    <n v="0"/>
    <n v="0"/>
    <x v="0"/>
    <s v="Referral"/>
    <s v="Yes"/>
    <s v="No"/>
    <s v="No"/>
    <n v="2024"/>
    <s v="March"/>
    <s v="Q1"/>
  </r>
  <r>
    <s v="A0546"/>
    <s v="Happy Paws Shelter"/>
    <x v="6"/>
    <x v="0"/>
    <s v="Mixed Breed"/>
    <x v="8"/>
    <s v="Male"/>
    <n v="0.6"/>
    <n v="8.6999999999999993"/>
    <x v="0"/>
    <s v="2023-07-04"/>
    <s v="Stray"/>
    <s v="2023-11-23"/>
    <s v="Adopted"/>
    <n v="142"/>
    <x v="2"/>
    <n v="2200"/>
    <n v="0"/>
    <x v="3"/>
    <s v="Event"/>
    <s v="Yes"/>
    <s v="Yes"/>
    <s v="No"/>
    <n v="2023"/>
    <s v="July"/>
    <s v="Q3"/>
  </r>
  <r>
    <s v="A0547"/>
    <s v="Paws &amp; Claws Rescue"/>
    <x v="7"/>
    <x v="1"/>
    <s v="Beagle"/>
    <x v="1"/>
    <s v="Male"/>
    <n v="8.6999999999999993"/>
    <n v="14.6"/>
    <x v="4"/>
    <s v="2023-10-27"/>
    <s v="Stray"/>
    <s v="2023-11-18"/>
    <s v="Transferred"/>
    <n v="22"/>
    <x v="0"/>
    <n v="0"/>
    <n v="0"/>
    <x v="0"/>
    <s v="Social Media"/>
    <s v="Yes"/>
    <s v="No"/>
    <s v="No"/>
    <n v="2023"/>
    <s v="October"/>
    <s v="Q4"/>
  </r>
  <r>
    <s v="A0548"/>
    <s v="Paws &amp; Claws Rescue"/>
    <x v="4"/>
    <x v="1"/>
    <s v="Bulldog"/>
    <x v="7"/>
    <s v="Male"/>
    <n v="3.2"/>
    <n v="22.1"/>
    <x v="0"/>
    <s v="2022-02-02"/>
    <s v="Abandoned"/>
    <s v="2022-06-20"/>
    <s v="Adopted"/>
    <n v="138"/>
    <x v="2"/>
    <n v="6129"/>
    <n v="2000"/>
    <x v="2"/>
    <s v="Website"/>
    <s v="No"/>
    <s v="Yes"/>
    <s v="No"/>
    <n v="2022"/>
    <s v="February"/>
    <s v="Q1"/>
  </r>
  <r>
    <s v="A0549"/>
    <s v="Second Chance Rescue"/>
    <x v="4"/>
    <x v="3"/>
    <s v="Mini Rex"/>
    <x v="0"/>
    <s v="Female"/>
    <n v="5.6"/>
    <n v="28.6"/>
    <x v="4"/>
    <s v="2024-09-08"/>
    <s v="Owner Surrender"/>
    <s v="2024-10-02"/>
    <s v="Fostered"/>
    <n v="24"/>
    <x v="0"/>
    <n v="0"/>
    <n v="0"/>
    <x v="0"/>
    <s v="Social Media"/>
    <s v="Yes"/>
    <s v="No"/>
    <s v="No"/>
    <n v="2024"/>
    <s v="September"/>
    <s v="Q3"/>
  </r>
  <r>
    <s v="A0550"/>
    <s v="Furever Home"/>
    <x v="0"/>
    <x v="1"/>
    <s v="Mixed Breed"/>
    <x v="5"/>
    <s v="Male"/>
    <n v="3"/>
    <n v="31.9"/>
    <x v="4"/>
    <s v="2023-01-20"/>
    <s v="Stray"/>
    <s v="2023-02-07"/>
    <s v="Adopted"/>
    <n v="18"/>
    <x v="3"/>
    <n v="3590"/>
    <n v="500"/>
    <x v="1"/>
    <s v="Referral"/>
    <s v="No"/>
    <s v="Yes"/>
    <s v="Yes"/>
    <n v="2023"/>
    <s v="January"/>
    <s v="Q1"/>
  </r>
  <r>
    <s v="A0551"/>
    <s v="Happy Paws Shelter"/>
    <x v="0"/>
    <x v="1"/>
    <s v="Labrador"/>
    <x v="5"/>
    <s v="Female"/>
    <n v="11.3"/>
    <n v="21.2"/>
    <x v="2"/>
    <s v="2022-09-28"/>
    <s v="Confiscated"/>
    <s v="2022-12-01"/>
    <s v="Adopted"/>
    <n v="64"/>
    <x v="5"/>
    <n v="5192"/>
    <n v="0"/>
    <x v="3"/>
    <s v="Website"/>
    <s v="No"/>
    <s v="No"/>
    <s v="No"/>
    <n v="2022"/>
    <s v="September"/>
    <s v="Q3"/>
  </r>
  <r>
    <s v="A0552"/>
    <s v="Paws &amp; Claws Rescue"/>
    <x v="0"/>
    <x v="1"/>
    <s v="Bulldog"/>
    <x v="9"/>
    <s v="Male"/>
    <n v="6.6"/>
    <n v="9.6999999999999993"/>
    <x v="0"/>
    <s v="2023-11-11"/>
    <s v="Born in Shelter"/>
    <s v="2024-03-13"/>
    <s v="Adopted"/>
    <n v="123"/>
    <x v="1"/>
    <n v="4997"/>
    <n v="0"/>
    <x v="1"/>
    <s v="Event"/>
    <s v="No"/>
    <s v="Yes"/>
    <s v="Yes"/>
    <n v="2023"/>
    <s v="November"/>
    <s v="Q4"/>
  </r>
  <r>
    <s v="A0553"/>
    <s v="Second Chance Rescue"/>
    <x v="1"/>
    <x v="1"/>
    <s v="Labrador"/>
    <x v="4"/>
    <s v="Female"/>
    <n v="1.9"/>
    <n v="23.1"/>
    <x v="0"/>
    <s v="2023-04-10"/>
    <s v="Stray"/>
    <s v="2023-07-29"/>
    <s v="Still in Shelter"/>
    <n v="110"/>
    <x v="0"/>
    <n v="0"/>
    <n v="0"/>
    <x v="0"/>
    <s v="Website"/>
    <s v="Yes"/>
    <s v="No"/>
    <s v="No"/>
    <n v="2023"/>
    <s v="April"/>
    <s v="Q2"/>
  </r>
  <r>
    <s v="A0554"/>
    <s v="Happy Paws Shelter"/>
    <x v="6"/>
    <x v="0"/>
    <s v="Maine Coon"/>
    <x v="3"/>
    <s v="Female"/>
    <n v="11.1"/>
    <n v="32.200000000000003"/>
    <x v="1"/>
    <s v="2023-11-15"/>
    <s v="Abandoned"/>
    <s v="2023-12-16"/>
    <s v="Euthanized"/>
    <n v="31"/>
    <x v="0"/>
    <n v="0"/>
    <n v="0"/>
    <x v="0"/>
    <s v="Event"/>
    <s v="Yes"/>
    <s v="No"/>
    <s v="No"/>
    <n v="2023"/>
    <s v="November"/>
    <s v="Q4"/>
  </r>
  <r>
    <s v="A0555"/>
    <s v="Hope Animal Shelter"/>
    <x v="0"/>
    <x v="1"/>
    <s v="Bulldog"/>
    <x v="9"/>
    <s v="Male"/>
    <n v="8"/>
    <n v="32.700000000000003"/>
    <x v="2"/>
    <s v="2023-08-11"/>
    <s v="Confiscated"/>
    <s v="2023-11-09"/>
    <s v="Adopted"/>
    <n v="90"/>
    <x v="2"/>
    <n v="5220"/>
    <n v="500"/>
    <x v="4"/>
    <s v="Website"/>
    <s v="No"/>
    <s v="No"/>
    <s v="No"/>
    <n v="2023"/>
    <s v="August"/>
    <s v="Q3"/>
  </r>
  <r>
    <s v="A0556"/>
    <s v="Furever Home"/>
    <x v="2"/>
    <x v="0"/>
    <s v="Persian"/>
    <x v="1"/>
    <s v="Female"/>
    <n v="11.9"/>
    <n v="6.8"/>
    <x v="3"/>
    <s v="2024-05-25"/>
    <s v="Transfer from Another Shelter"/>
    <s v="2024-08-05"/>
    <s v="Adopted"/>
    <n v="72"/>
    <x v="4"/>
    <n v="1870"/>
    <n v="0"/>
    <x v="4"/>
    <s v="Website"/>
    <s v="Yes"/>
    <s v="No"/>
    <s v="No"/>
    <n v="2024"/>
    <s v="May"/>
    <s v="Q2"/>
  </r>
  <r>
    <s v="A0557"/>
    <s v="Paws &amp; Claws Rescue"/>
    <x v="4"/>
    <x v="0"/>
    <s v="Domestic Shorthair"/>
    <x v="4"/>
    <s v="Male"/>
    <n v="1.1000000000000001"/>
    <n v="25.2"/>
    <x v="0"/>
    <s v="2024-12-29"/>
    <s v="Stray"/>
    <s v="2024-12-31"/>
    <s v="Returned to Owner"/>
    <n v="127"/>
    <x v="0"/>
    <n v="0"/>
    <n v="1000"/>
    <x v="0"/>
    <s v="Website"/>
    <s v="Yes"/>
    <s v="No"/>
    <s v="No"/>
    <n v="2024"/>
    <s v="December"/>
    <s v="Q4"/>
  </r>
  <r>
    <s v="A0558"/>
    <s v="Second Chance Rescue"/>
    <x v="7"/>
    <x v="1"/>
    <s v="German Shepherd"/>
    <x v="7"/>
    <s v="Male"/>
    <n v="10.199999999999999"/>
    <n v="30.4"/>
    <x v="2"/>
    <s v="2022-05-03"/>
    <s v="Born in Shelter"/>
    <s v="2022-08-01"/>
    <s v="Euthanized"/>
    <n v="90"/>
    <x v="0"/>
    <n v="0"/>
    <n v="0"/>
    <x v="0"/>
    <s v="Referral"/>
    <s v="Yes"/>
    <s v="Yes"/>
    <s v="No"/>
    <n v="2022"/>
    <s v="May"/>
    <s v="Q2"/>
  </r>
  <r>
    <s v="A0559"/>
    <s v="City Animal Shelter"/>
    <x v="3"/>
    <x v="1"/>
    <s v="Golden Retriever"/>
    <x v="4"/>
    <s v="Male"/>
    <n v="0.4"/>
    <n v="33.799999999999997"/>
    <x v="3"/>
    <s v="2022-08-29"/>
    <s v="Born in Shelter"/>
    <s v="2023-02-24"/>
    <s v="Adopted"/>
    <n v="179"/>
    <x v="2"/>
    <n v="6092"/>
    <n v="2000"/>
    <x v="1"/>
    <s v="Website"/>
    <s v="Yes"/>
    <s v="Yes"/>
    <s v="Yes"/>
    <n v="2022"/>
    <s v="August"/>
    <s v="Q3"/>
  </r>
  <r>
    <s v="A0560"/>
    <s v="Hope Animal Shelter"/>
    <x v="6"/>
    <x v="1"/>
    <s v="German Shepherd"/>
    <x v="5"/>
    <s v="Female"/>
    <n v="1.9"/>
    <n v="6.8"/>
    <x v="3"/>
    <s v="2022-01-26"/>
    <s v="Transfer from Another Shelter"/>
    <s v="2022-06-21"/>
    <s v="Still in Shelter"/>
    <n v="146"/>
    <x v="0"/>
    <n v="0"/>
    <n v="0"/>
    <x v="0"/>
    <s v="Social Media"/>
    <s v="No"/>
    <s v="No"/>
    <s v="Yes"/>
    <n v="2022"/>
    <s v="January"/>
    <s v="Q1"/>
  </r>
  <r>
    <s v="A0561"/>
    <s v="Furever Home"/>
    <x v="1"/>
    <x v="0"/>
    <s v="Persian"/>
    <x v="7"/>
    <s v="Female"/>
    <n v="2.2000000000000002"/>
    <n v="6"/>
    <x v="1"/>
    <s v="2022-11-16"/>
    <s v="Born in Shelter"/>
    <s v="2022-12-02"/>
    <s v="Adopted"/>
    <n v="16"/>
    <x v="1"/>
    <n v="3974"/>
    <n v="5000"/>
    <x v="3"/>
    <s v="Referral"/>
    <s v="Yes"/>
    <s v="No"/>
    <s v="Yes"/>
    <n v="2022"/>
    <s v="November"/>
    <s v="Q4"/>
  </r>
  <r>
    <s v="A0562"/>
    <s v="Second Chance Rescue"/>
    <x v="0"/>
    <x v="0"/>
    <s v="Domestic Shorthair"/>
    <x v="7"/>
    <s v="Female"/>
    <n v="7.5"/>
    <n v="8.1"/>
    <x v="0"/>
    <s v="2022-09-14"/>
    <s v="Confiscated"/>
    <s v="2022-11-08"/>
    <s v="Still in Shelter"/>
    <n v="55"/>
    <x v="0"/>
    <n v="0"/>
    <n v="0"/>
    <x v="0"/>
    <s v="Referral"/>
    <s v="No"/>
    <s v="Yes"/>
    <s v="Yes"/>
    <n v="2022"/>
    <s v="September"/>
    <s v="Q3"/>
  </r>
  <r>
    <s v="A0563"/>
    <s v="City Animal Shelter"/>
    <x v="3"/>
    <x v="3"/>
    <s v="Dutch"/>
    <x v="6"/>
    <s v="Female"/>
    <n v="4.4000000000000004"/>
    <n v="27.4"/>
    <x v="0"/>
    <s v="2023-02-03"/>
    <s v="Born in Shelter"/>
    <s v="2023-04-14"/>
    <s v="Adopted"/>
    <n v="70"/>
    <x v="5"/>
    <n v="927"/>
    <n v="0"/>
    <x v="1"/>
    <s v="Website"/>
    <s v="Yes"/>
    <s v="No"/>
    <s v="No"/>
    <n v="2023"/>
    <s v="February"/>
    <s v="Q1"/>
  </r>
  <r>
    <s v="A0564"/>
    <s v="Happy Paws Shelter"/>
    <x v="5"/>
    <x v="0"/>
    <s v="Siamese"/>
    <x v="9"/>
    <s v="Male"/>
    <n v="1.1000000000000001"/>
    <n v="20.2"/>
    <x v="0"/>
    <s v="2022-03-08"/>
    <s v="Stray"/>
    <s v="2022-05-09"/>
    <s v="Transferred"/>
    <n v="62"/>
    <x v="0"/>
    <n v="0"/>
    <n v="0"/>
    <x v="0"/>
    <s v="Social Media"/>
    <s v="Yes"/>
    <s v="No"/>
    <s v="No"/>
    <n v="2022"/>
    <s v="March"/>
    <s v="Q1"/>
  </r>
  <r>
    <s v="A0565"/>
    <s v="Hope Animal Shelter"/>
    <x v="0"/>
    <x v="2"/>
    <s v="Finch"/>
    <x v="1"/>
    <s v="Female"/>
    <n v="8.6999999999999993"/>
    <n v="34.1"/>
    <x v="4"/>
    <s v="2023-02-04"/>
    <s v="Born in Shelter"/>
    <s v="2023-04-26"/>
    <s v="Still in Shelter"/>
    <n v="81"/>
    <x v="0"/>
    <n v="0"/>
    <n v="0"/>
    <x v="0"/>
    <s v="Walk-in"/>
    <s v="Yes"/>
    <s v="Yes"/>
    <s v="No"/>
    <n v="2023"/>
    <s v="February"/>
    <s v="Q1"/>
  </r>
  <r>
    <s v="A0566"/>
    <s v="Hope Animal Shelter"/>
    <x v="4"/>
    <x v="1"/>
    <s v="Labrador"/>
    <x v="6"/>
    <s v="Male"/>
    <n v="10.6"/>
    <n v="3.7"/>
    <x v="2"/>
    <s v="2023-08-18"/>
    <s v="Confiscated"/>
    <s v="2023-09-29"/>
    <s v="Adopted"/>
    <n v="42"/>
    <x v="2"/>
    <n v="6793"/>
    <n v="0"/>
    <x v="4"/>
    <s v="Referral"/>
    <s v="Yes"/>
    <s v="No"/>
    <s v="No"/>
    <n v="2023"/>
    <s v="August"/>
    <s v="Q3"/>
  </r>
  <r>
    <s v="A0567"/>
    <s v="Paws &amp; Claws Rescue"/>
    <x v="0"/>
    <x v="3"/>
    <s v="Lionhead"/>
    <x v="3"/>
    <s v="Female"/>
    <n v="2.9"/>
    <n v="34.9"/>
    <x v="0"/>
    <s v="2024-06-01"/>
    <s v="Stray"/>
    <s v="2024-06-12"/>
    <s v="Still in Shelter"/>
    <n v="11"/>
    <x v="0"/>
    <n v="0"/>
    <n v="0"/>
    <x v="0"/>
    <s v="Website"/>
    <s v="Yes"/>
    <s v="No"/>
    <s v="Yes"/>
    <n v="2024"/>
    <s v="June"/>
    <s v="Q2"/>
  </r>
  <r>
    <s v="A0568"/>
    <s v="City Animal Shelter"/>
    <x v="0"/>
    <x v="1"/>
    <s v="German Shepherd"/>
    <x v="4"/>
    <s v="Male"/>
    <n v="0.9"/>
    <n v="20.399999999999999"/>
    <x v="4"/>
    <s v="2024-07-20"/>
    <s v="Transfer from Another Shelter"/>
    <s v="2024-10-09"/>
    <s v="Adopted"/>
    <n v="81"/>
    <x v="1"/>
    <n v="5421"/>
    <n v="0"/>
    <x v="2"/>
    <s v="Social Media"/>
    <s v="No"/>
    <s v="No"/>
    <s v="No"/>
    <n v="2024"/>
    <s v="July"/>
    <s v="Q3"/>
  </r>
  <r>
    <s v="A0569"/>
    <s v="Paws &amp; Claws Rescue"/>
    <x v="6"/>
    <x v="0"/>
    <s v="Maine Coon"/>
    <x v="7"/>
    <s v="Female"/>
    <n v="10.3"/>
    <n v="14.3"/>
    <x v="1"/>
    <s v="2024-09-26"/>
    <s v="Born in Shelter"/>
    <s v="2024-10-07"/>
    <s v="Euthanized"/>
    <n v="11"/>
    <x v="0"/>
    <n v="0"/>
    <n v="0"/>
    <x v="0"/>
    <s v="Social Media"/>
    <s v="Yes"/>
    <s v="Yes"/>
    <s v="No"/>
    <n v="2024"/>
    <s v="September"/>
    <s v="Q3"/>
  </r>
  <r>
    <s v="A0570"/>
    <s v="Hope Animal Shelter"/>
    <x v="3"/>
    <x v="0"/>
    <s v="Domestic Shorthair"/>
    <x v="3"/>
    <s v="Male"/>
    <n v="0.8"/>
    <n v="27.8"/>
    <x v="0"/>
    <s v="2023-06-23"/>
    <s v="Transfer from Another Shelter"/>
    <s v="2023-12-15"/>
    <s v="Adopted"/>
    <n v="175"/>
    <x v="2"/>
    <n v="4042"/>
    <n v="2000"/>
    <x v="2"/>
    <s v="Walk-in"/>
    <s v="Yes"/>
    <s v="No"/>
    <s v="No"/>
    <n v="2023"/>
    <s v="June"/>
    <s v="Q2"/>
  </r>
  <r>
    <s v="A0571"/>
    <s v="Furever Home"/>
    <x v="1"/>
    <x v="0"/>
    <s v="Bengal"/>
    <x v="6"/>
    <s v="Female"/>
    <n v="1.1000000000000001"/>
    <n v="25.7"/>
    <x v="0"/>
    <s v="2024-08-12"/>
    <s v="Stray"/>
    <s v="2024-12-10"/>
    <s v="Fostered"/>
    <n v="120"/>
    <x v="0"/>
    <n v="0"/>
    <n v="0"/>
    <x v="0"/>
    <s v="Social Media"/>
    <s v="Yes"/>
    <s v="No"/>
    <s v="No"/>
    <n v="2024"/>
    <s v="August"/>
    <s v="Q3"/>
  </r>
  <r>
    <s v="A0572"/>
    <s v="Second Chance Rescue"/>
    <x v="4"/>
    <x v="1"/>
    <s v="Husky"/>
    <x v="1"/>
    <s v="Male"/>
    <n v="6.6"/>
    <n v="33.200000000000003"/>
    <x v="1"/>
    <s v="2022-08-23"/>
    <s v="Transfer from Another Shelter"/>
    <s v="2022-11-03"/>
    <s v="Fostered"/>
    <n v="72"/>
    <x v="0"/>
    <n v="0"/>
    <n v="0"/>
    <x v="0"/>
    <s v="Walk-in"/>
    <s v="Yes"/>
    <s v="No"/>
    <s v="No"/>
    <n v="2022"/>
    <s v="August"/>
    <s v="Q3"/>
  </r>
  <r>
    <s v="A0573"/>
    <s v="Happy Paws Shelter"/>
    <x v="6"/>
    <x v="1"/>
    <s v="Labrador"/>
    <x v="4"/>
    <s v="Female"/>
    <n v="3.3"/>
    <n v="22.4"/>
    <x v="3"/>
    <s v="2023-03-10"/>
    <s v="Stray"/>
    <s v="2023-03-16"/>
    <s v="Still in Shelter"/>
    <n v="6"/>
    <x v="0"/>
    <n v="0"/>
    <n v="0"/>
    <x v="0"/>
    <s v="Social Media"/>
    <s v="No"/>
    <s v="No"/>
    <s v="No"/>
    <n v="2023"/>
    <s v="March"/>
    <s v="Q1"/>
  </r>
  <r>
    <s v="A0574"/>
    <s v="Second Chance Rescue"/>
    <x v="4"/>
    <x v="0"/>
    <s v="Siamese"/>
    <x v="1"/>
    <s v="Female"/>
    <n v="4.2"/>
    <n v="26.5"/>
    <x v="3"/>
    <s v="2022-04-21"/>
    <s v="Transfer from Another Shelter"/>
    <s v="2022-05-15"/>
    <s v="Still in Shelter"/>
    <n v="24"/>
    <x v="0"/>
    <n v="0"/>
    <n v="0"/>
    <x v="0"/>
    <s v="Event"/>
    <s v="Yes"/>
    <s v="No"/>
    <s v="No"/>
    <n v="2022"/>
    <s v="April"/>
    <s v="Q2"/>
  </r>
  <r>
    <s v="A0575"/>
    <s v="Second Chance Rescue"/>
    <x v="2"/>
    <x v="3"/>
    <s v="Lionhead"/>
    <x v="1"/>
    <s v="Male"/>
    <n v="8.6999999999999993"/>
    <n v="20.5"/>
    <x v="0"/>
    <s v="2024-03-07"/>
    <s v="Transfer from Another Shelter"/>
    <s v="2024-03-10"/>
    <s v="Returned to Owner"/>
    <n v="3"/>
    <x v="0"/>
    <n v="0"/>
    <n v="0"/>
    <x v="0"/>
    <s v="Website"/>
    <s v="No"/>
    <s v="No"/>
    <s v="Yes"/>
    <n v="2024"/>
    <s v="March"/>
    <s v="Q1"/>
  </r>
  <r>
    <s v="A0576"/>
    <s v="Paws &amp; Claws Rescue"/>
    <x v="0"/>
    <x v="2"/>
    <s v="Canary"/>
    <x v="9"/>
    <s v="Male"/>
    <n v="7.6"/>
    <n v="22.5"/>
    <x v="4"/>
    <s v="2024-12-02"/>
    <s v="Owner Surrender"/>
    <s v="2024-12-03"/>
    <s v="Fostered"/>
    <n v="1"/>
    <x v="0"/>
    <n v="0"/>
    <n v="0"/>
    <x v="0"/>
    <s v="Referral"/>
    <s v="Yes"/>
    <s v="No"/>
    <s v="No"/>
    <n v="2024"/>
    <s v="December"/>
    <s v="Q4"/>
  </r>
  <r>
    <s v="A0577"/>
    <s v="City Animal Shelter"/>
    <x v="0"/>
    <x v="1"/>
    <s v="Beagle"/>
    <x v="7"/>
    <s v="Female"/>
    <n v="4.4000000000000004"/>
    <n v="10.9"/>
    <x v="3"/>
    <s v="2023-03-06"/>
    <s v="Transfer from Another Shelter"/>
    <s v="2023-04-24"/>
    <s v="Adopted"/>
    <n v="49"/>
    <x v="1"/>
    <n v="6033"/>
    <n v="5000"/>
    <x v="4"/>
    <s v="Event"/>
    <s v="No"/>
    <s v="No"/>
    <s v="No"/>
    <n v="2023"/>
    <s v="March"/>
    <s v="Q1"/>
  </r>
  <r>
    <s v="A0578"/>
    <s v="Paws &amp; Claws Rescue"/>
    <x v="1"/>
    <x v="0"/>
    <s v="Siamese"/>
    <x v="2"/>
    <s v="Female"/>
    <n v="2.2000000000000002"/>
    <n v="21"/>
    <x v="2"/>
    <s v="2024-07-28"/>
    <s v="Confiscated"/>
    <s v="2024-11-15"/>
    <s v="Euthanized"/>
    <n v="110"/>
    <x v="0"/>
    <n v="0"/>
    <n v="0"/>
    <x v="0"/>
    <s v="Referral"/>
    <s v="Yes"/>
    <s v="No"/>
    <s v="Yes"/>
    <n v="2024"/>
    <s v="July"/>
    <s v="Q3"/>
  </r>
  <r>
    <s v="A0579"/>
    <s v="Paws &amp; Claws Rescue"/>
    <x v="0"/>
    <x v="0"/>
    <s v="Ragdoll"/>
    <x v="7"/>
    <s v="Male"/>
    <n v="1.3"/>
    <n v="26.4"/>
    <x v="4"/>
    <s v="2022-08-01"/>
    <s v="Abandoned"/>
    <s v="2022-08-24"/>
    <s v="Adopted"/>
    <n v="23"/>
    <x v="4"/>
    <n v="4024"/>
    <n v="500"/>
    <x v="3"/>
    <s v="Website"/>
    <s v="No"/>
    <s v="No"/>
    <s v="No"/>
    <n v="2022"/>
    <s v="August"/>
    <s v="Q3"/>
  </r>
  <r>
    <s v="A0580"/>
    <s v="Furever Home"/>
    <x v="1"/>
    <x v="0"/>
    <s v="Siamese"/>
    <x v="9"/>
    <s v="Female"/>
    <n v="11.6"/>
    <n v="32"/>
    <x v="2"/>
    <s v="2024-08-19"/>
    <s v="Owner Surrender"/>
    <s v="2024-09-20"/>
    <s v="Euthanized"/>
    <n v="32"/>
    <x v="0"/>
    <n v="0"/>
    <n v="0"/>
    <x v="0"/>
    <s v="Event"/>
    <s v="Yes"/>
    <s v="No"/>
    <s v="No"/>
    <n v="2024"/>
    <s v="August"/>
    <s v="Q3"/>
  </r>
  <r>
    <s v="A0581"/>
    <s v="Happy Paws Shelter"/>
    <x v="3"/>
    <x v="0"/>
    <s v="Ragdoll"/>
    <x v="3"/>
    <s v="Female"/>
    <n v="10.8"/>
    <n v="14.8"/>
    <x v="2"/>
    <s v="2024-04-29"/>
    <s v="Born in Shelter"/>
    <s v="2024-10-19"/>
    <s v="Returned to Owner"/>
    <n v="173"/>
    <x v="0"/>
    <n v="0"/>
    <n v="0"/>
    <x v="0"/>
    <s v="Event"/>
    <s v="Yes"/>
    <s v="No"/>
    <s v="No"/>
    <n v="2024"/>
    <s v="April"/>
    <s v="Q2"/>
  </r>
  <r>
    <s v="A0582"/>
    <s v="Happy Paws Shelter"/>
    <x v="1"/>
    <x v="1"/>
    <s v="Mixed Breed"/>
    <x v="3"/>
    <s v="Female"/>
    <n v="2.4"/>
    <n v="22.7"/>
    <x v="4"/>
    <s v="2023-05-11"/>
    <s v="Owner Surrender"/>
    <s v="2023-10-01"/>
    <s v="Still in Shelter"/>
    <n v="143"/>
    <x v="0"/>
    <n v="0"/>
    <n v="0"/>
    <x v="0"/>
    <s v="Referral"/>
    <s v="Yes"/>
    <s v="No"/>
    <s v="No"/>
    <n v="2023"/>
    <s v="May"/>
    <s v="Q2"/>
  </r>
  <r>
    <s v="A0583"/>
    <s v="City Animal Shelter"/>
    <x v="6"/>
    <x v="2"/>
    <s v="Cockatiel"/>
    <x v="1"/>
    <s v="Male"/>
    <n v="4.8"/>
    <n v="26.8"/>
    <x v="0"/>
    <s v="2022-07-23"/>
    <s v="Stray"/>
    <s v="2022-08-25"/>
    <s v="Adopted"/>
    <n v="33"/>
    <x v="5"/>
    <n v="2863"/>
    <n v="5000"/>
    <x v="2"/>
    <s v="Walk-in"/>
    <s v="Yes"/>
    <s v="Yes"/>
    <s v="Yes"/>
    <n v="2022"/>
    <s v="July"/>
    <s v="Q3"/>
  </r>
  <r>
    <s v="A0584"/>
    <s v="Second Chance Rescue"/>
    <x v="7"/>
    <x v="1"/>
    <s v="Mixed Breed"/>
    <x v="6"/>
    <s v="Male"/>
    <n v="2.2999999999999998"/>
    <n v="23"/>
    <x v="4"/>
    <s v="2022-02-21"/>
    <s v="Transfer from Another Shelter"/>
    <s v="2022-03-27"/>
    <s v="Fostered"/>
    <n v="34"/>
    <x v="0"/>
    <n v="0"/>
    <n v="500"/>
    <x v="0"/>
    <s v="Social Media"/>
    <s v="Yes"/>
    <s v="No"/>
    <s v="Yes"/>
    <n v="2022"/>
    <s v="February"/>
    <s v="Q1"/>
  </r>
  <r>
    <s v="A0585"/>
    <s v="Second Chance Rescue"/>
    <x v="0"/>
    <x v="1"/>
    <s v="Labrador"/>
    <x v="4"/>
    <s v="Female"/>
    <n v="1.4"/>
    <n v="10.199999999999999"/>
    <x v="2"/>
    <s v="2022-07-31"/>
    <s v="Abandoned"/>
    <s v="2022-08-29"/>
    <s v="Fostered"/>
    <n v="29"/>
    <x v="0"/>
    <n v="0"/>
    <n v="0"/>
    <x v="0"/>
    <s v="Website"/>
    <s v="No"/>
    <s v="Yes"/>
    <s v="No"/>
    <n v="2022"/>
    <s v="July"/>
    <s v="Q3"/>
  </r>
  <r>
    <s v="A0586"/>
    <s v="Hope Animal Shelter"/>
    <x v="5"/>
    <x v="1"/>
    <s v="Mixed Breed"/>
    <x v="3"/>
    <s v="Male"/>
    <n v="5.0999999999999996"/>
    <n v="31.2"/>
    <x v="0"/>
    <s v="2022-05-31"/>
    <s v="Stray"/>
    <s v="2022-10-03"/>
    <s v="Adopted"/>
    <n v="125"/>
    <x v="2"/>
    <n v="4722"/>
    <n v="2000"/>
    <x v="1"/>
    <s v="Walk-in"/>
    <s v="Yes"/>
    <s v="No"/>
    <s v="No"/>
    <n v="2022"/>
    <s v="May"/>
    <s v="Q2"/>
  </r>
  <r>
    <s v="A0587"/>
    <s v="Happy Paws Shelter"/>
    <x v="3"/>
    <x v="1"/>
    <s v="Labrador"/>
    <x v="5"/>
    <s v="Male"/>
    <n v="11.1"/>
    <n v="7.2"/>
    <x v="0"/>
    <s v="2022-11-21"/>
    <s v="Abandoned"/>
    <s v="2023-04-04"/>
    <s v="Transferred"/>
    <n v="134"/>
    <x v="0"/>
    <n v="0"/>
    <n v="0"/>
    <x v="0"/>
    <s v="Walk-in"/>
    <s v="Yes"/>
    <s v="Yes"/>
    <s v="No"/>
    <n v="2022"/>
    <s v="November"/>
    <s v="Q4"/>
  </r>
  <r>
    <s v="A0588"/>
    <s v="City Animal Shelter"/>
    <x v="7"/>
    <x v="1"/>
    <s v="Poodle"/>
    <x v="7"/>
    <s v="Female"/>
    <n v="5.8"/>
    <n v="33.4"/>
    <x v="3"/>
    <s v="2022-06-20"/>
    <s v="Born in Shelter"/>
    <s v="2022-12-15"/>
    <s v="Adopted"/>
    <n v="178"/>
    <x v="4"/>
    <n v="5192"/>
    <n v="0"/>
    <x v="3"/>
    <s v="Social Media"/>
    <s v="Yes"/>
    <s v="Yes"/>
    <s v="No"/>
    <n v="2022"/>
    <s v="June"/>
    <s v="Q2"/>
  </r>
  <r>
    <s v="A0589"/>
    <s v="Paws &amp; Claws Rescue"/>
    <x v="7"/>
    <x v="2"/>
    <s v="Parakeet"/>
    <x v="1"/>
    <s v="Male"/>
    <n v="5.3"/>
    <n v="15.9"/>
    <x v="1"/>
    <s v="2023-10-01"/>
    <s v="Transfer from Another Shelter"/>
    <s v="2023-11-13"/>
    <s v="Returned to Owner"/>
    <n v="43"/>
    <x v="0"/>
    <n v="0"/>
    <n v="1000"/>
    <x v="0"/>
    <s v="Referral"/>
    <s v="Yes"/>
    <s v="No"/>
    <s v="No"/>
    <n v="2023"/>
    <s v="October"/>
    <s v="Q4"/>
  </r>
  <r>
    <s v="A0590"/>
    <s v="Hope Animal Shelter"/>
    <x v="2"/>
    <x v="3"/>
    <s v="Holland Lop"/>
    <x v="2"/>
    <s v="Male"/>
    <n v="7.1"/>
    <n v="10.6"/>
    <x v="0"/>
    <s v="2024-07-09"/>
    <s v="Owner Surrender"/>
    <s v="2024-08-21"/>
    <s v="Adopted"/>
    <n v="43"/>
    <x v="1"/>
    <n v="2594"/>
    <n v="0"/>
    <x v="2"/>
    <s v="Website"/>
    <s v="Yes"/>
    <s v="Yes"/>
    <s v="Yes"/>
    <n v="2024"/>
    <s v="July"/>
    <s v="Q3"/>
  </r>
  <r>
    <s v="A0591"/>
    <s v="Happy Paws Shelter"/>
    <x v="2"/>
    <x v="1"/>
    <s v="Beagle"/>
    <x v="6"/>
    <s v="Female"/>
    <n v="1.6"/>
    <n v="11.5"/>
    <x v="1"/>
    <s v="2024-02-01"/>
    <s v="Abandoned"/>
    <s v="2024-03-10"/>
    <s v="Euthanized"/>
    <n v="38"/>
    <x v="0"/>
    <n v="0"/>
    <n v="0"/>
    <x v="0"/>
    <s v="Website"/>
    <s v="Yes"/>
    <s v="No"/>
    <s v="No"/>
    <n v="2024"/>
    <s v="February"/>
    <s v="Q1"/>
  </r>
  <r>
    <s v="A0592"/>
    <s v="Hope Animal Shelter"/>
    <x v="0"/>
    <x v="1"/>
    <s v="Poodle"/>
    <x v="0"/>
    <s v="Female"/>
    <n v="8.6"/>
    <n v="33.1"/>
    <x v="4"/>
    <s v="2024-12-15"/>
    <s v="Transfer from Another Shelter"/>
    <s v="2024-12-31"/>
    <s v="Adopted"/>
    <n v="56"/>
    <x v="1"/>
    <n v="7595"/>
    <n v="0"/>
    <x v="4"/>
    <s v="Website"/>
    <s v="Yes"/>
    <s v="Yes"/>
    <s v="No"/>
    <n v="2024"/>
    <s v="December"/>
    <s v="Q4"/>
  </r>
  <r>
    <s v="A0593"/>
    <s v="Furever Home"/>
    <x v="4"/>
    <x v="1"/>
    <s v="Labrador"/>
    <x v="0"/>
    <s v="Male"/>
    <n v="2.1"/>
    <n v="11.8"/>
    <x v="0"/>
    <s v="2023-07-17"/>
    <s v="Stray"/>
    <s v="2023-11-02"/>
    <s v="Adopted"/>
    <n v="108"/>
    <x v="3"/>
    <n v="4016"/>
    <n v="500"/>
    <x v="1"/>
    <s v="Referral"/>
    <s v="Yes"/>
    <s v="Yes"/>
    <s v="No"/>
    <n v="2023"/>
    <s v="July"/>
    <s v="Q3"/>
  </r>
  <r>
    <s v="A0594"/>
    <s v="Hope Animal Shelter"/>
    <x v="7"/>
    <x v="1"/>
    <s v="Labrador"/>
    <x v="8"/>
    <s v="Female"/>
    <n v="1.2"/>
    <n v="28.2"/>
    <x v="2"/>
    <s v="2023-11-22"/>
    <s v="Abandoned"/>
    <s v="2024-05-06"/>
    <s v="Adopted"/>
    <n v="166"/>
    <x v="4"/>
    <n v="3568"/>
    <n v="500"/>
    <x v="1"/>
    <s v="Event"/>
    <s v="Yes"/>
    <s v="No"/>
    <s v="Yes"/>
    <n v="2023"/>
    <s v="November"/>
    <s v="Q4"/>
  </r>
  <r>
    <s v="A0595"/>
    <s v="Happy Paws Shelter"/>
    <x v="6"/>
    <x v="2"/>
    <s v="Canary"/>
    <x v="4"/>
    <s v="Female"/>
    <n v="1.3"/>
    <n v="8.1999999999999993"/>
    <x v="2"/>
    <s v="2024-07-19"/>
    <s v="Confiscated"/>
    <s v="2024-11-23"/>
    <s v="Adopted"/>
    <n v="127"/>
    <x v="4"/>
    <n v="2031"/>
    <n v="1000"/>
    <x v="3"/>
    <s v="Website"/>
    <s v="Yes"/>
    <s v="Yes"/>
    <s v="No"/>
    <n v="2024"/>
    <s v="July"/>
    <s v="Q3"/>
  </r>
  <r>
    <s v="A0596"/>
    <s v="City Animal Shelter"/>
    <x v="1"/>
    <x v="0"/>
    <s v="Persian"/>
    <x v="8"/>
    <s v="Male"/>
    <n v="11.4"/>
    <n v="3.1"/>
    <x v="0"/>
    <s v="2022-04-18"/>
    <s v="Born in Shelter"/>
    <s v="2022-06-24"/>
    <s v="Adopted"/>
    <n v="67"/>
    <x v="4"/>
    <n v="1953"/>
    <n v="0"/>
    <x v="1"/>
    <s v="Website"/>
    <s v="Yes"/>
    <s v="Yes"/>
    <s v="No"/>
    <n v="2022"/>
    <s v="April"/>
    <s v="Q2"/>
  </r>
  <r>
    <s v="A0597"/>
    <s v="City Animal Shelter"/>
    <x v="5"/>
    <x v="1"/>
    <s v="German Shepherd"/>
    <x v="6"/>
    <s v="Male"/>
    <n v="8"/>
    <n v="34.200000000000003"/>
    <x v="0"/>
    <s v="2024-12-04"/>
    <s v="Abandoned"/>
    <s v="2024-12-31"/>
    <s v="Returned to Owner"/>
    <n v="136"/>
    <x v="0"/>
    <n v="0"/>
    <n v="1000"/>
    <x v="0"/>
    <s v="Walk-in"/>
    <s v="Yes"/>
    <s v="No"/>
    <s v="No"/>
    <n v="2024"/>
    <s v="December"/>
    <s v="Q4"/>
  </r>
  <r>
    <s v="A0598"/>
    <s v="Furever Home"/>
    <x v="4"/>
    <x v="1"/>
    <s v="German Shepherd"/>
    <x v="7"/>
    <s v="Male"/>
    <n v="8.1"/>
    <n v="16.7"/>
    <x v="0"/>
    <s v="2022-06-03"/>
    <s v="Owner Surrender"/>
    <s v="2022-10-08"/>
    <s v="Adopted"/>
    <n v="127"/>
    <x v="3"/>
    <n v="4740"/>
    <n v="0"/>
    <x v="4"/>
    <s v="Social Media"/>
    <s v="No"/>
    <s v="No"/>
    <s v="No"/>
    <n v="2022"/>
    <s v="June"/>
    <s v="Q2"/>
  </r>
  <r>
    <s v="A0599"/>
    <s v="Paws &amp; Claws Rescue"/>
    <x v="4"/>
    <x v="0"/>
    <s v="Persian"/>
    <x v="2"/>
    <s v="Male"/>
    <n v="4.7"/>
    <n v="16.100000000000001"/>
    <x v="0"/>
    <s v="2022-09-24"/>
    <s v="Abandoned"/>
    <s v="2022-11-20"/>
    <s v="Euthanized"/>
    <n v="57"/>
    <x v="0"/>
    <n v="0"/>
    <n v="0"/>
    <x v="0"/>
    <s v="Referral"/>
    <s v="Yes"/>
    <s v="No"/>
    <s v="No"/>
    <n v="2022"/>
    <s v="September"/>
    <s v="Q3"/>
  </r>
  <r>
    <s v="A0600"/>
    <s v="City Animal Shelter"/>
    <x v="3"/>
    <x v="1"/>
    <s v="German Shepherd"/>
    <x v="7"/>
    <s v="Female"/>
    <n v="0.3"/>
    <n v="16.399999999999999"/>
    <x v="0"/>
    <s v="2022-10-29"/>
    <s v="Abandoned"/>
    <s v="2023-02-25"/>
    <s v="Adopted"/>
    <n v="119"/>
    <x v="5"/>
    <n v="3902"/>
    <n v="0"/>
    <x v="1"/>
    <s v="Social Media"/>
    <s v="No"/>
    <s v="Yes"/>
    <s v="No"/>
    <n v="2022"/>
    <s v="October"/>
    <s v="Q4"/>
  </r>
  <r>
    <s v="A0601"/>
    <s v="Happy Paws Shelter"/>
    <x v="3"/>
    <x v="2"/>
    <s v="Finch"/>
    <x v="2"/>
    <s v="Female"/>
    <n v="0.7"/>
    <n v="9.9"/>
    <x v="0"/>
    <s v="2024-06-01"/>
    <s v="Abandoned"/>
    <s v="2024-10-10"/>
    <s v="Euthanized"/>
    <n v="131"/>
    <x v="0"/>
    <n v="0"/>
    <n v="0"/>
    <x v="0"/>
    <s v="Website"/>
    <s v="No"/>
    <s v="Yes"/>
    <s v="No"/>
    <n v="2024"/>
    <s v="June"/>
    <s v="Q2"/>
  </r>
  <r>
    <s v="A0602"/>
    <s v="Second Chance Rescue"/>
    <x v="0"/>
    <x v="0"/>
    <s v="Maine Coon"/>
    <x v="6"/>
    <s v="Male"/>
    <n v="1.4"/>
    <n v="2.2000000000000002"/>
    <x v="0"/>
    <s v="2024-10-07"/>
    <s v="Stray"/>
    <s v="2024-12-31"/>
    <s v="Still in Shelter"/>
    <n v="133"/>
    <x v="0"/>
    <n v="0"/>
    <n v="0"/>
    <x v="0"/>
    <s v="Event"/>
    <s v="Yes"/>
    <s v="Yes"/>
    <s v="Yes"/>
    <n v="2024"/>
    <s v="October"/>
    <s v="Q4"/>
  </r>
  <r>
    <s v="A0603"/>
    <s v="Hope Animal Shelter"/>
    <x v="7"/>
    <x v="0"/>
    <s v="Persian"/>
    <x v="7"/>
    <s v="Male"/>
    <n v="4.8"/>
    <n v="4"/>
    <x v="0"/>
    <s v="2023-07-19"/>
    <s v="Owner Surrender"/>
    <s v="2023-09-15"/>
    <s v="Still in Shelter"/>
    <n v="58"/>
    <x v="0"/>
    <n v="0"/>
    <n v="0"/>
    <x v="0"/>
    <s v="Social Media"/>
    <s v="Yes"/>
    <s v="No"/>
    <s v="No"/>
    <n v="2023"/>
    <s v="July"/>
    <s v="Q3"/>
  </r>
  <r>
    <s v="A0604"/>
    <s v="Second Chance Rescue"/>
    <x v="2"/>
    <x v="1"/>
    <s v="German Shepherd"/>
    <x v="4"/>
    <s v="Male"/>
    <n v="10.199999999999999"/>
    <n v="24.2"/>
    <x v="0"/>
    <s v="2023-01-15"/>
    <s v="Abandoned"/>
    <s v="2023-05-24"/>
    <s v="Fostered"/>
    <n v="129"/>
    <x v="0"/>
    <n v="0"/>
    <n v="500"/>
    <x v="0"/>
    <s v="Referral"/>
    <s v="Yes"/>
    <s v="Yes"/>
    <s v="No"/>
    <n v="2023"/>
    <s v="January"/>
    <s v="Q1"/>
  </r>
  <r>
    <s v="A0605"/>
    <s v="Happy Paws Shelter"/>
    <x v="2"/>
    <x v="2"/>
    <s v="Canary"/>
    <x v="7"/>
    <s v="Male"/>
    <n v="10.6"/>
    <n v="6.4"/>
    <x v="3"/>
    <s v="2022-02-12"/>
    <s v="Owner Surrender"/>
    <s v="2022-03-30"/>
    <s v="Transferred"/>
    <n v="46"/>
    <x v="0"/>
    <n v="0"/>
    <n v="0"/>
    <x v="0"/>
    <s v="Referral"/>
    <s v="Yes"/>
    <s v="Yes"/>
    <s v="Yes"/>
    <n v="2022"/>
    <s v="February"/>
    <s v="Q1"/>
  </r>
  <r>
    <s v="A0606"/>
    <s v="Hope Animal Shelter"/>
    <x v="2"/>
    <x v="1"/>
    <s v="Bulldog"/>
    <x v="7"/>
    <s v="Female"/>
    <n v="1.2"/>
    <n v="11"/>
    <x v="4"/>
    <s v="2023-04-13"/>
    <s v="Abandoned"/>
    <s v="2023-08-26"/>
    <s v="Adopted"/>
    <n v="135"/>
    <x v="3"/>
    <n v="4200"/>
    <n v="5000"/>
    <x v="4"/>
    <s v="Referral"/>
    <s v="Yes"/>
    <s v="No"/>
    <s v="No"/>
    <n v="2023"/>
    <s v="April"/>
    <s v="Q2"/>
  </r>
  <r>
    <s v="A0607"/>
    <s v="Hope Animal Shelter"/>
    <x v="3"/>
    <x v="1"/>
    <s v="Beagle"/>
    <x v="3"/>
    <s v="Female"/>
    <n v="3.3"/>
    <n v="18.399999999999999"/>
    <x v="2"/>
    <s v="2023-09-09"/>
    <s v="Owner Surrender"/>
    <s v="2023-12-04"/>
    <s v="Fostered"/>
    <n v="86"/>
    <x v="0"/>
    <n v="0"/>
    <n v="0"/>
    <x v="0"/>
    <s v="Website"/>
    <s v="Yes"/>
    <s v="No"/>
    <s v="Yes"/>
    <n v="2023"/>
    <s v="September"/>
    <s v="Q3"/>
  </r>
  <r>
    <s v="A0608"/>
    <s v="Hope Animal Shelter"/>
    <x v="5"/>
    <x v="1"/>
    <s v="Mixed Breed"/>
    <x v="5"/>
    <s v="Male"/>
    <n v="7.7"/>
    <n v="33.799999999999997"/>
    <x v="0"/>
    <s v="2024-01-07"/>
    <s v="Confiscated"/>
    <s v="2024-02-29"/>
    <s v="Adopted"/>
    <n v="53"/>
    <x v="1"/>
    <n v="4587"/>
    <n v="500"/>
    <x v="4"/>
    <s v="Referral"/>
    <s v="No"/>
    <s v="No"/>
    <s v="No"/>
    <n v="2024"/>
    <s v="January"/>
    <s v="Q1"/>
  </r>
  <r>
    <s v="A0609"/>
    <s v="Furever Home"/>
    <x v="2"/>
    <x v="1"/>
    <s v="Labrador"/>
    <x v="8"/>
    <s v="Male"/>
    <n v="10"/>
    <n v="4.7"/>
    <x v="0"/>
    <s v="2024-12-01"/>
    <s v="Transfer from Another Shelter"/>
    <s v="2024-12-31"/>
    <s v="Euthanized"/>
    <n v="180"/>
    <x v="0"/>
    <n v="0"/>
    <n v="0"/>
    <x v="0"/>
    <s v="Website"/>
    <s v="No"/>
    <s v="No"/>
    <s v="No"/>
    <n v="2024"/>
    <s v="December"/>
    <s v="Q4"/>
  </r>
  <r>
    <s v="A0610"/>
    <s v="Furever Home"/>
    <x v="3"/>
    <x v="0"/>
    <s v="Bengal"/>
    <x v="6"/>
    <s v="Female"/>
    <n v="0.9"/>
    <n v="10.7"/>
    <x v="2"/>
    <s v="2022-11-30"/>
    <s v="Born in Shelter"/>
    <s v="2023-02-16"/>
    <s v="Fostered"/>
    <n v="78"/>
    <x v="0"/>
    <n v="0"/>
    <n v="500"/>
    <x v="0"/>
    <s v="Walk-in"/>
    <s v="Yes"/>
    <s v="No"/>
    <s v="No"/>
    <n v="2022"/>
    <s v="November"/>
    <s v="Q4"/>
  </r>
  <r>
    <s v="A0611"/>
    <s v="Paws &amp; Claws Rescue"/>
    <x v="6"/>
    <x v="1"/>
    <s v="Mixed Breed"/>
    <x v="4"/>
    <s v="Female"/>
    <n v="1.7"/>
    <n v="30.8"/>
    <x v="0"/>
    <s v="2023-12-23"/>
    <s v="Confiscated"/>
    <s v="2024-06-10"/>
    <s v="Adopted"/>
    <n v="170"/>
    <x v="2"/>
    <n v="3408"/>
    <n v="0"/>
    <x v="2"/>
    <s v="Event"/>
    <s v="Yes"/>
    <s v="No"/>
    <s v="No"/>
    <n v="2023"/>
    <s v="December"/>
    <s v="Q4"/>
  </r>
  <r>
    <s v="A0612"/>
    <s v="Happy Paws Shelter"/>
    <x v="7"/>
    <x v="1"/>
    <s v="Husky"/>
    <x v="8"/>
    <s v="Female"/>
    <n v="5.0999999999999996"/>
    <n v="33.9"/>
    <x v="0"/>
    <s v="2023-12-28"/>
    <s v="Born in Shelter"/>
    <s v="2024-03-01"/>
    <s v="Still in Shelter"/>
    <n v="64"/>
    <x v="0"/>
    <n v="0"/>
    <n v="0"/>
    <x v="0"/>
    <s v="Referral"/>
    <s v="Yes"/>
    <s v="No"/>
    <s v="No"/>
    <n v="2023"/>
    <s v="December"/>
    <s v="Q4"/>
  </r>
  <r>
    <s v="A0613"/>
    <s v="Hope Animal Shelter"/>
    <x v="5"/>
    <x v="1"/>
    <s v="Bulldog"/>
    <x v="5"/>
    <s v="Male"/>
    <n v="3.7"/>
    <n v="10.8"/>
    <x v="3"/>
    <s v="2022-10-05"/>
    <s v="Transfer from Another Shelter"/>
    <s v="2023-01-20"/>
    <s v="Returned to Owner"/>
    <n v="107"/>
    <x v="0"/>
    <n v="0"/>
    <n v="500"/>
    <x v="0"/>
    <s v="Walk-in"/>
    <s v="Yes"/>
    <s v="No"/>
    <s v="No"/>
    <n v="2022"/>
    <s v="October"/>
    <s v="Q4"/>
  </r>
  <r>
    <s v="A0614"/>
    <s v="Furever Home"/>
    <x v="5"/>
    <x v="3"/>
    <s v="Lionhead"/>
    <x v="9"/>
    <s v="Male"/>
    <n v="5.2"/>
    <n v="15"/>
    <x v="2"/>
    <s v="2024-01-03"/>
    <s v="Transfer from Another Shelter"/>
    <s v="2024-05-02"/>
    <s v="Euthanized"/>
    <n v="120"/>
    <x v="0"/>
    <n v="0"/>
    <n v="0"/>
    <x v="0"/>
    <s v="Walk-in"/>
    <s v="Yes"/>
    <s v="No"/>
    <s v="No"/>
    <n v="2024"/>
    <s v="January"/>
    <s v="Q1"/>
  </r>
  <r>
    <s v="A0615"/>
    <s v="Second Chance Rescue"/>
    <x v="1"/>
    <x v="1"/>
    <s v="Beagle"/>
    <x v="9"/>
    <s v="Female"/>
    <n v="0.7"/>
    <n v="29.7"/>
    <x v="2"/>
    <s v="2022-09-18"/>
    <s v="Born in Shelter"/>
    <s v="2023-02-24"/>
    <s v="Transferred"/>
    <n v="159"/>
    <x v="0"/>
    <n v="0"/>
    <n v="0"/>
    <x v="0"/>
    <s v="Referral"/>
    <s v="Yes"/>
    <s v="Yes"/>
    <s v="Yes"/>
    <n v="2022"/>
    <s v="September"/>
    <s v="Q3"/>
  </r>
  <r>
    <s v="A0616"/>
    <s v="Happy Paws Shelter"/>
    <x v="0"/>
    <x v="0"/>
    <s v="Ragdoll"/>
    <x v="0"/>
    <s v="Male"/>
    <n v="6.8"/>
    <n v="24.3"/>
    <x v="4"/>
    <s v="2022-08-08"/>
    <s v="Owner Surrender"/>
    <s v="2022-11-02"/>
    <s v="Adopted"/>
    <n v="86"/>
    <x v="3"/>
    <n v="4866"/>
    <n v="0"/>
    <x v="3"/>
    <s v="Event"/>
    <s v="No"/>
    <s v="Yes"/>
    <s v="No"/>
    <n v="2022"/>
    <s v="August"/>
    <s v="Q3"/>
  </r>
  <r>
    <s v="A0617"/>
    <s v="Paws &amp; Claws Rescue"/>
    <x v="0"/>
    <x v="1"/>
    <s v="Bulldog"/>
    <x v="5"/>
    <s v="Male"/>
    <n v="1.5"/>
    <n v="0.5"/>
    <x v="0"/>
    <s v="2023-09-29"/>
    <s v="Owner Surrender"/>
    <s v="2023-10-01"/>
    <s v="Fostered"/>
    <n v="2"/>
    <x v="0"/>
    <n v="0"/>
    <n v="0"/>
    <x v="0"/>
    <s v="Walk-in"/>
    <s v="No"/>
    <s v="Yes"/>
    <s v="No"/>
    <n v="2023"/>
    <s v="September"/>
    <s v="Q3"/>
  </r>
  <r>
    <s v="A0618"/>
    <s v="Second Chance Rescue"/>
    <x v="7"/>
    <x v="2"/>
    <s v="Parakeet"/>
    <x v="0"/>
    <s v="Female"/>
    <n v="5.9"/>
    <n v="6.8"/>
    <x v="2"/>
    <s v="2022-09-07"/>
    <s v="Confiscated"/>
    <s v="2022-11-23"/>
    <s v="Still in Shelter"/>
    <n v="77"/>
    <x v="0"/>
    <n v="0"/>
    <n v="0"/>
    <x v="0"/>
    <s v="Event"/>
    <s v="Yes"/>
    <s v="No"/>
    <s v="No"/>
    <n v="2022"/>
    <s v="September"/>
    <s v="Q3"/>
  </r>
  <r>
    <s v="A0619"/>
    <s v="Second Chance Rescue"/>
    <x v="5"/>
    <x v="1"/>
    <s v="Golden Retriever"/>
    <x v="7"/>
    <s v="Female"/>
    <n v="6.2"/>
    <n v="24.6"/>
    <x v="0"/>
    <s v="2022-10-18"/>
    <s v="Confiscated"/>
    <s v="2023-04-05"/>
    <s v="Returned to Owner"/>
    <n v="169"/>
    <x v="0"/>
    <n v="0"/>
    <n v="0"/>
    <x v="0"/>
    <s v="Walk-in"/>
    <s v="No"/>
    <s v="No"/>
    <s v="No"/>
    <n v="2022"/>
    <s v="October"/>
    <s v="Q4"/>
  </r>
  <r>
    <s v="A0620"/>
    <s v="City Animal Shelter"/>
    <x v="5"/>
    <x v="2"/>
    <s v="Lovebird"/>
    <x v="4"/>
    <s v="Female"/>
    <n v="9.8000000000000007"/>
    <n v="5.6"/>
    <x v="0"/>
    <s v="2022-08-08"/>
    <s v="Born in Shelter"/>
    <s v="2022-12-05"/>
    <s v="Still in Shelter"/>
    <n v="119"/>
    <x v="0"/>
    <n v="0"/>
    <n v="0"/>
    <x v="0"/>
    <s v="Social Media"/>
    <s v="Yes"/>
    <s v="No"/>
    <s v="No"/>
    <n v="2022"/>
    <s v="August"/>
    <s v="Q3"/>
  </r>
  <r>
    <s v="A0621"/>
    <s v="Paws &amp; Claws Rescue"/>
    <x v="4"/>
    <x v="1"/>
    <s v="Beagle"/>
    <x v="1"/>
    <s v="Female"/>
    <n v="0.2"/>
    <n v="6"/>
    <x v="1"/>
    <s v="2022-10-13"/>
    <s v="Stray"/>
    <s v="2023-02-10"/>
    <s v="Fostered"/>
    <n v="120"/>
    <x v="0"/>
    <n v="0"/>
    <n v="500"/>
    <x v="0"/>
    <s v="Website"/>
    <s v="Yes"/>
    <s v="No"/>
    <s v="No"/>
    <n v="2022"/>
    <s v="October"/>
    <s v="Q4"/>
  </r>
  <r>
    <s v="A0622"/>
    <s v="Hope Animal Shelter"/>
    <x v="5"/>
    <x v="1"/>
    <s v="Golden Retriever"/>
    <x v="2"/>
    <s v="Female"/>
    <n v="11.1"/>
    <n v="2.9"/>
    <x v="1"/>
    <s v="2023-07-25"/>
    <s v="Confiscated"/>
    <s v="2024-01-10"/>
    <s v="Transferred"/>
    <n v="169"/>
    <x v="0"/>
    <n v="0"/>
    <n v="0"/>
    <x v="0"/>
    <s v="Website"/>
    <s v="Yes"/>
    <s v="Yes"/>
    <s v="No"/>
    <n v="2023"/>
    <s v="July"/>
    <s v="Q3"/>
  </r>
  <r>
    <s v="A0623"/>
    <s v="Hope Animal Shelter"/>
    <x v="0"/>
    <x v="1"/>
    <s v="Beagle"/>
    <x v="7"/>
    <s v="Female"/>
    <n v="8.8000000000000007"/>
    <n v="8.5"/>
    <x v="0"/>
    <s v="2024-04-06"/>
    <s v="Owner Surrender"/>
    <s v="2024-04-24"/>
    <s v="Adopted"/>
    <n v="18"/>
    <x v="2"/>
    <n v="3241"/>
    <n v="5000"/>
    <x v="1"/>
    <s v="Website"/>
    <s v="No"/>
    <s v="No"/>
    <s v="Yes"/>
    <n v="2024"/>
    <s v="April"/>
    <s v="Q2"/>
  </r>
  <r>
    <s v="A0624"/>
    <s v="Happy Paws Shelter"/>
    <x v="6"/>
    <x v="1"/>
    <s v="Bulldog"/>
    <x v="1"/>
    <s v="Male"/>
    <n v="4.5999999999999996"/>
    <n v="22.3"/>
    <x v="4"/>
    <s v="2022-08-23"/>
    <s v="Transfer from Another Shelter"/>
    <s v="2022-09-02"/>
    <s v="Adopted"/>
    <n v="10"/>
    <x v="4"/>
    <n v="6617"/>
    <n v="5000"/>
    <x v="3"/>
    <s v="Event"/>
    <s v="Yes"/>
    <s v="Yes"/>
    <s v="No"/>
    <n v="2022"/>
    <s v="August"/>
    <s v="Q3"/>
  </r>
  <r>
    <s v="A0625"/>
    <s v="Second Chance Rescue"/>
    <x v="0"/>
    <x v="1"/>
    <s v="Husky"/>
    <x v="0"/>
    <s v="Male"/>
    <n v="5.3"/>
    <n v="18.7"/>
    <x v="4"/>
    <s v="2023-08-09"/>
    <s v="Confiscated"/>
    <s v="2023-10-06"/>
    <s v="Returned to Owner"/>
    <n v="58"/>
    <x v="0"/>
    <n v="0"/>
    <n v="0"/>
    <x v="0"/>
    <s v="Walk-in"/>
    <s v="Yes"/>
    <s v="Yes"/>
    <s v="No"/>
    <n v="2023"/>
    <s v="August"/>
    <s v="Q3"/>
  </r>
  <r>
    <s v="A0626"/>
    <s v="Hope Animal Shelter"/>
    <x v="5"/>
    <x v="1"/>
    <s v="Beagle"/>
    <x v="6"/>
    <s v="Male"/>
    <n v="8.1999999999999993"/>
    <n v="33.5"/>
    <x v="1"/>
    <s v="2024-04-15"/>
    <s v="Transfer from Another Shelter"/>
    <s v="2024-09-08"/>
    <s v="Adopted"/>
    <n v="146"/>
    <x v="3"/>
    <n v="5791"/>
    <n v="0"/>
    <x v="4"/>
    <s v="Social Media"/>
    <s v="Yes"/>
    <s v="Yes"/>
    <s v="No"/>
    <n v="2024"/>
    <s v="April"/>
    <s v="Q2"/>
  </r>
  <r>
    <s v="A0627"/>
    <s v="Furever Home"/>
    <x v="4"/>
    <x v="2"/>
    <s v="Lovebird"/>
    <x v="9"/>
    <s v="Female"/>
    <n v="6.3"/>
    <n v="4"/>
    <x v="0"/>
    <s v="2022-05-26"/>
    <s v="Owner Surrender"/>
    <s v="2022-10-19"/>
    <s v="Adopted"/>
    <n v="146"/>
    <x v="1"/>
    <n v="1020"/>
    <n v="5000"/>
    <x v="4"/>
    <s v="Referral"/>
    <s v="Yes"/>
    <s v="Yes"/>
    <s v="No"/>
    <n v="2022"/>
    <s v="May"/>
    <s v="Q2"/>
  </r>
  <r>
    <s v="A0628"/>
    <s v="Hope Animal Shelter"/>
    <x v="0"/>
    <x v="0"/>
    <s v="Persian"/>
    <x v="0"/>
    <s v="Female"/>
    <n v="4.9000000000000004"/>
    <n v="2.5"/>
    <x v="0"/>
    <s v="2024-12-30"/>
    <s v="Confiscated"/>
    <s v="2024-12-31"/>
    <s v="Returned to Owner"/>
    <n v="148"/>
    <x v="0"/>
    <n v="0"/>
    <n v="500"/>
    <x v="0"/>
    <s v="Walk-in"/>
    <s v="Yes"/>
    <s v="No"/>
    <s v="No"/>
    <n v="2024"/>
    <s v="December"/>
    <s v="Q4"/>
  </r>
  <r>
    <s v="A0629"/>
    <s v="Hope Animal Shelter"/>
    <x v="3"/>
    <x v="0"/>
    <s v="Siamese"/>
    <x v="6"/>
    <s v="Female"/>
    <n v="9.8000000000000007"/>
    <n v="11.9"/>
    <x v="0"/>
    <s v="2023-11-17"/>
    <s v="Born in Shelter"/>
    <s v="2023-12-03"/>
    <s v="Adopted"/>
    <n v="16"/>
    <x v="3"/>
    <n v="2336"/>
    <n v="1000"/>
    <x v="1"/>
    <s v="Social Media"/>
    <s v="Yes"/>
    <s v="No"/>
    <s v="Yes"/>
    <n v="2023"/>
    <s v="November"/>
    <s v="Q4"/>
  </r>
  <r>
    <s v="A0630"/>
    <s v="City Animal Shelter"/>
    <x v="1"/>
    <x v="0"/>
    <s v="Domestic Shorthair"/>
    <x v="7"/>
    <s v="Female"/>
    <n v="6"/>
    <n v="8.3000000000000007"/>
    <x v="2"/>
    <s v="2022-09-23"/>
    <s v="Owner Surrender"/>
    <s v="2022-12-02"/>
    <s v="Adopted"/>
    <n v="70"/>
    <x v="5"/>
    <n v="1926"/>
    <n v="0"/>
    <x v="1"/>
    <s v="Walk-in"/>
    <s v="Yes"/>
    <s v="No"/>
    <s v="No"/>
    <n v="2022"/>
    <s v="September"/>
    <s v="Q3"/>
  </r>
  <r>
    <s v="A0631"/>
    <s v="Furever Home"/>
    <x v="6"/>
    <x v="1"/>
    <s v="Husky"/>
    <x v="4"/>
    <s v="Female"/>
    <n v="8.4"/>
    <n v="15.3"/>
    <x v="0"/>
    <s v="2022-04-17"/>
    <s v="Born in Shelter"/>
    <s v="2022-07-26"/>
    <s v="Still in Shelter"/>
    <n v="100"/>
    <x v="0"/>
    <n v="0"/>
    <n v="0"/>
    <x v="0"/>
    <s v="Social Media"/>
    <s v="Yes"/>
    <s v="Yes"/>
    <s v="No"/>
    <n v="2022"/>
    <s v="April"/>
    <s v="Q2"/>
  </r>
  <r>
    <s v="A0632"/>
    <s v="Paws &amp; Claws Rescue"/>
    <x v="3"/>
    <x v="2"/>
    <s v="Parakeet"/>
    <x v="9"/>
    <s v="Male"/>
    <n v="2.8"/>
    <n v="26.3"/>
    <x v="2"/>
    <s v="2023-05-03"/>
    <s v="Stray"/>
    <s v="2023-07-02"/>
    <s v="Adopted"/>
    <n v="60"/>
    <x v="5"/>
    <n v="2910"/>
    <n v="0"/>
    <x v="1"/>
    <s v="Website"/>
    <s v="No"/>
    <s v="Yes"/>
    <s v="No"/>
    <n v="2023"/>
    <s v="May"/>
    <s v="Q2"/>
  </r>
  <r>
    <s v="A0633"/>
    <s v="Hope Animal Shelter"/>
    <x v="0"/>
    <x v="1"/>
    <s v="Beagle"/>
    <x v="4"/>
    <s v="Male"/>
    <n v="1.6"/>
    <n v="14.2"/>
    <x v="0"/>
    <s v="2023-12-18"/>
    <s v="Born in Shelter"/>
    <s v="2024-05-21"/>
    <s v="Returned to Owner"/>
    <n v="155"/>
    <x v="0"/>
    <n v="0"/>
    <n v="500"/>
    <x v="0"/>
    <s v="Website"/>
    <s v="No"/>
    <s v="No"/>
    <s v="No"/>
    <n v="2023"/>
    <s v="December"/>
    <s v="Q4"/>
  </r>
  <r>
    <s v="A0634"/>
    <s v="City Animal Shelter"/>
    <x v="2"/>
    <x v="1"/>
    <s v="Husky"/>
    <x v="5"/>
    <s v="Male"/>
    <n v="10.4"/>
    <n v="8.9"/>
    <x v="0"/>
    <s v="2023-09-12"/>
    <s v="Abandoned"/>
    <s v="2023-12-15"/>
    <s v="Transferred"/>
    <n v="94"/>
    <x v="0"/>
    <n v="0"/>
    <n v="0"/>
    <x v="0"/>
    <s v="Referral"/>
    <s v="No"/>
    <s v="No"/>
    <s v="Yes"/>
    <n v="2023"/>
    <s v="September"/>
    <s v="Q3"/>
  </r>
  <r>
    <s v="A0635"/>
    <s v="City Animal Shelter"/>
    <x v="6"/>
    <x v="1"/>
    <s v="Golden Retriever"/>
    <x v="9"/>
    <s v="Male"/>
    <n v="8.9"/>
    <n v="7.8"/>
    <x v="4"/>
    <s v="2024-12-02"/>
    <s v="Transfer from Another Shelter"/>
    <s v="2024-12-31"/>
    <s v="Transferred"/>
    <n v="60"/>
    <x v="0"/>
    <n v="0"/>
    <n v="0"/>
    <x v="0"/>
    <s v="Referral"/>
    <s v="Yes"/>
    <s v="Yes"/>
    <s v="No"/>
    <n v="2024"/>
    <s v="December"/>
    <s v="Q4"/>
  </r>
  <r>
    <s v="A0636"/>
    <s v="Happy Paws Shelter"/>
    <x v="7"/>
    <x v="1"/>
    <s v="Bulldog"/>
    <x v="0"/>
    <s v="Female"/>
    <n v="3.7"/>
    <n v="33.799999999999997"/>
    <x v="3"/>
    <s v="2023-07-24"/>
    <s v="Stray"/>
    <s v="2023-12-22"/>
    <s v="Still in Shelter"/>
    <n v="151"/>
    <x v="0"/>
    <n v="0"/>
    <n v="0"/>
    <x v="0"/>
    <s v="Referral"/>
    <s v="No"/>
    <s v="No"/>
    <s v="Yes"/>
    <n v="2023"/>
    <s v="July"/>
    <s v="Q3"/>
  </r>
  <r>
    <s v="A0637"/>
    <s v="Happy Paws Shelter"/>
    <x v="2"/>
    <x v="1"/>
    <s v="Poodle"/>
    <x v="9"/>
    <s v="Female"/>
    <n v="6.4"/>
    <n v="23.3"/>
    <x v="2"/>
    <s v="2024-02-16"/>
    <s v="Abandoned"/>
    <s v="2024-04-04"/>
    <s v="Still in Shelter"/>
    <n v="48"/>
    <x v="0"/>
    <n v="0"/>
    <n v="0"/>
    <x v="0"/>
    <s v="Event"/>
    <s v="Yes"/>
    <s v="Yes"/>
    <s v="No"/>
    <n v="2024"/>
    <s v="February"/>
    <s v="Q1"/>
  </r>
  <r>
    <s v="A0638"/>
    <s v="City Animal Shelter"/>
    <x v="5"/>
    <x v="1"/>
    <s v="Mixed Breed"/>
    <x v="2"/>
    <s v="Female"/>
    <n v="11.4"/>
    <n v="32.700000000000003"/>
    <x v="0"/>
    <s v="2024-05-25"/>
    <s v="Transfer from Another Shelter"/>
    <s v="2024-06-09"/>
    <s v="Adopted"/>
    <n v="15"/>
    <x v="4"/>
    <n v="7532"/>
    <n v="500"/>
    <x v="3"/>
    <s v="Website"/>
    <s v="Yes"/>
    <s v="No"/>
    <s v="No"/>
    <n v="2024"/>
    <s v="May"/>
    <s v="Q2"/>
  </r>
  <r>
    <s v="A0639"/>
    <s v="City Animal Shelter"/>
    <x v="7"/>
    <x v="0"/>
    <s v="Siamese"/>
    <x v="0"/>
    <s v="Male"/>
    <n v="0.6"/>
    <n v="10"/>
    <x v="0"/>
    <s v="2023-08-29"/>
    <s v="Abandoned"/>
    <s v="2023-11-24"/>
    <s v="Still in Shelter"/>
    <n v="87"/>
    <x v="0"/>
    <n v="0"/>
    <n v="0"/>
    <x v="0"/>
    <s v="Event"/>
    <s v="Yes"/>
    <s v="No"/>
    <s v="No"/>
    <n v="2023"/>
    <s v="August"/>
    <s v="Q3"/>
  </r>
  <r>
    <s v="A0640"/>
    <s v="Paws &amp; Claws Rescue"/>
    <x v="4"/>
    <x v="1"/>
    <s v="Husky"/>
    <x v="2"/>
    <s v="Male"/>
    <n v="11.6"/>
    <n v="17.100000000000001"/>
    <x v="1"/>
    <s v="2022-02-05"/>
    <s v="Stray"/>
    <s v="2022-05-29"/>
    <s v="Adopted"/>
    <n v="113"/>
    <x v="1"/>
    <n v="6821"/>
    <n v="0"/>
    <x v="4"/>
    <s v="Walk-in"/>
    <s v="No"/>
    <s v="Yes"/>
    <s v="No"/>
    <n v="2022"/>
    <s v="February"/>
    <s v="Q1"/>
  </r>
  <r>
    <s v="A0641"/>
    <s v="Happy Paws Shelter"/>
    <x v="4"/>
    <x v="0"/>
    <s v="Bengal"/>
    <x v="4"/>
    <s v="Male"/>
    <n v="1.8"/>
    <n v="21.8"/>
    <x v="0"/>
    <s v="2024-10-10"/>
    <s v="Confiscated"/>
    <s v="2024-11-12"/>
    <s v="Returned to Owner"/>
    <n v="33"/>
    <x v="0"/>
    <n v="0"/>
    <n v="0"/>
    <x v="0"/>
    <s v="Event"/>
    <s v="No"/>
    <s v="No"/>
    <s v="No"/>
    <n v="2024"/>
    <s v="October"/>
    <s v="Q4"/>
  </r>
  <r>
    <s v="A0642"/>
    <s v="City Animal Shelter"/>
    <x v="3"/>
    <x v="1"/>
    <s v="Poodle"/>
    <x v="0"/>
    <s v="Male"/>
    <n v="0.3"/>
    <n v="29.7"/>
    <x v="0"/>
    <s v="2022-05-05"/>
    <s v="Stray"/>
    <s v="2022-07-11"/>
    <s v="Transferred"/>
    <n v="67"/>
    <x v="0"/>
    <n v="0"/>
    <n v="0"/>
    <x v="0"/>
    <s v="Walk-in"/>
    <s v="No"/>
    <s v="Yes"/>
    <s v="Yes"/>
    <n v="2022"/>
    <s v="May"/>
    <s v="Q2"/>
  </r>
  <r>
    <s v="A0643"/>
    <s v="Happy Paws Shelter"/>
    <x v="1"/>
    <x v="1"/>
    <s v="Poodle"/>
    <x v="8"/>
    <s v="Male"/>
    <n v="10"/>
    <n v="24"/>
    <x v="0"/>
    <s v="2023-10-30"/>
    <s v="Abandoned"/>
    <s v="2024-03-25"/>
    <s v="Euthanized"/>
    <n v="147"/>
    <x v="0"/>
    <n v="0"/>
    <n v="0"/>
    <x v="0"/>
    <s v="Event"/>
    <s v="Yes"/>
    <s v="No"/>
    <s v="No"/>
    <n v="2023"/>
    <s v="October"/>
    <s v="Q4"/>
  </r>
  <r>
    <s v="A0644"/>
    <s v="Paws &amp; Claws Rescue"/>
    <x v="3"/>
    <x v="3"/>
    <s v="Dutch"/>
    <x v="4"/>
    <s v="Male"/>
    <n v="0.6"/>
    <n v="32.6"/>
    <x v="2"/>
    <s v="2023-08-26"/>
    <s v="Abandoned"/>
    <s v="2024-02-02"/>
    <s v="Adopted"/>
    <n v="160"/>
    <x v="3"/>
    <n v="1156"/>
    <n v="0"/>
    <x v="4"/>
    <s v="Website"/>
    <s v="No"/>
    <s v="No"/>
    <s v="Yes"/>
    <n v="2023"/>
    <s v="August"/>
    <s v="Q3"/>
  </r>
  <r>
    <s v="A0645"/>
    <s v="Paws &amp; Claws Rescue"/>
    <x v="3"/>
    <x v="1"/>
    <s v="Mixed Breed"/>
    <x v="0"/>
    <s v="Female"/>
    <n v="6.5"/>
    <n v="4.7"/>
    <x v="4"/>
    <s v="2022-06-10"/>
    <s v="Born in Shelter"/>
    <s v="2022-06-30"/>
    <s v="Returned to Owner"/>
    <n v="20"/>
    <x v="0"/>
    <n v="0"/>
    <n v="1000"/>
    <x v="0"/>
    <s v="Event"/>
    <s v="No"/>
    <s v="No"/>
    <s v="No"/>
    <n v="2022"/>
    <s v="June"/>
    <s v="Q2"/>
  </r>
  <r>
    <s v="A0646"/>
    <s v="Happy Paws Shelter"/>
    <x v="4"/>
    <x v="1"/>
    <s v="Bulldog"/>
    <x v="7"/>
    <s v="Female"/>
    <n v="2.8"/>
    <n v="11.4"/>
    <x v="0"/>
    <s v="2023-05-15"/>
    <s v="Stray"/>
    <s v="2023-08-08"/>
    <s v="Returned to Owner"/>
    <n v="85"/>
    <x v="0"/>
    <n v="0"/>
    <n v="500"/>
    <x v="0"/>
    <s v="Social Media"/>
    <s v="Yes"/>
    <s v="No"/>
    <s v="No"/>
    <n v="2023"/>
    <s v="May"/>
    <s v="Q2"/>
  </r>
  <r>
    <s v="A0647"/>
    <s v="Furever Home"/>
    <x v="6"/>
    <x v="1"/>
    <s v="Poodle"/>
    <x v="0"/>
    <s v="Female"/>
    <n v="11.1"/>
    <n v="9"/>
    <x v="2"/>
    <s v="2024-07-08"/>
    <s v="Abandoned"/>
    <s v="2024-10-24"/>
    <s v="Returned to Owner"/>
    <n v="108"/>
    <x v="0"/>
    <n v="0"/>
    <n v="0"/>
    <x v="0"/>
    <s v="Social Media"/>
    <s v="Yes"/>
    <s v="Yes"/>
    <s v="Yes"/>
    <n v="2024"/>
    <s v="July"/>
    <s v="Q3"/>
  </r>
  <r>
    <s v="A0648"/>
    <s v="Happy Paws Shelter"/>
    <x v="6"/>
    <x v="2"/>
    <s v="Lovebird"/>
    <x v="4"/>
    <s v="Female"/>
    <n v="10.8"/>
    <n v="30.7"/>
    <x v="0"/>
    <s v="2024-10-31"/>
    <s v="Born in Shelter"/>
    <s v="2024-12-08"/>
    <s v="Fostered"/>
    <n v="38"/>
    <x v="0"/>
    <n v="0"/>
    <n v="0"/>
    <x v="0"/>
    <s v="Referral"/>
    <s v="Yes"/>
    <s v="Yes"/>
    <s v="Yes"/>
    <n v="2024"/>
    <s v="October"/>
    <s v="Q4"/>
  </r>
  <r>
    <s v="A0649"/>
    <s v="Furever Home"/>
    <x v="2"/>
    <x v="2"/>
    <s v="Parakeet"/>
    <x v="3"/>
    <s v="Female"/>
    <n v="6.4"/>
    <n v="13.9"/>
    <x v="4"/>
    <s v="2022-12-08"/>
    <s v="Born in Shelter"/>
    <s v="2022-12-27"/>
    <s v="Adopted"/>
    <n v="19"/>
    <x v="2"/>
    <n v="2609"/>
    <n v="5000"/>
    <x v="4"/>
    <s v="Walk-in"/>
    <s v="Yes"/>
    <s v="No"/>
    <s v="Yes"/>
    <n v="2022"/>
    <s v="December"/>
    <s v="Q4"/>
  </r>
  <r>
    <s v="A0650"/>
    <s v="Furever Home"/>
    <x v="7"/>
    <x v="1"/>
    <s v="German Shepherd"/>
    <x v="7"/>
    <s v="Male"/>
    <n v="7.6"/>
    <n v="26.1"/>
    <x v="4"/>
    <s v="2023-12-28"/>
    <s v="Owner Surrender"/>
    <s v="2024-04-21"/>
    <s v="Still in Shelter"/>
    <n v="115"/>
    <x v="0"/>
    <n v="0"/>
    <n v="0"/>
    <x v="0"/>
    <s v="Event"/>
    <s v="Yes"/>
    <s v="Yes"/>
    <s v="Yes"/>
    <n v="2023"/>
    <s v="December"/>
    <s v="Q4"/>
  </r>
  <r>
    <s v="A0651"/>
    <s v="Paws &amp; Claws Rescue"/>
    <x v="7"/>
    <x v="1"/>
    <s v="Beagle"/>
    <x v="4"/>
    <s v="Male"/>
    <n v="5.3"/>
    <n v="18"/>
    <x v="0"/>
    <s v="2024-07-17"/>
    <s v="Transfer from Another Shelter"/>
    <s v="2024-10-23"/>
    <s v="Euthanized"/>
    <n v="98"/>
    <x v="0"/>
    <n v="0"/>
    <n v="0"/>
    <x v="0"/>
    <s v="Social Media"/>
    <s v="Yes"/>
    <s v="No"/>
    <s v="No"/>
    <n v="2024"/>
    <s v="July"/>
    <s v="Q3"/>
  </r>
  <r>
    <s v="A0652"/>
    <s v="Hope Animal Shelter"/>
    <x v="4"/>
    <x v="0"/>
    <s v="Bengal"/>
    <x v="2"/>
    <s v="Female"/>
    <n v="9.8000000000000007"/>
    <n v="25.8"/>
    <x v="1"/>
    <s v="2024-02-26"/>
    <s v="Born in Shelter"/>
    <s v="2024-05-18"/>
    <s v="Adopted"/>
    <n v="82"/>
    <x v="1"/>
    <n v="2086"/>
    <n v="0"/>
    <x v="1"/>
    <s v="Social Media"/>
    <s v="Yes"/>
    <s v="Yes"/>
    <s v="Yes"/>
    <n v="2024"/>
    <s v="February"/>
    <s v="Q1"/>
  </r>
  <r>
    <s v="A0653"/>
    <s v="Paws &amp; Claws Rescue"/>
    <x v="0"/>
    <x v="0"/>
    <s v="Bengal"/>
    <x v="6"/>
    <s v="Female"/>
    <n v="3.5"/>
    <n v="32.200000000000003"/>
    <x v="0"/>
    <s v="2024-09-23"/>
    <s v="Stray"/>
    <s v="2024-12-31"/>
    <s v="Returned to Owner"/>
    <n v="113"/>
    <x v="0"/>
    <n v="0"/>
    <n v="0"/>
    <x v="0"/>
    <s v="Website"/>
    <s v="Yes"/>
    <s v="Yes"/>
    <s v="Yes"/>
    <n v="2024"/>
    <s v="September"/>
    <s v="Q3"/>
  </r>
  <r>
    <s v="A0654"/>
    <s v="Paws &amp; Claws Rescue"/>
    <x v="1"/>
    <x v="0"/>
    <s v="Maine Coon"/>
    <x v="7"/>
    <s v="Male"/>
    <n v="4.5"/>
    <n v="10.199999999999999"/>
    <x v="2"/>
    <s v="2023-02-04"/>
    <s v="Transfer from Another Shelter"/>
    <s v="2023-02-06"/>
    <s v="Fostered"/>
    <n v="2"/>
    <x v="0"/>
    <n v="0"/>
    <n v="0"/>
    <x v="0"/>
    <s v="Social Media"/>
    <s v="Yes"/>
    <s v="No"/>
    <s v="Yes"/>
    <n v="2023"/>
    <s v="February"/>
    <s v="Q1"/>
  </r>
  <r>
    <s v="A0655"/>
    <s v="City Animal Shelter"/>
    <x v="0"/>
    <x v="1"/>
    <s v="Mixed Breed"/>
    <x v="6"/>
    <s v="Male"/>
    <n v="8.8000000000000007"/>
    <n v="4.5"/>
    <x v="0"/>
    <s v="2024-10-07"/>
    <s v="Owner Surrender"/>
    <s v="2024-12-14"/>
    <s v="Adopted"/>
    <n v="68"/>
    <x v="3"/>
    <n v="4120"/>
    <n v="0"/>
    <x v="4"/>
    <s v="Social Media"/>
    <s v="No"/>
    <s v="No"/>
    <s v="Yes"/>
    <n v="2024"/>
    <s v="October"/>
    <s v="Q4"/>
  </r>
  <r>
    <s v="A0656"/>
    <s v="Hope Animal Shelter"/>
    <x v="3"/>
    <x v="3"/>
    <s v="Holland Lop"/>
    <x v="9"/>
    <s v="Male"/>
    <n v="2.4"/>
    <n v="19.8"/>
    <x v="0"/>
    <s v="2024-06-06"/>
    <s v="Born in Shelter"/>
    <s v="2024-07-02"/>
    <s v="Euthanized"/>
    <n v="26"/>
    <x v="0"/>
    <n v="0"/>
    <n v="0"/>
    <x v="0"/>
    <s v="Referral"/>
    <s v="Yes"/>
    <s v="No"/>
    <s v="No"/>
    <n v="2024"/>
    <s v="June"/>
    <s v="Q2"/>
  </r>
  <r>
    <s v="A0657"/>
    <s v="Happy Paws Shelter"/>
    <x v="4"/>
    <x v="0"/>
    <s v="Domestic Shorthair"/>
    <x v="9"/>
    <s v="Female"/>
    <n v="3.5"/>
    <n v="7.4"/>
    <x v="0"/>
    <s v="2022-11-07"/>
    <s v="Transfer from Another Shelter"/>
    <s v="2023-03-12"/>
    <s v="Adopted"/>
    <n v="125"/>
    <x v="3"/>
    <n v="4504"/>
    <n v="500"/>
    <x v="3"/>
    <s v="Website"/>
    <s v="Yes"/>
    <s v="No"/>
    <s v="No"/>
    <n v="2022"/>
    <s v="November"/>
    <s v="Q4"/>
  </r>
  <r>
    <s v="A0658"/>
    <s v="Second Chance Rescue"/>
    <x v="7"/>
    <x v="1"/>
    <s v="Mixed Breed"/>
    <x v="6"/>
    <s v="Female"/>
    <n v="5.9"/>
    <n v="23.2"/>
    <x v="4"/>
    <s v="2023-04-26"/>
    <s v="Transfer from Another Shelter"/>
    <s v="2023-10-07"/>
    <s v="Euthanized"/>
    <n v="164"/>
    <x v="0"/>
    <n v="0"/>
    <n v="0"/>
    <x v="0"/>
    <s v="Referral"/>
    <s v="No"/>
    <s v="No"/>
    <s v="No"/>
    <n v="2023"/>
    <s v="April"/>
    <s v="Q2"/>
  </r>
  <r>
    <s v="A0659"/>
    <s v="City Animal Shelter"/>
    <x v="1"/>
    <x v="0"/>
    <s v="Domestic Shorthair"/>
    <x v="7"/>
    <s v="Female"/>
    <n v="11.6"/>
    <n v="31.4"/>
    <x v="0"/>
    <s v="2023-08-29"/>
    <s v="Confiscated"/>
    <s v="2023-09-23"/>
    <s v="Returned to Owner"/>
    <n v="25"/>
    <x v="0"/>
    <n v="0"/>
    <n v="0"/>
    <x v="0"/>
    <s v="Referral"/>
    <s v="Yes"/>
    <s v="Yes"/>
    <s v="No"/>
    <n v="2023"/>
    <s v="August"/>
    <s v="Q3"/>
  </r>
  <r>
    <s v="A0660"/>
    <s v="Furever Home"/>
    <x v="5"/>
    <x v="3"/>
    <s v="Holland Lop"/>
    <x v="0"/>
    <s v="Female"/>
    <n v="8.5"/>
    <n v="27.2"/>
    <x v="4"/>
    <s v="2023-12-13"/>
    <s v="Owner Surrender"/>
    <s v="2024-06-09"/>
    <s v="Still in Shelter"/>
    <n v="179"/>
    <x v="0"/>
    <n v="0"/>
    <n v="0"/>
    <x v="0"/>
    <s v="Walk-in"/>
    <s v="Yes"/>
    <s v="No"/>
    <s v="No"/>
    <n v="2023"/>
    <s v="December"/>
    <s v="Q4"/>
  </r>
  <r>
    <s v="A0661"/>
    <s v="Furever Home"/>
    <x v="1"/>
    <x v="2"/>
    <s v="Parakeet"/>
    <x v="8"/>
    <s v="Male"/>
    <n v="5"/>
    <n v="28.4"/>
    <x v="0"/>
    <s v="2023-10-24"/>
    <s v="Transfer from Another Shelter"/>
    <s v="2023-12-30"/>
    <s v="Euthanized"/>
    <n v="67"/>
    <x v="0"/>
    <n v="0"/>
    <n v="0"/>
    <x v="0"/>
    <s v="Website"/>
    <s v="Yes"/>
    <s v="No"/>
    <s v="Yes"/>
    <n v="2023"/>
    <s v="October"/>
    <s v="Q4"/>
  </r>
  <r>
    <s v="A0662"/>
    <s v="Paws &amp; Claws Rescue"/>
    <x v="2"/>
    <x v="0"/>
    <s v="Domestic Shorthair"/>
    <x v="3"/>
    <s v="Male"/>
    <n v="9.4"/>
    <n v="4.3"/>
    <x v="4"/>
    <s v="2024-04-19"/>
    <s v="Stray"/>
    <s v="2024-06-15"/>
    <s v="Adopted"/>
    <n v="57"/>
    <x v="4"/>
    <n v="3695"/>
    <n v="0"/>
    <x v="1"/>
    <s v="Social Media"/>
    <s v="Yes"/>
    <s v="No"/>
    <s v="Yes"/>
    <n v="2024"/>
    <s v="April"/>
    <s v="Q2"/>
  </r>
  <r>
    <s v="A0663"/>
    <s v="Hope Animal Shelter"/>
    <x v="4"/>
    <x v="1"/>
    <s v="Poodle"/>
    <x v="8"/>
    <s v="Male"/>
    <n v="10.1"/>
    <n v="14.1"/>
    <x v="0"/>
    <s v="2024-01-12"/>
    <s v="Abandoned"/>
    <s v="2024-05-29"/>
    <s v="Returned to Owner"/>
    <n v="138"/>
    <x v="0"/>
    <n v="0"/>
    <n v="0"/>
    <x v="0"/>
    <s v="Referral"/>
    <s v="Yes"/>
    <s v="No"/>
    <s v="No"/>
    <n v="2024"/>
    <s v="January"/>
    <s v="Q1"/>
  </r>
  <r>
    <s v="A0664"/>
    <s v="City Animal Shelter"/>
    <x v="7"/>
    <x v="1"/>
    <s v="Labrador"/>
    <x v="9"/>
    <s v="Male"/>
    <n v="9.5"/>
    <n v="2"/>
    <x v="4"/>
    <s v="2022-02-11"/>
    <s v="Confiscated"/>
    <s v="2022-06-26"/>
    <s v="Adopted"/>
    <n v="135"/>
    <x v="2"/>
    <n v="7108"/>
    <n v="500"/>
    <x v="1"/>
    <s v="Social Media"/>
    <s v="Yes"/>
    <s v="No"/>
    <s v="No"/>
    <n v="2022"/>
    <s v="February"/>
    <s v="Q1"/>
  </r>
  <r>
    <s v="A0665"/>
    <s v="Happy Paws Shelter"/>
    <x v="3"/>
    <x v="1"/>
    <s v="Bulldog"/>
    <x v="5"/>
    <s v="Male"/>
    <n v="8.5"/>
    <n v="25.8"/>
    <x v="0"/>
    <s v="2022-06-23"/>
    <s v="Confiscated"/>
    <s v="2022-07-13"/>
    <s v="Adopted"/>
    <n v="20"/>
    <x v="3"/>
    <n v="7132"/>
    <n v="2000"/>
    <x v="2"/>
    <s v="Website"/>
    <s v="Yes"/>
    <s v="No"/>
    <s v="No"/>
    <n v="2022"/>
    <s v="June"/>
    <s v="Q2"/>
  </r>
  <r>
    <s v="A0666"/>
    <s v="Hope Animal Shelter"/>
    <x v="5"/>
    <x v="0"/>
    <s v="Mixed Breed"/>
    <x v="2"/>
    <s v="Female"/>
    <n v="5.6"/>
    <n v="3.9"/>
    <x v="3"/>
    <s v="2022-02-17"/>
    <s v="Stray"/>
    <s v="2022-05-06"/>
    <s v="Transferred"/>
    <n v="78"/>
    <x v="0"/>
    <n v="0"/>
    <n v="0"/>
    <x v="0"/>
    <s v="Website"/>
    <s v="No"/>
    <s v="No"/>
    <s v="No"/>
    <n v="2022"/>
    <s v="February"/>
    <s v="Q1"/>
  </r>
  <r>
    <s v="A0667"/>
    <s v="Furever Home"/>
    <x v="2"/>
    <x v="1"/>
    <s v="Bulldog"/>
    <x v="5"/>
    <s v="Male"/>
    <n v="0.3"/>
    <n v="17.600000000000001"/>
    <x v="3"/>
    <s v="2024-12-28"/>
    <s v="Owner Surrender"/>
    <s v="2024-12-31"/>
    <s v="Returned to Owner"/>
    <n v="130"/>
    <x v="0"/>
    <n v="0"/>
    <n v="1000"/>
    <x v="0"/>
    <s v="Event"/>
    <s v="Yes"/>
    <s v="No"/>
    <s v="No"/>
    <n v="2024"/>
    <s v="December"/>
    <s v="Q4"/>
  </r>
  <r>
    <s v="A0668"/>
    <s v="Happy Paws Shelter"/>
    <x v="0"/>
    <x v="1"/>
    <s v="Beagle"/>
    <x v="5"/>
    <s v="Male"/>
    <n v="1.8"/>
    <n v="22.2"/>
    <x v="0"/>
    <s v="2024-09-03"/>
    <s v="Transfer from Another Shelter"/>
    <s v="2024-12-31"/>
    <s v="Adopted"/>
    <n v="145"/>
    <x v="3"/>
    <n v="5544"/>
    <n v="0"/>
    <x v="3"/>
    <s v="Walk-in"/>
    <s v="Yes"/>
    <s v="No"/>
    <s v="No"/>
    <n v="2024"/>
    <s v="September"/>
    <s v="Q3"/>
  </r>
  <r>
    <s v="A0669"/>
    <s v="Second Chance Rescue"/>
    <x v="3"/>
    <x v="0"/>
    <s v="Mixed Breed"/>
    <x v="1"/>
    <s v="Female"/>
    <n v="5"/>
    <n v="26"/>
    <x v="2"/>
    <s v="2023-04-22"/>
    <s v="Stray"/>
    <s v="2023-05-08"/>
    <s v="Fostered"/>
    <n v="16"/>
    <x v="0"/>
    <n v="0"/>
    <n v="500"/>
    <x v="0"/>
    <s v="Social Media"/>
    <s v="Yes"/>
    <s v="No"/>
    <s v="No"/>
    <n v="2023"/>
    <s v="April"/>
    <s v="Q2"/>
  </r>
  <r>
    <s v="A0670"/>
    <s v="Paws &amp; Claws Rescue"/>
    <x v="0"/>
    <x v="0"/>
    <s v="Domestic Shorthair"/>
    <x v="4"/>
    <s v="Female"/>
    <n v="5.6"/>
    <n v="17.2"/>
    <x v="4"/>
    <s v="2023-10-04"/>
    <s v="Stray"/>
    <s v="2024-03-19"/>
    <s v="Returned to Owner"/>
    <n v="167"/>
    <x v="0"/>
    <n v="0"/>
    <n v="500"/>
    <x v="0"/>
    <s v="Referral"/>
    <s v="Yes"/>
    <s v="Yes"/>
    <s v="No"/>
    <n v="2023"/>
    <s v="October"/>
    <s v="Q4"/>
  </r>
  <r>
    <s v="A0671"/>
    <s v="Furever Home"/>
    <x v="5"/>
    <x v="0"/>
    <s v="Mixed Breed"/>
    <x v="3"/>
    <s v="Female"/>
    <n v="10.5"/>
    <n v="4.4000000000000004"/>
    <x v="0"/>
    <s v="2022-09-06"/>
    <s v="Confiscated"/>
    <s v="2022-10-19"/>
    <s v="Returned to Owner"/>
    <n v="43"/>
    <x v="0"/>
    <n v="0"/>
    <n v="1000"/>
    <x v="0"/>
    <s v="Event"/>
    <s v="No"/>
    <s v="No"/>
    <s v="Yes"/>
    <n v="2022"/>
    <s v="September"/>
    <s v="Q3"/>
  </r>
  <r>
    <s v="A0672"/>
    <s v="City Animal Shelter"/>
    <x v="6"/>
    <x v="0"/>
    <s v="Persian"/>
    <x v="3"/>
    <s v="Female"/>
    <n v="6.3"/>
    <n v="21.7"/>
    <x v="1"/>
    <s v="2024-06-10"/>
    <s v="Confiscated"/>
    <s v="2024-08-25"/>
    <s v="Transferred"/>
    <n v="76"/>
    <x v="0"/>
    <n v="0"/>
    <n v="0"/>
    <x v="0"/>
    <s v="Website"/>
    <s v="Yes"/>
    <s v="No"/>
    <s v="No"/>
    <n v="2024"/>
    <s v="June"/>
    <s v="Q2"/>
  </r>
  <r>
    <s v="A0673"/>
    <s v="City Animal Shelter"/>
    <x v="1"/>
    <x v="1"/>
    <s v="Husky"/>
    <x v="3"/>
    <s v="Male"/>
    <n v="8.6"/>
    <n v="16.8"/>
    <x v="3"/>
    <s v="2023-03-08"/>
    <s v="Stray"/>
    <s v="2023-06-01"/>
    <s v="Adopted"/>
    <n v="85"/>
    <x v="5"/>
    <n v="4345"/>
    <n v="1000"/>
    <x v="4"/>
    <s v="Website"/>
    <s v="Yes"/>
    <s v="No"/>
    <s v="Yes"/>
    <n v="2023"/>
    <s v="March"/>
    <s v="Q1"/>
  </r>
  <r>
    <s v="A0674"/>
    <s v="Hope Animal Shelter"/>
    <x v="4"/>
    <x v="0"/>
    <s v="Domestic Shorthair"/>
    <x v="1"/>
    <s v="Male"/>
    <n v="7.2"/>
    <n v="2.8"/>
    <x v="0"/>
    <s v="2023-11-09"/>
    <s v="Abandoned"/>
    <s v="2023-12-04"/>
    <s v="Adopted"/>
    <n v="25"/>
    <x v="1"/>
    <n v="4059"/>
    <n v="500"/>
    <x v="2"/>
    <s v="Event"/>
    <s v="Yes"/>
    <s v="No"/>
    <s v="No"/>
    <n v="2023"/>
    <s v="November"/>
    <s v="Q4"/>
  </r>
  <r>
    <s v="A0675"/>
    <s v="Paws &amp; Claws Rescue"/>
    <x v="0"/>
    <x v="0"/>
    <s v="Maine Coon"/>
    <x v="3"/>
    <s v="Female"/>
    <n v="2.7"/>
    <n v="6.7"/>
    <x v="0"/>
    <s v="2023-02-19"/>
    <s v="Born in Shelter"/>
    <s v="2023-03-11"/>
    <s v="Adopted"/>
    <n v="20"/>
    <x v="3"/>
    <n v="1921"/>
    <n v="2000"/>
    <x v="4"/>
    <s v="Event"/>
    <s v="No"/>
    <s v="Yes"/>
    <s v="No"/>
    <n v="2023"/>
    <s v="February"/>
    <s v="Q1"/>
  </r>
  <r>
    <s v="A0676"/>
    <s v="Happy Paws Shelter"/>
    <x v="3"/>
    <x v="1"/>
    <s v="Poodle"/>
    <x v="3"/>
    <s v="Female"/>
    <n v="5.8"/>
    <n v="0.5"/>
    <x v="3"/>
    <s v="2023-03-20"/>
    <s v="Confiscated"/>
    <s v="2023-04-13"/>
    <s v="Adopted"/>
    <n v="24"/>
    <x v="4"/>
    <n v="4174"/>
    <n v="0"/>
    <x v="4"/>
    <s v="Social Media"/>
    <s v="Yes"/>
    <s v="Yes"/>
    <s v="No"/>
    <n v="2023"/>
    <s v="March"/>
    <s v="Q1"/>
  </r>
  <r>
    <s v="A0677"/>
    <s v="Happy Paws Shelter"/>
    <x v="4"/>
    <x v="2"/>
    <s v="Lovebird"/>
    <x v="3"/>
    <s v="Female"/>
    <n v="10.1"/>
    <n v="11.4"/>
    <x v="4"/>
    <s v="2024-08-29"/>
    <s v="Owner Surrender"/>
    <s v="2024-11-28"/>
    <s v="Transferred"/>
    <n v="91"/>
    <x v="0"/>
    <n v="0"/>
    <n v="0"/>
    <x v="0"/>
    <s v="Referral"/>
    <s v="No"/>
    <s v="No"/>
    <s v="No"/>
    <n v="2024"/>
    <s v="August"/>
    <s v="Q3"/>
  </r>
  <r>
    <s v="A0678"/>
    <s v="Furever Home"/>
    <x v="2"/>
    <x v="0"/>
    <s v="Maine Coon"/>
    <x v="2"/>
    <s v="Male"/>
    <n v="2.2000000000000002"/>
    <n v="30.4"/>
    <x v="1"/>
    <s v="2024-06-10"/>
    <s v="Born in Shelter"/>
    <s v="2024-11-24"/>
    <s v="Euthanized"/>
    <n v="167"/>
    <x v="0"/>
    <n v="0"/>
    <n v="0"/>
    <x v="0"/>
    <s v="Website"/>
    <s v="No"/>
    <s v="No"/>
    <s v="No"/>
    <n v="2024"/>
    <s v="June"/>
    <s v="Q2"/>
  </r>
  <r>
    <s v="A0679"/>
    <s v="City Animal Shelter"/>
    <x v="7"/>
    <x v="1"/>
    <s v="Poodle"/>
    <x v="5"/>
    <s v="Male"/>
    <n v="7.1"/>
    <n v="11.8"/>
    <x v="1"/>
    <s v="2024-06-24"/>
    <s v="Abandoned"/>
    <s v="2024-09-25"/>
    <s v="Returned to Owner"/>
    <n v="93"/>
    <x v="0"/>
    <n v="0"/>
    <n v="0"/>
    <x v="0"/>
    <s v="Walk-in"/>
    <s v="Yes"/>
    <s v="No"/>
    <s v="No"/>
    <n v="2024"/>
    <s v="June"/>
    <s v="Q2"/>
  </r>
  <r>
    <s v="A0680"/>
    <s v="Furever Home"/>
    <x v="5"/>
    <x v="2"/>
    <s v="Parakeet"/>
    <x v="7"/>
    <s v="Male"/>
    <n v="0.5"/>
    <n v="25.3"/>
    <x v="3"/>
    <s v="2023-06-03"/>
    <s v="Confiscated"/>
    <s v="2023-08-13"/>
    <s v="Adopted"/>
    <n v="71"/>
    <x v="3"/>
    <n v="2843"/>
    <n v="5000"/>
    <x v="1"/>
    <s v="Walk-in"/>
    <s v="Yes"/>
    <s v="Yes"/>
    <s v="No"/>
    <n v="2023"/>
    <s v="June"/>
    <s v="Q2"/>
  </r>
  <r>
    <s v="A0681"/>
    <s v="Happy Paws Shelter"/>
    <x v="7"/>
    <x v="1"/>
    <s v="Golden Retriever"/>
    <x v="6"/>
    <s v="Male"/>
    <n v="7.7"/>
    <n v="2.7"/>
    <x v="0"/>
    <s v="2022-06-19"/>
    <s v="Confiscated"/>
    <s v="2022-10-05"/>
    <s v="Adopted"/>
    <n v="108"/>
    <x v="1"/>
    <n v="3459"/>
    <n v="500"/>
    <x v="3"/>
    <s v="Event"/>
    <s v="Yes"/>
    <s v="No"/>
    <s v="Yes"/>
    <n v="2022"/>
    <s v="June"/>
    <s v="Q2"/>
  </r>
  <r>
    <s v="A0682"/>
    <s v="Furever Home"/>
    <x v="3"/>
    <x v="2"/>
    <s v="Lovebird"/>
    <x v="8"/>
    <s v="Male"/>
    <n v="8.8000000000000007"/>
    <n v="3.4"/>
    <x v="4"/>
    <s v="2022-05-06"/>
    <s v="Born in Shelter"/>
    <s v="2022-05-23"/>
    <s v="Returned to Owner"/>
    <n v="17"/>
    <x v="0"/>
    <n v="0"/>
    <n v="0"/>
    <x v="0"/>
    <s v="Referral"/>
    <s v="Yes"/>
    <s v="No"/>
    <s v="Yes"/>
    <n v="2022"/>
    <s v="May"/>
    <s v="Q2"/>
  </r>
  <r>
    <s v="A0683"/>
    <s v="Happy Paws Shelter"/>
    <x v="5"/>
    <x v="0"/>
    <s v="Bengal"/>
    <x v="4"/>
    <s v="Male"/>
    <n v="5.6"/>
    <n v="29.3"/>
    <x v="0"/>
    <s v="2023-12-20"/>
    <s v="Owner Surrender"/>
    <s v="2024-01-20"/>
    <s v="Euthanized"/>
    <n v="31"/>
    <x v="0"/>
    <n v="0"/>
    <n v="0"/>
    <x v="0"/>
    <s v="Walk-in"/>
    <s v="Yes"/>
    <s v="No"/>
    <s v="Yes"/>
    <n v="2023"/>
    <s v="December"/>
    <s v="Q4"/>
  </r>
  <r>
    <s v="A0684"/>
    <s v="Second Chance Rescue"/>
    <x v="7"/>
    <x v="1"/>
    <s v="Labrador"/>
    <x v="6"/>
    <s v="Male"/>
    <n v="5.6"/>
    <n v="30.8"/>
    <x v="0"/>
    <s v="2023-03-22"/>
    <s v="Stray"/>
    <s v="2023-09-02"/>
    <s v="Euthanized"/>
    <n v="164"/>
    <x v="0"/>
    <n v="0"/>
    <n v="0"/>
    <x v="0"/>
    <s v="Referral"/>
    <s v="Yes"/>
    <s v="Yes"/>
    <s v="No"/>
    <n v="2023"/>
    <s v="March"/>
    <s v="Q1"/>
  </r>
  <r>
    <s v="A0685"/>
    <s v="City Animal Shelter"/>
    <x v="7"/>
    <x v="1"/>
    <s v="Beagle"/>
    <x v="7"/>
    <s v="Female"/>
    <n v="10.6"/>
    <n v="6.6"/>
    <x v="0"/>
    <s v="2024-04-27"/>
    <s v="Transfer from Another Shelter"/>
    <s v="2024-06-24"/>
    <s v="Returned to Owner"/>
    <n v="58"/>
    <x v="0"/>
    <n v="0"/>
    <n v="500"/>
    <x v="0"/>
    <s v="Social Media"/>
    <s v="Yes"/>
    <s v="No"/>
    <s v="No"/>
    <n v="2024"/>
    <s v="April"/>
    <s v="Q2"/>
  </r>
  <r>
    <s v="A0686"/>
    <s v="City Animal Shelter"/>
    <x v="4"/>
    <x v="1"/>
    <s v="Labrador"/>
    <x v="1"/>
    <s v="Female"/>
    <n v="4.2"/>
    <n v="28.5"/>
    <x v="0"/>
    <s v="2024-02-29"/>
    <s v="Born in Shelter"/>
    <s v="2024-04-09"/>
    <s v="Returned to Owner"/>
    <n v="40"/>
    <x v="0"/>
    <n v="0"/>
    <n v="1000"/>
    <x v="0"/>
    <s v="Website"/>
    <s v="Yes"/>
    <s v="Yes"/>
    <s v="No"/>
    <n v="2024"/>
    <s v="February"/>
    <s v="Q1"/>
  </r>
  <r>
    <s v="A0687"/>
    <s v="Paws &amp; Claws Rescue"/>
    <x v="1"/>
    <x v="0"/>
    <s v="Persian"/>
    <x v="0"/>
    <s v="Male"/>
    <n v="5.7"/>
    <n v="11.6"/>
    <x v="0"/>
    <s v="2022-08-25"/>
    <s v="Confiscated"/>
    <s v="2023-01-05"/>
    <s v="Adopted"/>
    <n v="133"/>
    <x v="5"/>
    <n v="3446"/>
    <n v="0"/>
    <x v="4"/>
    <s v="Walk-in"/>
    <s v="Yes"/>
    <s v="No"/>
    <s v="No"/>
    <n v="2022"/>
    <s v="August"/>
    <s v="Q3"/>
  </r>
  <r>
    <s v="A0688"/>
    <s v="Second Chance Rescue"/>
    <x v="3"/>
    <x v="3"/>
    <s v="Flemish Giant"/>
    <x v="7"/>
    <s v="Female"/>
    <n v="3.7"/>
    <n v="16.600000000000001"/>
    <x v="1"/>
    <s v="2022-07-25"/>
    <s v="Born in Shelter"/>
    <s v="2022-09-11"/>
    <s v="Euthanized"/>
    <n v="48"/>
    <x v="0"/>
    <n v="0"/>
    <n v="0"/>
    <x v="0"/>
    <s v="Referral"/>
    <s v="No"/>
    <s v="No"/>
    <s v="No"/>
    <n v="2022"/>
    <s v="July"/>
    <s v="Q3"/>
  </r>
  <r>
    <s v="A0689"/>
    <s v="Happy Paws Shelter"/>
    <x v="4"/>
    <x v="0"/>
    <s v="Mixed Breed"/>
    <x v="5"/>
    <s v="Male"/>
    <n v="5.8"/>
    <n v="14.3"/>
    <x v="3"/>
    <s v="2024-02-04"/>
    <s v="Transfer from Another Shelter"/>
    <s v="2024-07-07"/>
    <s v="Euthanized"/>
    <n v="154"/>
    <x v="0"/>
    <n v="0"/>
    <n v="0"/>
    <x v="0"/>
    <s v="Social Media"/>
    <s v="No"/>
    <s v="No"/>
    <s v="Yes"/>
    <n v="2024"/>
    <s v="February"/>
    <s v="Q1"/>
  </r>
  <r>
    <s v="A0690"/>
    <s v="Happy Paws Shelter"/>
    <x v="0"/>
    <x v="1"/>
    <s v="Golden Retriever"/>
    <x v="8"/>
    <s v="Male"/>
    <n v="1.6"/>
    <n v="12"/>
    <x v="2"/>
    <s v="2023-09-08"/>
    <s v="Abandoned"/>
    <s v="2024-02-08"/>
    <s v="Returned to Owner"/>
    <n v="153"/>
    <x v="0"/>
    <n v="0"/>
    <n v="0"/>
    <x v="0"/>
    <s v="Referral"/>
    <s v="No"/>
    <s v="Yes"/>
    <s v="No"/>
    <n v="2023"/>
    <s v="September"/>
    <s v="Q3"/>
  </r>
  <r>
    <s v="A0691"/>
    <s v="Second Chance Rescue"/>
    <x v="1"/>
    <x v="1"/>
    <s v="Golden Retriever"/>
    <x v="4"/>
    <s v="Male"/>
    <n v="3.8"/>
    <n v="6.9"/>
    <x v="0"/>
    <s v="2023-02-15"/>
    <s v="Confiscated"/>
    <s v="2023-04-01"/>
    <s v="Transferred"/>
    <n v="45"/>
    <x v="0"/>
    <n v="0"/>
    <n v="0"/>
    <x v="0"/>
    <s v="Event"/>
    <s v="Yes"/>
    <s v="Yes"/>
    <s v="No"/>
    <n v="2023"/>
    <s v="February"/>
    <s v="Q1"/>
  </r>
  <r>
    <s v="A0692"/>
    <s v="Hope Animal Shelter"/>
    <x v="1"/>
    <x v="1"/>
    <s v="Beagle"/>
    <x v="7"/>
    <s v="Male"/>
    <n v="8.4"/>
    <n v="32"/>
    <x v="2"/>
    <s v="2022-07-24"/>
    <s v="Stray"/>
    <s v="2022-11-22"/>
    <s v="Still in Shelter"/>
    <n v="121"/>
    <x v="0"/>
    <n v="0"/>
    <n v="0"/>
    <x v="0"/>
    <s v="Referral"/>
    <s v="Yes"/>
    <s v="No"/>
    <s v="No"/>
    <n v="2022"/>
    <s v="July"/>
    <s v="Q3"/>
  </r>
  <r>
    <s v="A0693"/>
    <s v="City Animal Shelter"/>
    <x v="5"/>
    <x v="2"/>
    <s v="Canary"/>
    <x v="0"/>
    <s v="Male"/>
    <n v="7.2"/>
    <n v="18.899999999999999"/>
    <x v="0"/>
    <s v="2023-08-03"/>
    <s v="Born in Shelter"/>
    <s v="2024-01-23"/>
    <s v="Still in Shelter"/>
    <n v="173"/>
    <x v="0"/>
    <n v="0"/>
    <n v="0"/>
    <x v="0"/>
    <s v="Website"/>
    <s v="Yes"/>
    <s v="No"/>
    <s v="No"/>
    <n v="2023"/>
    <s v="August"/>
    <s v="Q3"/>
  </r>
  <r>
    <s v="A0694"/>
    <s v="Second Chance Rescue"/>
    <x v="5"/>
    <x v="3"/>
    <s v="Lionhead"/>
    <x v="6"/>
    <s v="Male"/>
    <n v="11"/>
    <n v="22.8"/>
    <x v="0"/>
    <s v="2022-01-04"/>
    <s v="Abandoned"/>
    <s v="2022-06-10"/>
    <s v="Still in Shelter"/>
    <n v="157"/>
    <x v="0"/>
    <n v="0"/>
    <n v="0"/>
    <x v="0"/>
    <s v="Referral"/>
    <s v="Yes"/>
    <s v="No"/>
    <s v="No"/>
    <n v="2022"/>
    <s v="January"/>
    <s v="Q1"/>
  </r>
  <r>
    <s v="A0695"/>
    <s v="Happy Paws Shelter"/>
    <x v="7"/>
    <x v="1"/>
    <s v="Mixed Breed"/>
    <x v="2"/>
    <s v="Male"/>
    <n v="4.7"/>
    <n v="28.8"/>
    <x v="0"/>
    <s v="2022-11-05"/>
    <s v="Transfer from Another Shelter"/>
    <s v="2023-01-17"/>
    <s v="Transferred"/>
    <n v="73"/>
    <x v="0"/>
    <n v="0"/>
    <n v="0"/>
    <x v="0"/>
    <s v="Event"/>
    <s v="Yes"/>
    <s v="No"/>
    <s v="Yes"/>
    <n v="2022"/>
    <s v="November"/>
    <s v="Q4"/>
  </r>
  <r>
    <s v="A0696"/>
    <s v="Furever Home"/>
    <x v="3"/>
    <x v="3"/>
    <s v="Holland Lop"/>
    <x v="7"/>
    <s v="Female"/>
    <n v="6.9"/>
    <n v="13.7"/>
    <x v="3"/>
    <s v="2024-04-08"/>
    <s v="Stray"/>
    <s v="2024-04-12"/>
    <s v="Adopted"/>
    <n v="4"/>
    <x v="1"/>
    <n v="1806"/>
    <n v="0"/>
    <x v="2"/>
    <s v="Social Media"/>
    <s v="Yes"/>
    <s v="No"/>
    <s v="No"/>
    <n v="2024"/>
    <s v="April"/>
    <s v="Q2"/>
  </r>
  <r>
    <s v="A0697"/>
    <s v="Furever Home"/>
    <x v="1"/>
    <x v="0"/>
    <s v="Bengal"/>
    <x v="4"/>
    <s v="Male"/>
    <n v="1.4"/>
    <n v="6.7"/>
    <x v="0"/>
    <s v="2024-08-27"/>
    <s v="Abandoned"/>
    <s v="2024-11-21"/>
    <s v="Euthanized"/>
    <n v="86"/>
    <x v="0"/>
    <n v="0"/>
    <n v="0"/>
    <x v="0"/>
    <s v="Event"/>
    <s v="Yes"/>
    <s v="Yes"/>
    <s v="No"/>
    <n v="2024"/>
    <s v="August"/>
    <s v="Q3"/>
  </r>
  <r>
    <s v="A0698"/>
    <s v="Paws &amp; Claws Rescue"/>
    <x v="2"/>
    <x v="2"/>
    <s v="Parakeet"/>
    <x v="8"/>
    <s v="Female"/>
    <n v="5.9"/>
    <n v="13.2"/>
    <x v="0"/>
    <s v="2024-08-09"/>
    <s v="Confiscated"/>
    <s v="2024-10-21"/>
    <s v="Adopted"/>
    <n v="73"/>
    <x v="1"/>
    <n v="997"/>
    <n v="5000"/>
    <x v="1"/>
    <s v="Event"/>
    <s v="Yes"/>
    <s v="Yes"/>
    <s v="No"/>
    <n v="2024"/>
    <s v="August"/>
    <s v="Q3"/>
  </r>
  <r>
    <s v="A0699"/>
    <s v="Happy Paws Shelter"/>
    <x v="2"/>
    <x v="3"/>
    <s v="Dutch"/>
    <x v="9"/>
    <s v="Female"/>
    <n v="3.6"/>
    <n v="1.7"/>
    <x v="0"/>
    <s v="2022-02-05"/>
    <s v="Owner Surrender"/>
    <s v="2022-05-31"/>
    <s v="Euthanized"/>
    <n v="115"/>
    <x v="0"/>
    <n v="0"/>
    <n v="0"/>
    <x v="0"/>
    <s v="Walk-in"/>
    <s v="Yes"/>
    <s v="Yes"/>
    <s v="No"/>
    <n v="2022"/>
    <s v="February"/>
    <s v="Q1"/>
  </r>
  <r>
    <s v="A0700"/>
    <s v="Hope Animal Shelter"/>
    <x v="5"/>
    <x v="1"/>
    <s v="Mixed Breed"/>
    <x v="9"/>
    <s v="Male"/>
    <n v="11"/>
    <n v="31.7"/>
    <x v="0"/>
    <s v="2023-07-17"/>
    <s v="Abandoned"/>
    <s v="2023-10-14"/>
    <s v="Fostered"/>
    <n v="89"/>
    <x v="0"/>
    <n v="0"/>
    <n v="0"/>
    <x v="0"/>
    <s v="Walk-in"/>
    <s v="Yes"/>
    <s v="No"/>
    <s v="Yes"/>
    <n v="2023"/>
    <s v="July"/>
    <s v="Q3"/>
  </r>
  <r>
    <s v="A0701"/>
    <s v="Hope Animal Shelter"/>
    <x v="7"/>
    <x v="2"/>
    <s v="Finch"/>
    <x v="4"/>
    <s v="Female"/>
    <n v="5.0999999999999996"/>
    <n v="1.3"/>
    <x v="0"/>
    <s v="2022-06-11"/>
    <s v="Owner Surrender"/>
    <s v="2022-09-06"/>
    <s v="Transferred"/>
    <n v="87"/>
    <x v="0"/>
    <n v="0"/>
    <n v="0"/>
    <x v="0"/>
    <s v="Event"/>
    <s v="Yes"/>
    <s v="No"/>
    <s v="No"/>
    <n v="2022"/>
    <s v="June"/>
    <s v="Q2"/>
  </r>
  <r>
    <s v="A0702"/>
    <s v="Second Chance Rescue"/>
    <x v="7"/>
    <x v="1"/>
    <s v="Beagle"/>
    <x v="5"/>
    <s v="Male"/>
    <n v="3.4"/>
    <n v="24.3"/>
    <x v="1"/>
    <s v="2024-08-26"/>
    <s v="Transfer from Another Shelter"/>
    <s v="2024-10-21"/>
    <s v="Still in Shelter"/>
    <n v="56"/>
    <x v="0"/>
    <n v="0"/>
    <n v="0"/>
    <x v="0"/>
    <s v="Website"/>
    <s v="Yes"/>
    <s v="No"/>
    <s v="Yes"/>
    <n v="2024"/>
    <s v="August"/>
    <s v="Q3"/>
  </r>
  <r>
    <s v="A0703"/>
    <s v="Hope Animal Shelter"/>
    <x v="2"/>
    <x v="2"/>
    <s v="Cockatiel"/>
    <x v="4"/>
    <s v="Male"/>
    <n v="5.6"/>
    <n v="27.8"/>
    <x v="0"/>
    <s v="2022-02-08"/>
    <s v="Stray"/>
    <s v="2022-05-26"/>
    <s v="Adopted"/>
    <n v="107"/>
    <x v="1"/>
    <n v="1625"/>
    <n v="0"/>
    <x v="3"/>
    <s v="Walk-in"/>
    <s v="Yes"/>
    <s v="No"/>
    <s v="No"/>
    <n v="2022"/>
    <s v="February"/>
    <s v="Q1"/>
  </r>
  <r>
    <s v="A0704"/>
    <s v="City Animal Shelter"/>
    <x v="2"/>
    <x v="1"/>
    <s v="Mixed Breed"/>
    <x v="1"/>
    <s v="Female"/>
    <n v="5.8"/>
    <n v="19.7"/>
    <x v="2"/>
    <s v="2023-11-05"/>
    <s v="Transfer from Another Shelter"/>
    <s v="2024-03-23"/>
    <s v="Still in Shelter"/>
    <n v="139"/>
    <x v="0"/>
    <n v="0"/>
    <n v="0"/>
    <x v="0"/>
    <s v="Website"/>
    <s v="No"/>
    <s v="No"/>
    <s v="No"/>
    <n v="2023"/>
    <s v="November"/>
    <s v="Q4"/>
  </r>
  <r>
    <s v="A0705"/>
    <s v="Happy Paws Shelter"/>
    <x v="5"/>
    <x v="1"/>
    <s v="Golden Retriever"/>
    <x v="5"/>
    <s v="Female"/>
    <n v="0.5"/>
    <n v="29.9"/>
    <x v="0"/>
    <s v="2024-03-09"/>
    <s v="Owner Surrender"/>
    <s v="2024-05-14"/>
    <s v="Still in Shelter"/>
    <n v="66"/>
    <x v="0"/>
    <n v="0"/>
    <n v="0"/>
    <x v="0"/>
    <s v="Event"/>
    <s v="Yes"/>
    <s v="No"/>
    <s v="No"/>
    <n v="2024"/>
    <s v="March"/>
    <s v="Q1"/>
  </r>
  <r>
    <s v="A0706"/>
    <s v="Furever Home"/>
    <x v="3"/>
    <x v="3"/>
    <s v="Dutch"/>
    <x v="8"/>
    <s v="Female"/>
    <n v="7.5"/>
    <n v="20"/>
    <x v="0"/>
    <s v="2024-08-15"/>
    <s v="Transfer from Another Shelter"/>
    <s v="2024-08-23"/>
    <s v="Adopted"/>
    <n v="8"/>
    <x v="3"/>
    <n v="2895"/>
    <n v="0"/>
    <x v="3"/>
    <s v="Referral"/>
    <s v="Yes"/>
    <s v="Yes"/>
    <s v="No"/>
    <n v="2024"/>
    <s v="August"/>
    <s v="Q3"/>
  </r>
  <r>
    <s v="A0707"/>
    <s v="Hope Animal Shelter"/>
    <x v="1"/>
    <x v="1"/>
    <s v="Poodle"/>
    <x v="5"/>
    <s v="Female"/>
    <n v="2.2000000000000002"/>
    <n v="6"/>
    <x v="0"/>
    <s v="2022-08-15"/>
    <s v="Owner Surrender"/>
    <s v="2023-01-09"/>
    <s v="Transferred"/>
    <n v="147"/>
    <x v="0"/>
    <n v="0"/>
    <n v="0"/>
    <x v="0"/>
    <s v="Referral"/>
    <s v="Yes"/>
    <s v="No"/>
    <s v="No"/>
    <n v="2022"/>
    <s v="August"/>
    <s v="Q3"/>
  </r>
  <r>
    <s v="A0708"/>
    <s v="Furever Home"/>
    <x v="7"/>
    <x v="0"/>
    <s v="Mixed Breed"/>
    <x v="7"/>
    <s v="Male"/>
    <n v="2.8"/>
    <n v="14.4"/>
    <x v="2"/>
    <s v="2023-10-13"/>
    <s v="Owner Surrender"/>
    <s v="2024-02-19"/>
    <s v="Still in Shelter"/>
    <n v="129"/>
    <x v="0"/>
    <n v="0"/>
    <n v="0"/>
    <x v="0"/>
    <s v="Referral"/>
    <s v="Yes"/>
    <s v="Yes"/>
    <s v="No"/>
    <n v="2023"/>
    <s v="October"/>
    <s v="Q4"/>
  </r>
  <r>
    <s v="A0709"/>
    <s v="Hope Animal Shelter"/>
    <x v="3"/>
    <x v="1"/>
    <s v="Golden Retriever"/>
    <x v="0"/>
    <s v="Male"/>
    <n v="11.7"/>
    <n v="14.7"/>
    <x v="0"/>
    <s v="2022-07-21"/>
    <s v="Born in Shelter"/>
    <s v="2022-10-28"/>
    <s v="Still in Shelter"/>
    <n v="99"/>
    <x v="0"/>
    <n v="0"/>
    <n v="0"/>
    <x v="0"/>
    <s v="Event"/>
    <s v="Yes"/>
    <s v="No"/>
    <s v="No"/>
    <n v="2022"/>
    <s v="July"/>
    <s v="Q3"/>
  </r>
  <r>
    <s v="A0710"/>
    <s v="Paws &amp; Claws Rescue"/>
    <x v="1"/>
    <x v="1"/>
    <s v="Beagle"/>
    <x v="5"/>
    <s v="Male"/>
    <n v="11.4"/>
    <n v="1.3"/>
    <x v="2"/>
    <s v="2023-05-27"/>
    <s v="Owner Surrender"/>
    <s v="2023-07-09"/>
    <s v="Fostered"/>
    <n v="43"/>
    <x v="0"/>
    <n v="0"/>
    <n v="0"/>
    <x v="0"/>
    <s v="Referral"/>
    <s v="Yes"/>
    <s v="No"/>
    <s v="No"/>
    <n v="2023"/>
    <s v="May"/>
    <s v="Q2"/>
  </r>
  <r>
    <s v="A0711"/>
    <s v="Furever Home"/>
    <x v="5"/>
    <x v="1"/>
    <s v="Husky"/>
    <x v="6"/>
    <s v="Female"/>
    <n v="10.7"/>
    <n v="7.6"/>
    <x v="0"/>
    <s v="2023-02-14"/>
    <s v="Owner Surrender"/>
    <s v="2023-05-08"/>
    <s v="Adopted"/>
    <n v="83"/>
    <x v="4"/>
    <n v="5400"/>
    <n v="0"/>
    <x v="1"/>
    <s v="Event"/>
    <s v="Yes"/>
    <s v="Yes"/>
    <s v="No"/>
    <n v="2023"/>
    <s v="February"/>
    <s v="Q1"/>
  </r>
  <r>
    <s v="A0712"/>
    <s v="Furever Home"/>
    <x v="0"/>
    <x v="1"/>
    <s v="German Shepherd"/>
    <x v="2"/>
    <s v="Female"/>
    <n v="10.4"/>
    <n v="34.799999999999997"/>
    <x v="4"/>
    <s v="2022-01-15"/>
    <s v="Born in Shelter"/>
    <s v="2022-01-24"/>
    <s v="Still in Shelter"/>
    <n v="9"/>
    <x v="0"/>
    <n v="0"/>
    <n v="0"/>
    <x v="0"/>
    <s v="Walk-in"/>
    <s v="Yes"/>
    <s v="No"/>
    <s v="No"/>
    <n v="2022"/>
    <s v="January"/>
    <s v="Q1"/>
  </r>
  <r>
    <s v="A0713"/>
    <s v="Hope Animal Shelter"/>
    <x v="5"/>
    <x v="1"/>
    <s v="Bulldog"/>
    <x v="2"/>
    <s v="Male"/>
    <n v="4.9000000000000004"/>
    <n v="32.5"/>
    <x v="0"/>
    <s v="2024-03-26"/>
    <s v="Owner Surrender"/>
    <s v="2024-04-06"/>
    <s v="Euthanized"/>
    <n v="11"/>
    <x v="0"/>
    <n v="0"/>
    <n v="0"/>
    <x v="0"/>
    <s v="Social Media"/>
    <s v="Yes"/>
    <s v="No"/>
    <s v="No"/>
    <n v="2024"/>
    <s v="March"/>
    <s v="Q1"/>
  </r>
  <r>
    <s v="A0714"/>
    <s v="Hope Animal Shelter"/>
    <x v="0"/>
    <x v="3"/>
    <s v="Dutch"/>
    <x v="7"/>
    <s v="Female"/>
    <n v="2.6"/>
    <n v="3.9"/>
    <x v="2"/>
    <s v="2023-11-27"/>
    <s v="Owner Surrender"/>
    <s v="2024-01-03"/>
    <s v="Returned to Owner"/>
    <n v="37"/>
    <x v="0"/>
    <n v="0"/>
    <n v="1000"/>
    <x v="0"/>
    <s v="Social Media"/>
    <s v="Yes"/>
    <s v="No"/>
    <s v="No"/>
    <n v="2023"/>
    <s v="November"/>
    <s v="Q4"/>
  </r>
  <r>
    <s v="A0715"/>
    <s v="Second Chance Rescue"/>
    <x v="7"/>
    <x v="3"/>
    <s v="Dutch"/>
    <x v="9"/>
    <s v="Male"/>
    <n v="7.2"/>
    <n v="26.8"/>
    <x v="0"/>
    <s v="2023-06-13"/>
    <s v="Born in Shelter"/>
    <s v="2023-11-06"/>
    <s v="Transferred"/>
    <n v="146"/>
    <x v="0"/>
    <n v="0"/>
    <n v="0"/>
    <x v="0"/>
    <s v="Social Media"/>
    <s v="Yes"/>
    <s v="No"/>
    <s v="No"/>
    <n v="2023"/>
    <s v="June"/>
    <s v="Q2"/>
  </r>
  <r>
    <s v="A0716"/>
    <s v="Second Chance Rescue"/>
    <x v="6"/>
    <x v="1"/>
    <s v="Bulldog"/>
    <x v="0"/>
    <s v="Female"/>
    <n v="1.9"/>
    <n v="28.3"/>
    <x v="2"/>
    <s v="2024-08-31"/>
    <s v="Transfer from Another Shelter"/>
    <s v="2024-12-22"/>
    <s v="Transferred"/>
    <n v="113"/>
    <x v="0"/>
    <n v="0"/>
    <n v="0"/>
    <x v="0"/>
    <s v="Social Media"/>
    <s v="Yes"/>
    <s v="Yes"/>
    <s v="No"/>
    <n v="2024"/>
    <s v="August"/>
    <s v="Q3"/>
  </r>
  <r>
    <s v="A0717"/>
    <s v="Paws &amp; Claws Rescue"/>
    <x v="1"/>
    <x v="1"/>
    <s v="Bulldog"/>
    <x v="7"/>
    <s v="Male"/>
    <n v="8.6999999999999993"/>
    <n v="26.2"/>
    <x v="0"/>
    <s v="2022-10-31"/>
    <s v="Confiscated"/>
    <s v="2023-03-30"/>
    <s v="Adopted"/>
    <n v="150"/>
    <x v="2"/>
    <n v="5125"/>
    <n v="0"/>
    <x v="4"/>
    <s v="Event"/>
    <s v="Yes"/>
    <s v="No"/>
    <s v="No"/>
    <n v="2022"/>
    <s v="October"/>
    <s v="Q4"/>
  </r>
  <r>
    <s v="A0718"/>
    <s v="City Animal Shelter"/>
    <x v="4"/>
    <x v="1"/>
    <s v="Husky"/>
    <x v="8"/>
    <s v="Male"/>
    <n v="0.3"/>
    <n v="33.200000000000003"/>
    <x v="0"/>
    <s v="2022-12-26"/>
    <s v="Owner Surrender"/>
    <s v="2023-04-29"/>
    <s v="Still in Shelter"/>
    <n v="124"/>
    <x v="0"/>
    <n v="0"/>
    <n v="0"/>
    <x v="0"/>
    <s v="Social Media"/>
    <s v="Yes"/>
    <s v="No"/>
    <s v="No"/>
    <n v="2022"/>
    <s v="December"/>
    <s v="Q4"/>
  </r>
  <r>
    <s v="A0719"/>
    <s v="Happy Paws Shelter"/>
    <x v="1"/>
    <x v="3"/>
    <s v="Dutch"/>
    <x v="4"/>
    <s v="Female"/>
    <n v="8.9"/>
    <n v="13"/>
    <x v="1"/>
    <s v="2024-07-29"/>
    <s v="Stray"/>
    <s v="2024-12-22"/>
    <s v="Adopted"/>
    <n v="146"/>
    <x v="1"/>
    <n v="2646"/>
    <n v="0"/>
    <x v="1"/>
    <s v="Walk-in"/>
    <s v="No"/>
    <s v="No"/>
    <s v="No"/>
    <n v="2024"/>
    <s v="July"/>
    <s v="Q3"/>
  </r>
  <r>
    <s v="A0720"/>
    <s v="Happy Paws Shelter"/>
    <x v="7"/>
    <x v="1"/>
    <s v="Bulldog"/>
    <x v="5"/>
    <s v="Female"/>
    <n v="8.3000000000000007"/>
    <n v="16.2"/>
    <x v="0"/>
    <s v="2023-01-10"/>
    <s v="Confiscated"/>
    <s v="2023-07-06"/>
    <s v="Returned to Owner"/>
    <n v="177"/>
    <x v="0"/>
    <n v="0"/>
    <n v="0"/>
    <x v="0"/>
    <s v="Website"/>
    <s v="Yes"/>
    <s v="Yes"/>
    <s v="No"/>
    <n v="2023"/>
    <s v="January"/>
    <s v="Q1"/>
  </r>
  <r>
    <s v="A0721"/>
    <s v="Happy Paws Shelter"/>
    <x v="2"/>
    <x v="1"/>
    <s v="Poodle"/>
    <x v="4"/>
    <s v="Male"/>
    <n v="1.3"/>
    <n v="30.9"/>
    <x v="3"/>
    <s v="2023-04-12"/>
    <s v="Stray"/>
    <s v="2023-06-14"/>
    <s v="Fostered"/>
    <n v="63"/>
    <x v="0"/>
    <n v="0"/>
    <n v="1000"/>
    <x v="0"/>
    <s v="Referral"/>
    <s v="Yes"/>
    <s v="No"/>
    <s v="No"/>
    <n v="2023"/>
    <s v="April"/>
    <s v="Q2"/>
  </r>
  <r>
    <s v="A0722"/>
    <s v="Happy Paws Shelter"/>
    <x v="5"/>
    <x v="0"/>
    <s v="Maine Coon"/>
    <x v="6"/>
    <s v="Female"/>
    <n v="6.9"/>
    <n v="20.6"/>
    <x v="0"/>
    <s v="2023-03-17"/>
    <s v="Abandoned"/>
    <s v="2023-08-18"/>
    <s v="Fostered"/>
    <n v="154"/>
    <x v="0"/>
    <n v="0"/>
    <n v="500"/>
    <x v="0"/>
    <s v="Referral"/>
    <s v="Yes"/>
    <s v="No"/>
    <s v="No"/>
    <n v="2023"/>
    <s v="March"/>
    <s v="Q1"/>
  </r>
  <r>
    <s v="A0723"/>
    <s v="Paws &amp; Claws Rescue"/>
    <x v="4"/>
    <x v="3"/>
    <s v="Lionhead"/>
    <x v="1"/>
    <s v="Female"/>
    <n v="11.4"/>
    <n v="10.8"/>
    <x v="4"/>
    <s v="2024-09-16"/>
    <s v="Born in Shelter"/>
    <s v="2024-12-31"/>
    <s v="Transferred"/>
    <n v="132"/>
    <x v="0"/>
    <n v="0"/>
    <n v="0"/>
    <x v="0"/>
    <s v="Event"/>
    <s v="Yes"/>
    <s v="No"/>
    <s v="No"/>
    <n v="2024"/>
    <s v="September"/>
    <s v="Q3"/>
  </r>
  <r>
    <s v="A0724"/>
    <s v="Happy Paws Shelter"/>
    <x v="1"/>
    <x v="0"/>
    <s v="Ragdoll"/>
    <x v="8"/>
    <s v="Male"/>
    <n v="5.7"/>
    <n v="6.1"/>
    <x v="2"/>
    <s v="2023-01-09"/>
    <s v="Transfer from Another Shelter"/>
    <s v="2023-05-14"/>
    <s v="Adopted"/>
    <n v="125"/>
    <x v="1"/>
    <n v="2807"/>
    <n v="1000"/>
    <x v="3"/>
    <s v="Website"/>
    <s v="Yes"/>
    <s v="Yes"/>
    <s v="No"/>
    <n v="2023"/>
    <s v="January"/>
    <s v="Q1"/>
  </r>
  <r>
    <s v="A0725"/>
    <s v="Second Chance Rescue"/>
    <x v="6"/>
    <x v="0"/>
    <s v="Maine Coon"/>
    <x v="1"/>
    <s v="Male"/>
    <n v="8.1999999999999993"/>
    <n v="32.5"/>
    <x v="0"/>
    <s v="2023-09-18"/>
    <s v="Transfer from Another Shelter"/>
    <s v="2023-12-09"/>
    <s v="Fostered"/>
    <n v="82"/>
    <x v="0"/>
    <n v="0"/>
    <n v="0"/>
    <x v="0"/>
    <s v="Website"/>
    <s v="Yes"/>
    <s v="No"/>
    <s v="No"/>
    <n v="2023"/>
    <s v="September"/>
    <s v="Q3"/>
  </r>
  <r>
    <s v="A0726"/>
    <s v="City Animal Shelter"/>
    <x v="5"/>
    <x v="3"/>
    <s v="Lionhead"/>
    <x v="8"/>
    <s v="Female"/>
    <n v="9.4"/>
    <n v="9.8000000000000007"/>
    <x v="0"/>
    <s v="2024-08-28"/>
    <s v="Abandoned"/>
    <s v="2024-12-31"/>
    <s v="Still in Shelter"/>
    <n v="168"/>
    <x v="0"/>
    <n v="0"/>
    <n v="0"/>
    <x v="0"/>
    <s v="Social Media"/>
    <s v="Yes"/>
    <s v="No"/>
    <s v="No"/>
    <n v="2024"/>
    <s v="August"/>
    <s v="Q3"/>
  </r>
  <r>
    <s v="A0727"/>
    <s v="Furever Home"/>
    <x v="3"/>
    <x v="1"/>
    <s v="Bulldog"/>
    <x v="2"/>
    <s v="Female"/>
    <n v="9.1999999999999993"/>
    <n v="0.7"/>
    <x v="4"/>
    <s v="2024-05-21"/>
    <s v="Owner Surrender"/>
    <s v="2024-10-13"/>
    <s v="Still in Shelter"/>
    <n v="145"/>
    <x v="0"/>
    <n v="0"/>
    <n v="0"/>
    <x v="0"/>
    <s v="Referral"/>
    <s v="Yes"/>
    <s v="Yes"/>
    <s v="No"/>
    <n v="2024"/>
    <s v="May"/>
    <s v="Q2"/>
  </r>
  <r>
    <s v="A0728"/>
    <s v="Paws &amp; Claws Rescue"/>
    <x v="4"/>
    <x v="1"/>
    <s v="Bulldog"/>
    <x v="6"/>
    <s v="Female"/>
    <n v="9.5"/>
    <n v="11.7"/>
    <x v="2"/>
    <s v="2023-08-27"/>
    <s v="Abandoned"/>
    <s v="2023-12-01"/>
    <s v="Adopted"/>
    <n v="96"/>
    <x v="5"/>
    <n v="5636"/>
    <n v="500"/>
    <x v="1"/>
    <s v="Website"/>
    <s v="Yes"/>
    <s v="No"/>
    <s v="No"/>
    <n v="2023"/>
    <s v="August"/>
    <s v="Q3"/>
  </r>
  <r>
    <s v="A0729"/>
    <s v="Furever Home"/>
    <x v="4"/>
    <x v="1"/>
    <s v="Husky"/>
    <x v="8"/>
    <s v="Female"/>
    <n v="8.3000000000000007"/>
    <n v="31.9"/>
    <x v="0"/>
    <s v="2022-04-05"/>
    <s v="Stray"/>
    <s v="2022-09-21"/>
    <s v="Still in Shelter"/>
    <n v="169"/>
    <x v="0"/>
    <n v="0"/>
    <n v="0"/>
    <x v="0"/>
    <s v="Walk-in"/>
    <s v="Yes"/>
    <s v="No"/>
    <s v="No"/>
    <n v="2022"/>
    <s v="April"/>
    <s v="Q2"/>
  </r>
  <r>
    <s v="A0730"/>
    <s v="Second Chance Rescue"/>
    <x v="6"/>
    <x v="1"/>
    <s v="Bulldog"/>
    <x v="0"/>
    <s v="Female"/>
    <n v="11.7"/>
    <n v="25.8"/>
    <x v="1"/>
    <s v="2022-08-16"/>
    <s v="Owner Surrender"/>
    <s v="2022-12-15"/>
    <s v="Adopted"/>
    <n v="121"/>
    <x v="3"/>
    <n v="3606"/>
    <n v="0"/>
    <x v="1"/>
    <s v="Referral"/>
    <s v="Yes"/>
    <s v="No"/>
    <s v="No"/>
    <n v="2022"/>
    <s v="August"/>
    <s v="Q3"/>
  </r>
  <r>
    <s v="A0731"/>
    <s v="Hope Animal Shelter"/>
    <x v="2"/>
    <x v="0"/>
    <s v="Maine Coon"/>
    <x v="1"/>
    <s v="Female"/>
    <n v="9.3000000000000007"/>
    <n v="30.5"/>
    <x v="4"/>
    <s v="2023-08-20"/>
    <s v="Owner Surrender"/>
    <s v="2024-02-13"/>
    <s v="Adopted"/>
    <n v="177"/>
    <x v="2"/>
    <n v="2075"/>
    <n v="5000"/>
    <x v="4"/>
    <s v="Referral"/>
    <s v="Yes"/>
    <s v="No"/>
    <s v="No"/>
    <n v="2023"/>
    <s v="August"/>
    <s v="Q3"/>
  </r>
  <r>
    <s v="A0732"/>
    <s v="Furever Home"/>
    <x v="3"/>
    <x v="3"/>
    <s v="Mini Rex"/>
    <x v="5"/>
    <s v="Male"/>
    <n v="7.7"/>
    <n v="15.2"/>
    <x v="1"/>
    <s v="2023-06-15"/>
    <s v="Abandoned"/>
    <s v="2023-08-20"/>
    <s v="Adopted"/>
    <n v="66"/>
    <x v="5"/>
    <n v="1074"/>
    <n v="0"/>
    <x v="2"/>
    <s v="Walk-in"/>
    <s v="Yes"/>
    <s v="No"/>
    <s v="No"/>
    <n v="2023"/>
    <s v="June"/>
    <s v="Q2"/>
  </r>
  <r>
    <s v="A0733"/>
    <s v="Happy Paws Shelter"/>
    <x v="6"/>
    <x v="0"/>
    <s v="Maine Coon"/>
    <x v="5"/>
    <s v="Male"/>
    <n v="6.8"/>
    <n v="34.1"/>
    <x v="1"/>
    <s v="2023-11-15"/>
    <s v="Transfer from Another Shelter"/>
    <s v="2024-04-26"/>
    <s v="Adopted"/>
    <n v="163"/>
    <x v="3"/>
    <n v="4508"/>
    <n v="0"/>
    <x v="3"/>
    <s v="Walk-in"/>
    <s v="No"/>
    <s v="No"/>
    <s v="No"/>
    <n v="2023"/>
    <s v="November"/>
    <s v="Q4"/>
  </r>
  <r>
    <s v="A0734"/>
    <s v="Hope Animal Shelter"/>
    <x v="1"/>
    <x v="1"/>
    <s v="Golden Retriever"/>
    <x v="9"/>
    <s v="Female"/>
    <n v="5.5"/>
    <n v="27.4"/>
    <x v="1"/>
    <s v="2023-11-08"/>
    <s v="Abandoned"/>
    <s v="2023-11-27"/>
    <s v="Adopted"/>
    <n v="19"/>
    <x v="5"/>
    <n v="7712"/>
    <n v="0"/>
    <x v="2"/>
    <s v="Walk-in"/>
    <s v="Yes"/>
    <s v="Yes"/>
    <s v="No"/>
    <n v="2023"/>
    <s v="November"/>
    <s v="Q4"/>
  </r>
  <r>
    <s v="A0735"/>
    <s v="Second Chance Rescue"/>
    <x v="2"/>
    <x v="2"/>
    <s v="Cockatiel"/>
    <x v="0"/>
    <s v="Male"/>
    <n v="6.4"/>
    <n v="23"/>
    <x v="0"/>
    <s v="2023-06-15"/>
    <s v="Owner Surrender"/>
    <s v="2023-08-12"/>
    <s v="Euthanized"/>
    <n v="58"/>
    <x v="0"/>
    <n v="0"/>
    <n v="0"/>
    <x v="0"/>
    <s v="Website"/>
    <s v="Yes"/>
    <s v="Yes"/>
    <s v="Yes"/>
    <n v="2023"/>
    <s v="June"/>
    <s v="Q2"/>
  </r>
  <r>
    <s v="A0736"/>
    <s v="City Animal Shelter"/>
    <x v="4"/>
    <x v="1"/>
    <s v="Labrador"/>
    <x v="6"/>
    <s v="Male"/>
    <n v="11.5"/>
    <n v="11.8"/>
    <x v="0"/>
    <s v="2022-09-18"/>
    <s v="Owner Surrender"/>
    <s v="2023-02-04"/>
    <s v="Euthanized"/>
    <n v="139"/>
    <x v="0"/>
    <n v="0"/>
    <n v="0"/>
    <x v="0"/>
    <s v="Referral"/>
    <s v="Yes"/>
    <s v="Yes"/>
    <s v="No"/>
    <n v="2022"/>
    <s v="September"/>
    <s v="Q3"/>
  </r>
  <r>
    <s v="A0737"/>
    <s v="Hope Animal Shelter"/>
    <x v="4"/>
    <x v="3"/>
    <s v="Holland Lop"/>
    <x v="2"/>
    <s v="Male"/>
    <n v="5.4"/>
    <n v="26.2"/>
    <x v="3"/>
    <s v="2022-10-09"/>
    <s v="Transfer from Another Shelter"/>
    <s v="2023-01-30"/>
    <s v="Adopted"/>
    <n v="113"/>
    <x v="4"/>
    <n v="2036"/>
    <n v="0"/>
    <x v="3"/>
    <s v="Website"/>
    <s v="No"/>
    <s v="No"/>
    <s v="Yes"/>
    <n v="2022"/>
    <s v="October"/>
    <s v="Q4"/>
  </r>
  <r>
    <s v="A0738"/>
    <s v="Hope Animal Shelter"/>
    <x v="2"/>
    <x v="0"/>
    <s v="Siamese"/>
    <x v="1"/>
    <s v="Female"/>
    <n v="2.6"/>
    <n v="33"/>
    <x v="0"/>
    <s v="2024-11-03"/>
    <s v="Owner Surrender"/>
    <s v="2024-12-31"/>
    <s v="Adopted"/>
    <n v="149"/>
    <x v="5"/>
    <n v="2167"/>
    <n v="5000"/>
    <x v="4"/>
    <s v="Referral"/>
    <s v="Yes"/>
    <s v="No"/>
    <s v="Yes"/>
    <n v="2024"/>
    <s v="November"/>
    <s v="Q4"/>
  </r>
  <r>
    <s v="A0739"/>
    <s v="City Animal Shelter"/>
    <x v="2"/>
    <x v="1"/>
    <s v="Labrador"/>
    <x v="8"/>
    <s v="Male"/>
    <n v="4.9000000000000004"/>
    <n v="30.1"/>
    <x v="3"/>
    <s v="2022-01-15"/>
    <s v="Confiscated"/>
    <s v="2022-04-23"/>
    <s v="Still in Shelter"/>
    <n v="98"/>
    <x v="0"/>
    <n v="0"/>
    <n v="0"/>
    <x v="0"/>
    <s v="Social Media"/>
    <s v="Yes"/>
    <s v="No"/>
    <s v="Yes"/>
    <n v="2022"/>
    <s v="January"/>
    <s v="Q1"/>
  </r>
  <r>
    <s v="A0740"/>
    <s v="Second Chance Rescue"/>
    <x v="3"/>
    <x v="2"/>
    <s v="Lovebird"/>
    <x v="3"/>
    <s v="Male"/>
    <n v="0.6"/>
    <n v="29.7"/>
    <x v="0"/>
    <s v="2022-02-02"/>
    <s v="Confiscated"/>
    <s v="2022-04-14"/>
    <s v="Euthanized"/>
    <n v="71"/>
    <x v="0"/>
    <n v="0"/>
    <n v="0"/>
    <x v="0"/>
    <s v="Referral"/>
    <s v="Yes"/>
    <s v="Yes"/>
    <s v="No"/>
    <n v="2022"/>
    <s v="February"/>
    <s v="Q1"/>
  </r>
  <r>
    <s v="A0741"/>
    <s v="Second Chance Rescue"/>
    <x v="6"/>
    <x v="0"/>
    <s v="Bengal"/>
    <x v="1"/>
    <s v="Male"/>
    <n v="2.2000000000000002"/>
    <n v="32.799999999999997"/>
    <x v="2"/>
    <s v="2024-04-29"/>
    <s v="Owner Surrender"/>
    <s v="2024-06-09"/>
    <s v="Still in Shelter"/>
    <n v="41"/>
    <x v="0"/>
    <n v="0"/>
    <n v="0"/>
    <x v="0"/>
    <s v="Walk-in"/>
    <s v="No"/>
    <s v="Yes"/>
    <s v="No"/>
    <n v="2024"/>
    <s v="April"/>
    <s v="Q2"/>
  </r>
  <r>
    <s v="A0742"/>
    <s v="Happy Paws Shelter"/>
    <x v="5"/>
    <x v="2"/>
    <s v="Canary"/>
    <x v="9"/>
    <s v="Male"/>
    <n v="0.4"/>
    <n v="1.4"/>
    <x v="3"/>
    <s v="2023-06-28"/>
    <s v="Stray"/>
    <s v="2023-12-05"/>
    <s v="Euthanized"/>
    <n v="160"/>
    <x v="0"/>
    <n v="0"/>
    <n v="0"/>
    <x v="0"/>
    <s v="Event"/>
    <s v="No"/>
    <s v="No"/>
    <s v="No"/>
    <n v="2023"/>
    <s v="June"/>
    <s v="Q2"/>
  </r>
  <r>
    <s v="A0743"/>
    <s v="Furever Home"/>
    <x v="5"/>
    <x v="1"/>
    <s v="German Shepherd"/>
    <x v="2"/>
    <s v="Female"/>
    <n v="5.0999999999999996"/>
    <n v="2.8"/>
    <x v="0"/>
    <s v="2022-01-31"/>
    <s v="Born in Shelter"/>
    <s v="2022-05-01"/>
    <s v="Returned to Owner"/>
    <n v="90"/>
    <x v="0"/>
    <n v="0"/>
    <n v="0"/>
    <x v="0"/>
    <s v="Walk-in"/>
    <s v="Yes"/>
    <s v="No"/>
    <s v="No"/>
    <n v="2022"/>
    <s v="January"/>
    <s v="Q1"/>
  </r>
  <r>
    <s v="A0744"/>
    <s v="Happy Paws Shelter"/>
    <x v="5"/>
    <x v="0"/>
    <s v="Siamese"/>
    <x v="7"/>
    <s v="Male"/>
    <n v="11.5"/>
    <n v="23.6"/>
    <x v="0"/>
    <s v="2023-10-24"/>
    <s v="Owner Surrender"/>
    <s v="2024-04-10"/>
    <s v="Euthanized"/>
    <n v="169"/>
    <x v="0"/>
    <n v="0"/>
    <n v="0"/>
    <x v="0"/>
    <s v="Event"/>
    <s v="Yes"/>
    <s v="Yes"/>
    <s v="No"/>
    <n v="2023"/>
    <s v="October"/>
    <s v="Q4"/>
  </r>
  <r>
    <s v="A0745"/>
    <s v="Second Chance Rescue"/>
    <x v="7"/>
    <x v="0"/>
    <s v="Mixed Breed"/>
    <x v="3"/>
    <s v="Female"/>
    <n v="10.7"/>
    <n v="4.0999999999999996"/>
    <x v="0"/>
    <s v="2022-07-14"/>
    <s v="Confiscated"/>
    <s v="2022-10-26"/>
    <s v="Transferred"/>
    <n v="104"/>
    <x v="0"/>
    <n v="0"/>
    <n v="0"/>
    <x v="0"/>
    <s v="Referral"/>
    <s v="Yes"/>
    <s v="Yes"/>
    <s v="No"/>
    <n v="2022"/>
    <s v="July"/>
    <s v="Q3"/>
  </r>
  <r>
    <s v="A0746"/>
    <s v="Second Chance Rescue"/>
    <x v="3"/>
    <x v="2"/>
    <s v="Canary"/>
    <x v="3"/>
    <s v="Male"/>
    <n v="0.7"/>
    <n v="7.3"/>
    <x v="2"/>
    <s v="2022-10-25"/>
    <s v="Owner Surrender"/>
    <s v="2023-03-23"/>
    <s v="Adopted"/>
    <n v="149"/>
    <x v="2"/>
    <n v="2077"/>
    <n v="2000"/>
    <x v="2"/>
    <s v="Social Media"/>
    <s v="Yes"/>
    <s v="No"/>
    <s v="No"/>
    <n v="2022"/>
    <s v="October"/>
    <s v="Q4"/>
  </r>
  <r>
    <s v="A0747"/>
    <s v="Paws &amp; Claws Rescue"/>
    <x v="7"/>
    <x v="1"/>
    <s v="Beagle"/>
    <x v="5"/>
    <s v="Female"/>
    <n v="5.5"/>
    <n v="7.9"/>
    <x v="0"/>
    <s v="2023-01-20"/>
    <s v="Confiscated"/>
    <s v="2023-06-30"/>
    <s v="Still in Shelter"/>
    <n v="161"/>
    <x v="0"/>
    <n v="0"/>
    <n v="0"/>
    <x v="0"/>
    <s v="Social Media"/>
    <s v="Yes"/>
    <s v="No"/>
    <s v="No"/>
    <n v="2023"/>
    <s v="January"/>
    <s v="Q1"/>
  </r>
  <r>
    <s v="A0748"/>
    <s v="Paws &amp; Claws Rescue"/>
    <x v="7"/>
    <x v="0"/>
    <s v="Bengal"/>
    <x v="4"/>
    <s v="Female"/>
    <n v="8"/>
    <n v="12.3"/>
    <x v="3"/>
    <s v="2024-09-25"/>
    <s v="Confiscated"/>
    <s v="2024-12-31"/>
    <s v="Fostered"/>
    <n v="141"/>
    <x v="0"/>
    <n v="0"/>
    <n v="0"/>
    <x v="0"/>
    <s v="Walk-in"/>
    <s v="Yes"/>
    <s v="Yes"/>
    <s v="No"/>
    <n v="2024"/>
    <s v="September"/>
    <s v="Q3"/>
  </r>
  <r>
    <s v="A0749"/>
    <s v="Furever Home"/>
    <x v="1"/>
    <x v="1"/>
    <s v="German Shepherd"/>
    <x v="5"/>
    <s v="Male"/>
    <n v="1.6"/>
    <n v="12.5"/>
    <x v="2"/>
    <s v="2022-09-04"/>
    <s v="Born in Shelter"/>
    <s v="2023-01-23"/>
    <s v="Transferred"/>
    <n v="141"/>
    <x v="0"/>
    <n v="0"/>
    <n v="0"/>
    <x v="0"/>
    <s v="Website"/>
    <s v="No"/>
    <s v="No"/>
    <s v="No"/>
    <n v="2022"/>
    <s v="September"/>
    <s v="Q3"/>
  </r>
  <r>
    <s v="A0750"/>
    <s v="Paws &amp; Claws Rescue"/>
    <x v="3"/>
    <x v="1"/>
    <s v="Poodle"/>
    <x v="5"/>
    <s v="Female"/>
    <n v="6.4"/>
    <n v="27.4"/>
    <x v="1"/>
    <s v="2022-02-04"/>
    <s v="Owner Surrender"/>
    <s v="2022-03-27"/>
    <s v="Euthanized"/>
    <n v="51"/>
    <x v="0"/>
    <n v="0"/>
    <n v="0"/>
    <x v="0"/>
    <s v="Event"/>
    <s v="Yes"/>
    <s v="No"/>
    <s v="No"/>
    <n v="2022"/>
    <s v="February"/>
    <s v="Q1"/>
  </r>
  <r>
    <s v="A0751"/>
    <s v="Furever Home"/>
    <x v="4"/>
    <x v="0"/>
    <s v="Mixed Breed"/>
    <x v="8"/>
    <s v="Male"/>
    <n v="6.5"/>
    <n v="33.5"/>
    <x v="3"/>
    <s v="2022-12-06"/>
    <s v="Abandoned"/>
    <s v="2023-05-18"/>
    <s v="Returned to Owner"/>
    <n v="163"/>
    <x v="0"/>
    <n v="0"/>
    <n v="0"/>
    <x v="0"/>
    <s v="Referral"/>
    <s v="No"/>
    <s v="No"/>
    <s v="No"/>
    <n v="2022"/>
    <s v="December"/>
    <s v="Q4"/>
  </r>
  <r>
    <s v="A0752"/>
    <s v="Hope Animal Shelter"/>
    <x v="0"/>
    <x v="3"/>
    <s v="Mini Rex"/>
    <x v="9"/>
    <s v="Female"/>
    <n v="6.7"/>
    <n v="11.3"/>
    <x v="0"/>
    <s v="2023-09-07"/>
    <s v="Owner Surrender"/>
    <s v="2023-09-08"/>
    <s v="Adopted"/>
    <n v="1"/>
    <x v="4"/>
    <n v="1529"/>
    <n v="2000"/>
    <x v="3"/>
    <s v="Website"/>
    <s v="No"/>
    <s v="Yes"/>
    <s v="No"/>
    <n v="2023"/>
    <s v="September"/>
    <s v="Q3"/>
  </r>
  <r>
    <s v="A0753"/>
    <s v="City Animal Shelter"/>
    <x v="6"/>
    <x v="2"/>
    <s v="Finch"/>
    <x v="2"/>
    <s v="Male"/>
    <n v="0.9"/>
    <n v="33.700000000000003"/>
    <x v="4"/>
    <s v="2023-02-01"/>
    <s v="Confiscated"/>
    <s v="2023-04-06"/>
    <s v="Euthanized"/>
    <n v="64"/>
    <x v="0"/>
    <n v="0"/>
    <n v="0"/>
    <x v="0"/>
    <s v="Event"/>
    <s v="Yes"/>
    <s v="Yes"/>
    <s v="No"/>
    <n v="2023"/>
    <s v="February"/>
    <s v="Q1"/>
  </r>
  <r>
    <s v="A0754"/>
    <s v="Paws &amp; Claws Rescue"/>
    <x v="5"/>
    <x v="1"/>
    <s v="Bulldog"/>
    <x v="6"/>
    <s v="Female"/>
    <n v="6.3"/>
    <n v="27.1"/>
    <x v="0"/>
    <s v="2023-11-02"/>
    <s v="Stray"/>
    <s v="2023-11-05"/>
    <s v="Adopted"/>
    <n v="3"/>
    <x v="3"/>
    <n v="7264"/>
    <n v="0"/>
    <x v="2"/>
    <s v="Website"/>
    <s v="Yes"/>
    <s v="No"/>
    <s v="No"/>
    <n v="2023"/>
    <s v="November"/>
    <s v="Q4"/>
  </r>
  <r>
    <s v="A0755"/>
    <s v="Hope Animal Shelter"/>
    <x v="5"/>
    <x v="0"/>
    <s v="Persian"/>
    <x v="8"/>
    <s v="Male"/>
    <n v="5.2"/>
    <n v="6.3"/>
    <x v="1"/>
    <s v="2024-02-21"/>
    <s v="Stray"/>
    <s v="2024-04-27"/>
    <s v="Adopted"/>
    <n v="66"/>
    <x v="5"/>
    <n v="4067"/>
    <n v="500"/>
    <x v="4"/>
    <s v="Website"/>
    <s v="No"/>
    <s v="No"/>
    <s v="No"/>
    <n v="2024"/>
    <s v="February"/>
    <s v="Q1"/>
  </r>
  <r>
    <s v="A0756"/>
    <s v="City Animal Shelter"/>
    <x v="1"/>
    <x v="2"/>
    <s v="Parakeet"/>
    <x v="8"/>
    <s v="Female"/>
    <n v="10.9"/>
    <n v="22.6"/>
    <x v="0"/>
    <s v="2022-08-04"/>
    <s v="Stray"/>
    <s v="2022-10-15"/>
    <s v="Transferred"/>
    <n v="72"/>
    <x v="0"/>
    <n v="0"/>
    <n v="0"/>
    <x v="0"/>
    <s v="Walk-in"/>
    <s v="No"/>
    <s v="Yes"/>
    <s v="No"/>
    <n v="2022"/>
    <s v="August"/>
    <s v="Q3"/>
  </r>
  <r>
    <s v="A0757"/>
    <s v="Hope Animal Shelter"/>
    <x v="1"/>
    <x v="1"/>
    <s v="Mixed Breed"/>
    <x v="9"/>
    <s v="Male"/>
    <n v="7.3"/>
    <n v="30.5"/>
    <x v="1"/>
    <s v="2023-06-29"/>
    <s v="Confiscated"/>
    <s v="2023-07-26"/>
    <s v="Fostered"/>
    <n v="27"/>
    <x v="0"/>
    <n v="0"/>
    <n v="1000"/>
    <x v="0"/>
    <s v="Walk-in"/>
    <s v="Yes"/>
    <s v="Yes"/>
    <s v="No"/>
    <n v="2023"/>
    <s v="June"/>
    <s v="Q2"/>
  </r>
  <r>
    <s v="A0758"/>
    <s v="Paws &amp; Claws Rescue"/>
    <x v="3"/>
    <x v="3"/>
    <s v="Lionhead"/>
    <x v="2"/>
    <s v="Female"/>
    <n v="9.5"/>
    <n v="29.9"/>
    <x v="4"/>
    <s v="2024-05-13"/>
    <s v="Stray"/>
    <s v="2024-08-22"/>
    <s v="Adopted"/>
    <n v="101"/>
    <x v="2"/>
    <n v="1922"/>
    <n v="2000"/>
    <x v="3"/>
    <s v="Walk-in"/>
    <s v="Yes"/>
    <s v="Yes"/>
    <s v="No"/>
    <n v="2024"/>
    <s v="May"/>
    <s v="Q2"/>
  </r>
  <r>
    <s v="A0759"/>
    <s v="Second Chance Rescue"/>
    <x v="7"/>
    <x v="2"/>
    <s v="Parakeet"/>
    <x v="7"/>
    <s v="Male"/>
    <n v="9.8000000000000007"/>
    <n v="12.4"/>
    <x v="0"/>
    <s v="2024-07-24"/>
    <s v="Transfer from Another Shelter"/>
    <s v="2024-09-27"/>
    <s v="Euthanized"/>
    <n v="65"/>
    <x v="0"/>
    <n v="0"/>
    <n v="0"/>
    <x v="0"/>
    <s v="Social Media"/>
    <s v="Yes"/>
    <s v="Yes"/>
    <s v="No"/>
    <n v="2024"/>
    <s v="July"/>
    <s v="Q3"/>
  </r>
  <r>
    <s v="A0760"/>
    <s v="Second Chance Rescue"/>
    <x v="2"/>
    <x v="2"/>
    <s v="Canary"/>
    <x v="8"/>
    <s v="Male"/>
    <n v="7.4"/>
    <n v="26"/>
    <x v="4"/>
    <s v="2022-12-19"/>
    <s v="Stray"/>
    <s v="2023-04-26"/>
    <s v="Adopted"/>
    <n v="128"/>
    <x v="4"/>
    <n v="1867"/>
    <n v="0"/>
    <x v="4"/>
    <s v="Event"/>
    <s v="No"/>
    <s v="No"/>
    <s v="No"/>
    <n v="2022"/>
    <s v="December"/>
    <s v="Q4"/>
  </r>
  <r>
    <s v="A0761"/>
    <s v="City Animal Shelter"/>
    <x v="6"/>
    <x v="2"/>
    <s v="Cockatiel"/>
    <x v="3"/>
    <s v="Female"/>
    <n v="4.0999999999999996"/>
    <n v="15.6"/>
    <x v="0"/>
    <s v="2023-06-27"/>
    <s v="Stray"/>
    <s v="2023-10-30"/>
    <s v="Euthanized"/>
    <n v="125"/>
    <x v="0"/>
    <n v="0"/>
    <n v="0"/>
    <x v="0"/>
    <s v="Website"/>
    <s v="Yes"/>
    <s v="No"/>
    <s v="No"/>
    <n v="2023"/>
    <s v="June"/>
    <s v="Q2"/>
  </r>
  <r>
    <s v="A0762"/>
    <s v="Hope Animal Shelter"/>
    <x v="1"/>
    <x v="0"/>
    <s v="Maine Coon"/>
    <x v="8"/>
    <s v="Male"/>
    <n v="1.2"/>
    <n v="21.1"/>
    <x v="4"/>
    <s v="2022-12-31"/>
    <s v="Abandoned"/>
    <s v="2023-04-12"/>
    <s v="Adopted"/>
    <n v="102"/>
    <x v="3"/>
    <n v="2313"/>
    <n v="0"/>
    <x v="4"/>
    <s v="Referral"/>
    <s v="Yes"/>
    <s v="No"/>
    <s v="Yes"/>
    <n v="2022"/>
    <s v="December"/>
    <s v="Q4"/>
  </r>
  <r>
    <s v="A0763"/>
    <s v="Second Chance Rescue"/>
    <x v="7"/>
    <x v="0"/>
    <s v="Maine Coon"/>
    <x v="9"/>
    <s v="Female"/>
    <n v="9.9"/>
    <n v="9"/>
    <x v="0"/>
    <s v="2022-06-18"/>
    <s v="Confiscated"/>
    <s v="2022-09-09"/>
    <s v="Returned to Owner"/>
    <n v="83"/>
    <x v="0"/>
    <n v="0"/>
    <n v="1000"/>
    <x v="0"/>
    <s v="Website"/>
    <s v="Yes"/>
    <s v="Yes"/>
    <s v="No"/>
    <n v="2022"/>
    <s v="June"/>
    <s v="Q2"/>
  </r>
  <r>
    <s v="A0764"/>
    <s v="Furever Home"/>
    <x v="1"/>
    <x v="1"/>
    <s v="Golden Retriever"/>
    <x v="5"/>
    <s v="Male"/>
    <n v="10.3"/>
    <n v="17.2"/>
    <x v="3"/>
    <s v="2022-01-26"/>
    <s v="Owner Surrender"/>
    <s v="2022-04-12"/>
    <s v="Returned to Owner"/>
    <n v="76"/>
    <x v="0"/>
    <n v="0"/>
    <n v="0"/>
    <x v="0"/>
    <s v="Event"/>
    <s v="No"/>
    <s v="No"/>
    <s v="No"/>
    <n v="2022"/>
    <s v="January"/>
    <s v="Q1"/>
  </r>
  <r>
    <s v="A0765"/>
    <s v="Second Chance Rescue"/>
    <x v="2"/>
    <x v="0"/>
    <s v="Mixed Breed"/>
    <x v="5"/>
    <s v="Female"/>
    <n v="4.5"/>
    <n v="31.6"/>
    <x v="0"/>
    <s v="2024-01-16"/>
    <s v="Confiscated"/>
    <s v="2024-03-24"/>
    <s v="Still in Shelter"/>
    <n v="68"/>
    <x v="0"/>
    <n v="0"/>
    <n v="0"/>
    <x v="0"/>
    <s v="Website"/>
    <s v="Yes"/>
    <s v="No"/>
    <s v="No"/>
    <n v="2024"/>
    <s v="January"/>
    <s v="Q1"/>
  </r>
  <r>
    <s v="A0766"/>
    <s v="Second Chance Rescue"/>
    <x v="2"/>
    <x v="0"/>
    <s v="Maine Coon"/>
    <x v="5"/>
    <s v="Male"/>
    <n v="1.3"/>
    <n v="29"/>
    <x v="3"/>
    <s v="2022-09-21"/>
    <s v="Abandoned"/>
    <s v="2022-10-16"/>
    <s v="Fostered"/>
    <n v="25"/>
    <x v="0"/>
    <n v="0"/>
    <n v="500"/>
    <x v="0"/>
    <s v="Event"/>
    <s v="Yes"/>
    <s v="No"/>
    <s v="No"/>
    <n v="2022"/>
    <s v="September"/>
    <s v="Q3"/>
  </r>
  <r>
    <s v="A0767"/>
    <s v="City Animal Shelter"/>
    <x v="5"/>
    <x v="1"/>
    <s v="Mixed Breed"/>
    <x v="3"/>
    <s v="Male"/>
    <n v="6.8"/>
    <n v="2.5"/>
    <x v="4"/>
    <s v="2022-05-13"/>
    <s v="Abandoned"/>
    <s v="2022-06-26"/>
    <s v="Adopted"/>
    <n v="44"/>
    <x v="5"/>
    <n v="7587"/>
    <n v="500"/>
    <x v="4"/>
    <s v="Event"/>
    <s v="Yes"/>
    <s v="No"/>
    <s v="Yes"/>
    <n v="2022"/>
    <s v="May"/>
    <s v="Q2"/>
  </r>
  <r>
    <s v="A0768"/>
    <s v="Paws &amp; Claws Rescue"/>
    <x v="7"/>
    <x v="1"/>
    <s v="Husky"/>
    <x v="1"/>
    <s v="Male"/>
    <n v="2.7"/>
    <n v="16.100000000000001"/>
    <x v="1"/>
    <s v="2024-06-01"/>
    <s v="Born in Shelter"/>
    <s v="2024-07-06"/>
    <s v="Still in Shelter"/>
    <n v="35"/>
    <x v="0"/>
    <n v="0"/>
    <n v="0"/>
    <x v="0"/>
    <s v="Referral"/>
    <s v="Yes"/>
    <s v="No"/>
    <s v="No"/>
    <n v="2024"/>
    <s v="June"/>
    <s v="Q2"/>
  </r>
  <r>
    <s v="A0769"/>
    <s v="Second Chance Rescue"/>
    <x v="4"/>
    <x v="1"/>
    <s v="Labrador"/>
    <x v="6"/>
    <s v="Male"/>
    <n v="0.9"/>
    <n v="14.8"/>
    <x v="2"/>
    <s v="2024-01-04"/>
    <s v="Owner Surrender"/>
    <s v="2024-06-03"/>
    <s v="Adopted"/>
    <n v="151"/>
    <x v="5"/>
    <n v="3581"/>
    <n v="1000"/>
    <x v="2"/>
    <s v="Walk-in"/>
    <s v="Yes"/>
    <s v="Yes"/>
    <s v="Yes"/>
    <n v="2024"/>
    <s v="January"/>
    <s v="Q1"/>
  </r>
  <r>
    <s v="A0770"/>
    <s v="City Animal Shelter"/>
    <x v="6"/>
    <x v="2"/>
    <s v="Finch"/>
    <x v="4"/>
    <s v="Female"/>
    <n v="8.4"/>
    <n v="5.3"/>
    <x v="0"/>
    <s v="2024-03-04"/>
    <s v="Owner Surrender"/>
    <s v="2024-06-17"/>
    <s v="Still in Shelter"/>
    <n v="105"/>
    <x v="0"/>
    <n v="0"/>
    <n v="0"/>
    <x v="0"/>
    <s v="Referral"/>
    <s v="Yes"/>
    <s v="No"/>
    <s v="Yes"/>
    <n v="2024"/>
    <s v="March"/>
    <s v="Q1"/>
  </r>
  <r>
    <s v="A0771"/>
    <s v="City Animal Shelter"/>
    <x v="5"/>
    <x v="1"/>
    <s v="Bulldog"/>
    <x v="4"/>
    <s v="Female"/>
    <n v="11.8"/>
    <n v="22.3"/>
    <x v="0"/>
    <s v="2024-04-02"/>
    <s v="Born in Shelter"/>
    <s v="2024-05-24"/>
    <s v="Returned to Owner"/>
    <n v="52"/>
    <x v="0"/>
    <n v="0"/>
    <n v="500"/>
    <x v="0"/>
    <s v="Walk-in"/>
    <s v="Yes"/>
    <s v="No"/>
    <s v="No"/>
    <n v="2024"/>
    <s v="April"/>
    <s v="Q2"/>
  </r>
  <r>
    <s v="A0772"/>
    <s v="Paws &amp; Claws Rescue"/>
    <x v="2"/>
    <x v="0"/>
    <s v="Siamese"/>
    <x v="4"/>
    <s v="Male"/>
    <n v="4.7"/>
    <n v="1.5"/>
    <x v="0"/>
    <s v="2022-01-04"/>
    <s v="Confiscated"/>
    <s v="2022-05-20"/>
    <s v="Adopted"/>
    <n v="136"/>
    <x v="3"/>
    <n v="1519"/>
    <n v="0"/>
    <x v="2"/>
    <s v="Website"/>
    <s v="Yes"/>
    <s v="No"/>
    <s v="Yes"/>
    <n v="2022"/>
    <s v="January"/>
    <s v="Q1"/>
  </r>
  <r>
    <s v="A0773"/>
    <s v="Paws &amp; Claws Rescue"/>
    <x v="3"/>
    <x v="1"/>
    <s v="Beagle"/>
    <x v="5"/>
    <s v="Male"/>
    <n v="9.8000000000000007"/>
    <n v="15.9"/>
    <x v="2"/>
    <s v="2022-12-29"/>
    <s v="Abandoned"/>
    <s v="2023-04-21"/>
    <s v="Adopted"/>
    <n v="113"/>
    <x v="1"/>
    <n v="7156"/>
    <n v="0"/>
    <x v="1"/>
    <s v="Social Media"/>
    <s v="Yes"/>
    <s v="No"/>
    <s v="No"/>
    <n v="2022"/>
    <s v="December"/>
    <s v="Q4"/>
  </r>
  <r>
    <s v="A0774"/>
    <s v="Paws &amp; Claws Rescue"/>
    <x v="1"/>
    <x v="0"/>
    <s v="Domestic Shorthair"/>
    <x v="7"/>
    <s v="Male"/>
    <n v="11.3"/>
    <n v="32.5"/>
    <x v="4"/>
    <s v="2023-01-31"/>
    <s v="Born in Shelter"/>
    <s v="2023-07-05"/>
    <s v="Adopted"/>
    <n v="155"/>
    <x v="5"/>
    <n v="4011"/>
    <n v="0"/>
    <x v="4"/>
    <s v="Website"/>
    <s v="Yes"/>
    <s v="Yes"/>
    <s v="No"/>
    <n v="2023"/>
    <s v="January"/>
    <s v="Q1"/>
  </r>
  <r>
    <s v="A0775"/>
    <s v="Furever Home"/>
    <x v="0"/>
    <x v="1"/>
    <s v="Poodle"/>
    <x v="5"/>
    <s v="Male"/>
    <n v="0.8"/>
    <n v="34.4"/>
    <x v="4"/>
    <s v="2024-04-07"/>
    <s v="Confiscated"/>
    <s v="2024-04-18"/>
    <s v="Euthanized"/>
    <n v="11"/>
    <x v="0"/>
    <n v="0"/>
    <n v="0"/>
    <x v="0"/>
    <s v="Social Media"/>
    <s v="No"/>
    <s v="No"/>
    <s v="No"/>
    <n v="2024"/>
    <s v="April"/>
    <s v="Q2"/>
  </r>
  <r>
    <s v="A0776"/>
    <s v="Furever Home"/>
    <x v="1"/>
    <x v="0"/>
    <s v="Bengal"/>
    <x v="4"/>
    <s v="Female"/>
    <n v="11.3"/>
    <n v="15.2"/>
    <x v="0"/>
    <s v="2022-10-05"/>
    <s v="Transfer from Another Shelter"/>
    <s v="2023-01-28"/>
    <s v="Returned to Owner"/>
    <n v="115"/>
    <x v="0"/>
    <n v="0"/>
    <n v="500"/>
    <x v="0"/>
    <s v="Walk-in"/>
    <s v="Yes"/>
    <s v="No"/>
    <s v="No"/>
    <n v="2022"/>
    <s v="October"/>
    <s v="Q4"/>
  </r>
  <r>
    <s v="A0777"/>
    <s v="Paws &amp; Claws Rescue"/>
    <x v="3"/>
    <x v="1"/>
    <s v="Mixed Breed"/>
    <x v="6"/>
    <s v="Male"/>
    <n v="9.3000000000000007"/>
    <n v="24.6"/>
    <x v="0"/>
    <s v="2023-09-19"/>
    <s v="Born in Shelter"/>
    <s v="2024-01-25"/>
    <s v="Transferred"/>
    <n v="128"/>
    <x v="0"/>
    <n v="0"/>
    <n v="0"/>
    <x v="0"/>
    <s v="Event"/>
    <s v="Yes"/>
    <s v="No"/>
    <s v="No"/>
    <n v="2023"/>
    <s v="September"/>
    <s v="Q3"/>
  </r>
  <r>
    <s v="A0778"/>
    <s v="Happy Paws Shelter"/>
    <x v="1"/>
    <x v="1"/>
    <s v="Labrador"/>
    <x v="5"/>
    <s v="Male"/>
    <n v="2.2999999999999998"/>
    <n v="33.799999999999997"/>
    <x v="1"/>
    <s v="2022-04-07"/>
    <s v="Abandoned"/>
    <s v="2022-06-24"/>
    <s v="Still in Shelter"/>
    <n v="78"/>
    <x v="0"/>
    <n v="0"/>
    <n v="0"/>
    <x v="0"/>
    <s v="Walk-in"/>
    <s v="Yes"/>
    <s v="Yes"/>
    <s v="No"/>
    <n v="2022"/>
    <s v="April"/>
    <s v="Q2"/>
  </r>
  <r>
    <s v="A0779"/>
    <s v="Happy Paws Shelter"/>
    <x v="3"/>
    <x v="1"/>
    <s v="Poodle"/>
    <x v="2"/>
    <s v="Male"/>
    <n v="2.6"/>
    <n v="22.6"/>
    <x v="4"/>
    <s v="2023-10-18"/>
    <s v="Stray"/>
    <s v="2023-11-06"/>
    <s v="Returned to Owner"/>
    <n v="19"/>
    <x v="0"/>
    <n v="0"/>
    <n v="1000"/>
    <x v="0"/>
    <s v="Social Media"/>
    <s v="Yes"/>
    <s v="Yes"/>
    <s v="No"/>
    <n v="2023"/>
    <s v="October"/>
    <s v="Q4"/>
  </r>
  <r>
    <s v="A0780"/>
    <s v="Second Chance Rescue"/>
    <x v="7"/>
    <x v="1"/>
    <s v="Mixed Breed"/>
    <x v="2"/>
    <s v="Female"/>
    <n v="0.6"/>
    <n v="5.4"/>
    <x v="0"/>
    <s v="2023-04-13"/>
    <s v="Confiscated"/>
    <s v="2023-07-18"/>
    <s v="Still in Shelter"/>
    <n v="96"/>
    <x v="0"/>
    <n v="0"/>
    <n v="0"/>
    <x v="0"/>
    <s v="Social Media"/>
    <s v="No"/>
    <s v="No"/>
    <s v="Yes"/>
    <n v="2023"/>
    <s v="April"/>
    <s v="Q2"/>
  </r>
  <r>
    <s v="A0781"/>
    <s v="Hope Animal Shelter"/>
    <x v="1"/>
    <x v="2"/>
    <s v="Lovebird"/>
    <x v="9"/>
    <s v="Female"/>
    <n v="3.1"/>
    <n v="0.9"/>
    <x v="0"/>
    <s v="2024-02-12"/>
    <s v="Confiscated"/>
    <s v="2024-04-24"/>
    <s v="Returned to Owner"/>
    <n v="72"/>
    <x v="0"/>
    <n v="0"/>
    <n v="1000"/>
    <x v="0"/>
    <s v="Website"/>
    <s v="Yes"/>
    <s v="No"/>
    <s v="Yes"/>
    <n v="2024"/>
    <s v="February"/>
    <s v="Q1"/>
  </r>
  <r>
    <s v="A0782"/>
    <s v="Hope Animal Shelter"/>
    <x v="1"/>
    <x v="0"/>
    <s v="Siamese"/>
    <x v="8"/>
    <s v="Female"/>
    <n v="2.1"/>
    <n v="26"/>
    <x v="0"/>
    <s v="2024-09-27"/>
    <s v="Born in Shelter"/>
    <s v="2024-10-15"/>
    <s v="Adopted"/>
    <n v="18"/>
    <x v="1"/>
    <n v="3699"/>
    <n v="0"/>
    <x v="1"/>
    <s v="Walk-in"/>
    <s v="No"/>
    <s v="Yes"/>
    <s v="Yes"/>
    <n v="2024"/>
    <s v="September"/>
    <s v="Q3"/>
  </r>
  <r>
    <s v="A0783"/>
    <s v="Second Chance Rescue"/>
    <x v="3"/>
    <x v="0"/>
    <s v="Ragdoll"/>
    <x v="2"/>
    <s v="Male"/>
    <n v="5.7"/>
    <n v="4.3"/>
    <x v="0"/>
    <s v="2024-10-16"/>
    <s v="Confiscated"/>
    <s v="2024-12-07"/>
    <s v="Adopted"/>
    <n v="52"/>
    <x v="5"/>
    <n v="3622"/>
    <n v="0"/>
    <x v="3"/>
    <s v="Referral"/>
    <s v="Yes"/>
    <s v="No"/>
    <s v="No"/>
    <n v="2024"/>
    <s v="October"/>
    <s v="Q4"/>
  </r>
  <r>
    <s v="A0784"/>
    <s v="Second Chance Rescue"/>
    <x v="2"/>
    <x v="1"/>
    <s v="Labrador"/>
    <x v="8"/>
    <s v="Male"/>
    <n v="0.6"/>
    <n v="1"/>
    <x v="0"/>
    <s v="2024-10-28"/>
    <s v="Transfer from Another Shelter"/>
    <s v="2024-12-16"/>
    <s v="Returned to Owner"/>
    <n v="49"/>
    <x v="0"/>
    <n v="0"/>
    <n v="500"/>
    <x v="0"/>
    <s v="Website"/>
    <s v="Yes"/>
    <s v="No"/>
    <s v="No"/>
    <n v="2024"/>
    <s v="October"/>
    <s v="Q4"/>
  </r>
  <r>
    <s v="A0785"/>
    <s v="Hope Animal Shelter"/>
    <x v="5"/>
    <x v="1"/>
    <s v="Bulldog"/>
    <x v="9"/>
    <s v="Female"/>
    <n v="7.6"/>
    <n v="12.1"/>
    <x v="0"/>
    <s v="2024-11-01"/>
    <s v="Owner Surrender"/>
    <s v="2024-11-18"/>
    <s v="Returned to Owner"/>
    <n v="17"/>
    <x v="0"/>
    <n v="0"/>
    <n v="0"/>
    <x v="0"/>
    <s v="Event"/>
    <s v="Yes"/>
    <s v="No"/>
    <s v="No"/>
    <n v="2024"/>
    <s v="November"/>
    <s v="Q4"/>
  </r>
  <r>
    <s v="A0786"/>
    <s v="Second Chance Rescue"/>
    <x v="2"/>
    <x v="1"/>
    <s v="Beagle"/>
    <x v="1"/>
    <s v="Male"/>
    <n v="6.5"/>
    <n v="21.8"/>
    <x v="0"/>
    <s v="2022-04-27"/>
    <s v="Stray"/>
    <s v="2022-05-26"/>
    <s v="Adopted"/>
    <n v="29"/>
    <x v="2"/>
    <n v="6358"/>
    <n v="1000"/>
    <x v="1"/>
    <s v="Referral"/>
    <s v="Yes"/>
    <s v="No"/>
    <s v="Yes"/>
    <n v="2022"/>
    <s v="April"/>
    <s v="Q2"/>
  </r>
  <r>
    <s v="A0787"/>
    <s v="Furever Home"/>
    <x v="1"/>
    <x v="2"/>
    <s v="Finch"/>
    <x v="8"/>
    <s v="Female"/>
    <n v="1"/>
    <n v="22.9"/>
    <x v="3"/>
    <s v="2022-09-03"/>
    <s v="Confiscated"/>
    <s v="2022-10-31"/>
    <s v="Adopted"/>
    <n v="58"/>
    <x v="2"/>
    <n v="2808"/>
    <n v="1000"/>
    <x v="2"/>
    <s v="Event"/>
    <s v="Yes"/>
    <s v="No"/>
    <s v="No"/>
    <n v="2022"/>
    <s v="September"/>
    <s v="Q3"/>
  </r>
  <r>
    <s v="A0788"/>
    <s v="Hope Animal Shelter"/>
    <x v="6"/>
    <x v="1"/>
    <s v="Golden Retriever"/>
    <x v="2"/>
    <s v="Female"/>
    <n v="2.8"/>
    <n v="10.4"/>
    <x v="0"/>
    <s v="2024-07-19"/>
    <s v="Abandoned"/>
    <s v="2024-12-04"/>
    <s v="Euthanized"/>
    <n v="138"/>
    <x v="0"/>
    <n v="0"/>
    <n v="0"/>
    <x v="0"/>
    <s v="Walk-in"/>
    <s v="No"/>
    <s v="No"/>
    <s v="No"/>
    <n v="2024"/>
    <s v="July"/>
    <s v="Q3"/>
  </r>
  <r>
    <s v="A0789"/>
    <s v="Second Chance Rescue"/>
    <x v="1"/>
    <x v="1"/>
    <s v="Husky"/>
    <x v="2"/>
    <s v="Female"/>
    <n v="1.6"/>
    <n v="22.1"/>
    <x v="3"/>
    <s v="2024-04-20"/>
    <s v="Confiscated"/>
    <s v="2024-09-06"/>
    <s v="Returned to Owner"/>
    <n v="139"/>
    <x v="0"/>
    <n v="0"/>
    <n v="1000"/>
    <x v="0"/>
    <s v="Referral"/>
    <s v="No"/>
    <s v="No"/>
    <s v="No"/>
    <n v="2024"/>
    <s v="April"/>
    <s v="Q2"/>
  </r>
  <r>
    <s v="A0790"/>
    <s v="Second Chance Rescue"/>
    <x v="4"/>
    <x v="3"/>
    <s v="Flemish Giant"/>
    <x v="6"/>
    <s v="Male"/>
    <n v="1.7"/>
    <n v="18.8"/>
    <x v="2"/>
    <s v="2023-10-30"/>
    <s v="Confiscated"/>
    <s v="2024-04-18"/>
    <s v="Still in Shelter"/>
    <n v="171"/>
    <x v="0"/>
    <n v="0"/>
    <n v="0"/>
    <x v="0"/>
    <s v="Event"/>
    <s v="Yes"/>
    <s v="No"/>
    <s v="No"/>
    <n v="2023"/>
    <s v="October"/>
    <s v="Q4"/>
  </r>
  <r>
    <s v="A0791"/>
    <s v="Paws &amp; Claws Rescue"/>
    <x v="1"/>
    <x v="3"/>
    <s v="Flemish Giant"/>
    <x v="9"/>
    <s v="Male"/>
    <n v="6.6"/>
    <n v="16.100000000000001"/>
    <x v="0"/>
    <s v="2023-03-14"/>
    <s v="Abandoned"/>
    <s v="2023-06-23"/>
    <s v="Adopted"/>
    <n v="101"/>
    <x v="3"/>
    <n v="2426"/>
    <n v="0"/>
    <x v="3"/>
    <s v="Referral"/>
    <s v="No"/>
    <s v="Yes"/>
    <s v="No"/>
    <n v="2023"/>
    <s v="March"/>
    <s v="Q1"/>
  </r>
  <r>
    <s v="A0792"/>
    <s v="Hope Animal Shelter"/>
    <x v="1"/>
    <x v="1"/>
    <s v="Poodle"/>
    <x v="0"/>
    <s v="Male"/>
    <n v="8.1999999999999993"/>
    <n v="27"/>
    <x v="0"/>
    <s v="2024-03-01"/>
    <s v="Transfer from Another Shelter"/>
    <s v="2024-07-25"/>
    <s v="Adopted"/>
    <n v="146"/>
    <x v="1"/>
    <n v="5239"/>
    <n v="2000"/>
    <x v="2"/>
    <s v="Website"/>
    <s v="Yes"/>
    <s v="No"/>
    <s v="No"/>
    <n v="2024"/>
    <s v="March"/>
    <s v="Q1"/>
  </r>
  <r>
    <s v="A0793"/>
    <s v="City Animal Shelter"/>
    <x v="0"/>
    <x v="1"/>
    <s v="Labrador"/>
    <x v="1"/>
    <s v="Female"/>
    <n v="11.1"/>
    <n v="30.5"/>
    <x v="0"/>
    <s v="2022-07-18"/>
    <s v="Confiscated"/>
    <s v="2022-08-04"/>
    <s v="Adopted"/>
    <n v="17"/>
    <x v="2"/>
    <n v="3175"/>
    <n v="0"/>
    <x v="3"/>
    <s v="Social Media"/>
    <s v="Yes"/>
    <s v="No"/>
    <s v="No"/>
    <n v="2022"/>
    <s v="July"/>
    <s v="Q3"/>
  </r>
  <r>
    <s v="A0794"/>
    <s v="Second Chance Rescue"/>
    <x v="6"/>
    <x v="1"/>
    <s v="Husky"/>
    <x v="2"/>
    <s v="Male"/>
    <n v="1.3"/>
    <n v="19.899999999999999"/>
    <x v="1"/>
    <s v="2024-08-30"/>
    <s v="Born in Shelter"/>
    <s v="2024-11-25"/>
    <s v="Adopted"/>
    <n v="87"/>
    <x v="4"/>
    <n v="5373"/>
    <n v="0"/>
    <x v="3"/>
    <s v="Event"/>
    <s v="No"/>
    <s v="No"/>
    <s v="No"/>
    <n v="2024"/>
    <s v="August"/>
    <s v="Q3"/>
  </r>
  <r>
    <s v="A0795"/>
    <s v="Furever Home"/>
    <x v="6"/>
    <x v="1"/>
    <s v="German Shepherd"/>
    <x v="9"/>
    <s v="Female"/>
    <n v="10.6"/>
    <n v="16.8"/>
    <x v="3"/>
    <s v="2022-10-28"/>
    <s v="Born in Shelter"/>
    <s v="2023-02-19"/>
    <s v="Adopted"/>
    <n v="114"/>
    <x v="3"/>
    <n v="3322"/>
    <n v="0"/>
    <x v="3"/>
    <s v="Referral"/>
    <s v="Yes"/>
    <s v="No"/>
    <s v="No"/>
    <n v="2022"/>
    <s v="October"/>
    <s v="Q4"/>
  </r>
  <r>
    <s v="A0796"/>
    <s v="Second Chance Rescue"/>
    <x v="0"/>
    <x v="3"/>
    <s v="Holland Lop"/>
    <x v="6"/>
    <s v="Female"/>
    <n v="3.7"/>
    <n v="14.1"/>
    <x v="0"/>
    <s v="2024-01-28"/>
    <s v="Confiscated"/>
    <s v="2024-02-15"/>
    <s v="Adopted"/>
    <n v="18"/>
    <x v="5"/>
    <n v="1052"/>
    <n v="1000"/>
    <x v="4"/>
    <s v="Event"/>
    <s v="No"/>
    <s v="Yes"/>
    <s v="No"/>
    <n v="2024"/>
    <s v="January"/>
    <s v="Q1"/>
  </r>
  <r>
    <s v="A0797"/>
    <s v="Happy Paws Shelter"/>
    <x v="5"/>
    <x v="1"/>
    <s v="Beagle"/>
    <x v="1"/>
    <s v="Male"/>
    <n v="11.8"/>
    <n v="31.7"/>
    <x v="0"/>
    <s v="2023-06-02"/>
    <s v="Confiscated"/>
    <s v="2023-07-22"/>
    <s v="Transferred"/>
    <n v="50"/>
    <x v="0"/>
    <n v="0"/>
    <n v="0"/>
    <x v="0"/>
    <s v="Website"/>
    <s v="Yes"/>
    <s v="No"/>
    <s v="No"/>
    <n v="2023"/>
    <s v="June"/>
    <s v="Q2"/>
  </r>
  <r>
    <s v="A0798"/>
    <s v="Paws &amp; Claws Rescue"/>
    <x v="3"/>
    <x v="2"/>
    <s v="Canary"/>
    <x v="0"/>
    <s v="Male"/>
    <n v="4.0999999999999996"/>
    <n v="1.6"/>
    <x v="0"/>
    <s v="2022-03-24"/>
    <s v="Transfer from Another Shelter"/>
    <s v="2022-06-02"/>
    <s v="Fostered"/>
    <n v="70"/>
    <x v="0"/>
    <n v="0"/>
    <n v="0"/>
    <x v="0"/>
    <s v="Website"/>
    <s v="No"/>
    <s v="No"/>
    <s v="No"/>
    <n v="2022"/>
    <s v="March"/>
    <s v="Q1"/>
  </r>
  <r>
    <s v="A0799"/>
    <s v="Furever Home"/>
    <x v="1"/>
    <x v="1"/>
    <s v="Bulldog"/>
    <x v="1"/>
    <s v="Male"/>
    <n v="9.6999999999999993"/>
    <n v="30"/>
    <x v="0"/>
    <s v="2024-02-08"/>
    <s v="Confiscated"/>
    <s v="2024-05-04"/>
    <s v="Euthanized"/>
    <n v="86"/>
    <x v="0"/>
    <n v="0"/>
    <n v="0"/>
    <x v="0"/>
    <s v="Social Media"/>
    <s v="Yes"/>
    <s v="No"/>
    <s v="No"/>
    <n v="2024"/>
    <s v="February"/>
    <s v="Q1"/>
  </r>
  <r>
    <s v="A0800"/>
    <s v="Happy Paws Shelter"/>
    <x v="3"/>
    <x v="0"/>
    <s v="Persian"/>
    <x v="3"/>
    <s v="Male"/>
    <n v="11"/>
    <n v="30.2"/>
    <x v="0"/>
    <s v="2024-07-10"/>
    <s v="Stray"/>
    <s v="2024-12-29"/>
    <s v="Adopted"/>
    <n v="172"/>
    <x v="2"/>
    <n v="4799"/>
    <n v="2000"/>
    <x v="4"/>
    <s v="Walk-in"/>
    <s v="Yes"/>
    <s v="No"/>
    <s v="No"/>
    <n v="2024"/>
    <s v="July"/>
    <s v="Q3"/>
  </r>
  <r>
    <s v="A0801"/>
    <s v="Happy Paws Shelter"/>
    <x v="6"/>
    <x v="0"/>
    <s v="Ragdoll"/>
    <x v="0"/>
    <s v="Female"/>
    <n v="4.2"/>
    <n v="31.9"/>
    <x v="4"/>
    <s v="2022-06-04"/>
    <s v="Abandoned"/>
    <s v="2022-06-07"/>
    <s v="Adopted"/>
    <n v="3"/>
    <x v="5"/>
    <n v="4516"/>
    <n v="5000"/>
    <x v="1"/>
    <s v="Walk-in"/>
    <s v="Yes"/>
    <s v="Yes"/>
    <s v="Yes"/>
    <n v="2022"/>
    <s v="June"/>
    <s v="Q2"/>
  </r>
  <r>
    <s v="A0802"/>
    <s v="Happy Paws Shelter"/>
    <x v="0"/>
    <x v="1"/>
    <s v="German Shepherd"/>
    <x v="2"/>
    <s v="Female"/>
    <n v="9.5"/>
    <n v="8.5"/>
    <x v="4"/>
    <s v="2022-07-07"/>
    <s v="Born in Shelter"/>
    <s v="2022-07-08"/>
    <s v="Still in Shelter"/>
    <n v="1"/>
    <x v="0"/>
    <n v="0"/>
    <n v="0"/>
    <x v="0"/>
    <s v="Website"/>
    <s v="No"/>
    <s v="Yes"/>
    <s v="No"/>
    <n v="2022"/>
    <s v="July"/>
    <s v="Q3"/>
  </r>
  <r>
    <s v="A0803"/>
    <s v="Second Chance Rescue"/>
    <x v="7"/>
    <x v="1"/>
    <s v="Golden Retriever"/>
    <x v="3"/>
    <s v="Male"/>
    <n v="6.1"/>
    <n v="3.2"/>
    <x v="4"/>
    <s v="2024-08-18"/>
    <s v="Stray"/>
    <s v="2024-10-31"/>
    <s v="Adopted"/>
    <n v="74"/>
    <x v="5"/>
    <n v="6625"/>
    <n v="0"/>
    <x v="3"/>
    <s v="Website"/>
    <s v="Yes"/>
    <s v="Yes"/>
    <s v="No"/>
    <n v="2024"/>
    <s v="August"/>
    <s v="Q3"/>
  </r>
  <r>
    <s v="A0804"/>
    <s v="Furever Home"/>
    <x v="7"/>
    <x v="2"/>
    <s v="Finch"/>
    <x v="1"/>
    <s v="Male"/>
    <n v="6.1"/>
    <n v="10.3"/>
    <x v="1"/>
    <s v="2023-08-31"/>
    <s v="Stray"/>
    <s v="2024-02-01"/>
    <s v="Still in Shelter"/>
    <n v="154"/>
    <x v="0"/>
    <n v="0"/>
    <n v="0"/>
    <x v="0"/>
    <s v="Social Media"/>
    <s v="Yes"/>
    <s v="Yes"/>
    <s v="Yes"/>
    <n v="2023"/>
    <s v="August"/>
    <s v="Q3"/>
  </r>
  <r>
    <s v="A0805"/>
    <s v="Furever Home"/>
    <x v="3"/>
    <x v="1"/>
    <s v="German Shepherd"/>
    <x v="4"/>
    <s v="Female"/>
    <n v="8.1"/>
    <n v="31.5"/>
    <x v="1"/>
    <s v="2024-10-08"/>
    <s v="Abandoned"/>
    <s v="2024-12-31"/>
    <s v="Adopted"/>
    <n v="89"/>
    <x v="3"/>
    <n v="6523"/>
    <n v="0"/>
    <x v="1"/>
    <s v="Event"/>
    <s v="Yes"/>
    <s v="No"/>
    <s v="No"/>
    <n v="2024"/>
    <s v="October"/>
    <s v="Q4"/>
  </r>
  <r>
    <s v="A0806"/>
    <s v="Hope Animal Shelter"/>
    <x v="4"/>
    <x v="1"/>
    <s v="Beagle"/>
    <x v="6"/>
    <s v="Male"/>
    <n v="9.1999999999999993"/>
    <n v="11.3"/>
    <x v="0"/>
    <s v="2024-09-10"/>
    <s v="Confiscated"/>
    <s v="2024-12-14"/>
    <s v="Fostered"/>
    <n v="95"/>
    <x v="0"/>
    <n v="0"/>
    <n v="500"/>
    <x v="0"/>
    <s v="Social Media"/>
    <s v="No"/>
    <s v="No"/>
    <s v="No"/>
    <n v="2024"/>
    <s v="September"/>
    <s v="Q3"/>
  </r>
  <r>
    <s v="A0807"/>
    <s v="Furever Home"/>
    <x v="3"/>
    <x v="3"/>
    <s v="Dutch"/>
    <x v="3"/>
    <s v="Female"/>
    <n v="1.8"/>
    <n v="26.4"/>
    <x v="3"/>
    <s v="2024-08-07"/>
    <s v="Confiscated"/>
    <s v="2024-12-04"/>
    <s v="Fostered"/>
    <n v="119"/>
    <x v="0"/>
    <n v="0"/>
    <n v="0"/>
    <x v="0"/>
    <s v="Website"/>
    <s v="No"/>
    <s v="No"/>
    <s v="Yes"/>
    <n v="2024"/>
    <s v="August"/>
    <s v="Q3"/>
  </r>
  <r>
    <s v="A0808"/>
    <s v="City Animal Shelter"/>
    <x v="2"/>
    <x v="2"/>
    <s v="Cockatiel"/>
    <x v="6"/>
    <s v="Male"/>
    <n v="0.3"/>
    <n v="16.8"/>
    <x v="3"/>
    <s v="2022-11-06"/>
    <s v="Transfer from Another Shelter"/>
    <s v="2023-04-07"/>
    <s v="Adopted"/>
    <n v="152"/>
    <x v="2"/>
    <n v="1388"/>
    <n v="0"/>
    <x v="4"/>
    <s v="Event"/>
    <s v="Yes"/>
    <s v="Yes"/>
    <s v="No"/>
    <n v="2022"/>
    <s v="November"/>
    <s v="Q4"/>
  </r>
  <r>
    <s v="A0809"/>
    <s v="Happy Paws Shelter"/>
    <x v="2"/>
    <x v="1"/>
    <s v="Husky"/>
    <x v="7"/>
    <s v="Female"/>
    <n v="0.8"/>
    <n v="33.700000000000003"/>
    <x v="0"/>
    <s v="2024-06-05"/>
    <s v="Owner Surrender"/>
    <s v="2024-09-25"/>
    <s v="Adopted"/>
    <n v="112"/>
    <x v="3"/>
    <n v="6992"/>
    <n v="2000"/>
    <x v="2"/>
    <s v="Website"/>
    <s v="No"/>
    <s v="No"/>
    <s v="Yes"/>
    <n v="2024"/>
    <s v="June"/>
    <s v="Q2"/>
  </r>
  <r>
    <s v="A0810"/>
    <s v="Happy Paws Shelter"/>
    <x v="6"/>
    <x v="0"/>
    <s v="Mixed Breed"/>
    <x v="5"/>
    <s v="Female"/>
    <n v="8.1999999999999993"/>
    <n v="15.3"/>
    <x v="0"/>
    <s v="2022-11-21"/>
    <s v="Confiscated"/>
    <s v="2023-02-16"/>
    <s v="Transferred"/>
    <n v="87"/>
    <x v="0"/>
    <n v="0"/>
    <n v="0"/>
    <x v="0"/>
    <s v="Social Media"/>
    <s v="Yes"/>
    <s v="No"/>
    <s v="No"/>
    <n v="2022"/>
    <s v="November"/>
    <s v="Q4"/>
  </r>
  <r>
    <s v="A0811"/>
    <s v="Hope Animal Shelter"/>
    <x v="4"/>
    <x v="0"/>
    <s v="Persian"/>
    <x v="1"/>
    <s v="Female"/>
    <n v="3"/>
    <n v="33.1"/>
    <x v="2"/>
    <s v="2024-07-04"/>
    <s v="Abandoned"/>
    <s v="2024-10-07"/>
    <s v="Still in Shelter"/>
    <n v="95"/>
    <x v="0"/>
    <n v="0"/>
    <n v="0"/>
    <x v="0"/>
    <s v="Event"/>
    <s v="Yes"/>
    <s v="No"/>
    <s v="No"/>
    <n v="2024"/>
    <s v="July"/>
    <s v="Q3"/>
  </r>
  <r>
    <s v="A0812"/>
    <s v="Paws &amp; Claws Rescue"/>
    <x v="5"/>
    <x v="1"/>
    <s v="Golden Retriever"/>
    <x v="9"/>
    <s v="Female"/>
    <n v="9.8000000000000007"/>
    <n v="9.1"/>
    <x v="1"/>
    <s v="2023-10-22"/>
    <s v="Stray"/>
    <s v="2024-04-01"/>
    <s v="Returned to Owner"/>
    <n v="162"/>
    <x v="0"/>
    <n v="0"/>
    <n v="0"/>
    <x v="0"/>
    <s v="Referral"/>
    <s v="Yes"/>
    <s v="No"/>
    <s v="No"/>
    <n v="2023"/>
    <s v="October"/>
    <s v="Q4"/>
  </r>
  <r>
    <s v="A0813"/>
    <s v="Second Chance Rescue"/>
    <x v="7"/>
    <x v="0"/>
    <s v="Maine Coon"/>
    <x v="3"/>
    <s v="Female"/>
    <n v="0.9"/>
    <n v="13.9"/>
    <x v="2"/>
    <s v="2024-10-02"/>
    <s v="Stray"/>
    <s v="2024-12-31"/>
    <s v="Transferred"/>
    <n v="119"/>
    <x v="0"/>
    <n v="0"/>
    <n v="0"/>
    <x v="0"/>
    <s v="Referral"/>
    <s v="Yes"/>
    <s v="Yes"/>
    <s v="Yes"/>
    <n v="2024"/>
    <s v="October"/>
    <s v="Q4"/>
  </r>
  <r>
    <s v="A0814"/>
    <s v="Paws &amp; Claws Rescue"/>
    <x v="4"/>
    <x v="3"/>
    <s v="Flemish Giant"/>
    <x v="6"/>
    <s v="Male"/>
    <n v="5.9"/>
    <n v="11.3"/>
    <x v="0"/>
    <s v="2024-09-15"/>
    <s v="Confiscated"/>
    <s v="2024-12-31"/>
    <s v="Adopted"/>
    <n v="144"/>
    <x v="5"/>
    <n v="1617"/>
    <n v="0"/>
    <x v="3"/>
    <s v="Event"/>
    <s v="Yes"/>
    <s v="Yes"/>
    <s v="No"/>
    <n v="2024"/>
    <s v="September"/>
    <s v="Q3"/>
  </r>
  <r>
    <s v="A0815"/>
    <s v="Hope Animal Shelter"/>
    <x v="1"/>
    <x v="2"/>
    <s v="Parakeet"/>
    <x v="4"/>
    <s v="Female"/>
    <n v="3.6"/>
    <n v="1.5"/>
    <x v="3"/>
    <s v="2023-09-03"/>
    <s v="Owner Surrender"/>
    <s v="2023-11-09"/>
    <s v="Returned to Owner"/>
    <n v="67"/>
    <x v="0"/>
    <n v="0"/>
    <n v="0"/>
    <x v="0"/>
    <s v="Referral"/>
    <s v="No"/>
    <s v="No"/>
    <s v="No"/>
    <n v="2023"/>
    <s v="September"/>
    <s v="Q3"/>
  </r>
  <r>
    <s v="A0816"/>
    <s v="Paws &amp; Claws Rescue"/>
    <x v="5"/>
    <x v="1"/>
    <s v="Husky"/>
    <x v="8"/>
    <s v="Male"/>
    <n v="5.5"/>
    <n v="7.3"/>
    <x v="1"/>
    <s v="2023-10-06"/>
    <s v="Owner Surrender"/>
    <s v="2023-11-03"/>
    <s v="Transferred"/>
    <n v="28"/>
    <x v="0"/>
    <n v="0"/>
    <n v="0"/>
    <x v="0"/>
    <s v="Social Media"/>
    <s v="Yes"/>
    <s v="Yes"/>
    <s v="Yes"/>
    <n v="2023"/>
    <s v="October"/>
    <s v="Q4"/>
  </r>
  <r>
    <s v="A0817"/>
    <s v="Hope Animal Shelter"/>
    <x v="1"/>
    <x v="3"/>
    <s v="Lionhead"/>
    <x v="1"/>
    <s v="Female"/>
    <n v="8.6999999999999993"/>
    <n v="19.5"/>
    <x v="0"/>
    <s v="2024-09-04"/>
    <s v="Abandoned"/>
    <s v="2024-12-08"/>
    <s v="Adopted"/>
    <n v="95"/>
    <x v="3"/>
    <n v="1791"/>
    <n v="5000"/>
    <x v="1"/>
    <s v="Social Media"/>
    <s v="Yes"/>
    <s v="No"/>
    <s v="Yes"/>
    <n v="2024"/>
    <s v="September"/>
    <s v="Q3"/>
  </r>
  <r>
    <s v="A0818"/>
    <s v="Hope Animal Shelter"/>
    <x v="4"/>
    <x v="0"/>
    <s v="Persian"/>
    <x v="4"/>
    <s v="Female"/>
    <n v="1.9"/>
    <n v="18.5"/>
    <x v="0"/>
    <s v="2022-09-28"/>
    <s v="Abandoned"/>
    <s v="2023-02-03"/>
    <s v="Adopted"/>
    <n v="128"/>
    <x v="5"/>
    <n v="1778"/>
    <n v="0"/>
    <x v="2"/>
    <s v="Social Media"/>
    <s v="Yes"/>
    <s v="No"/>
    <s v="No"/>
    <n v="2022"/>
    <s v="September"/>
    <s v="Q3"/>
  </r>
  <r>
    <s v="A0819"/>
    <s v="Happy Paws Shelter"/>
    <x v="4"/>
    <x v="0"/>
    <s v="Persian"/>
    <x v="7"/>
    <s v="Male"/>
    <n v="8.4"/>
    <n v="19.399999999999999"/>
    <x v="0"/>
    <s v="2024-12-10"/>
    <s v="Abandoned"/>
    <s v="2024-12-31"/>
    <s v="Still in Shelter"/>
    <n v="107"/>
    <x v="0"/>
    <n v="0"/>
    <n v="0"/>
    <x v="0"/>
    <s v="Website"/>
    <s v="Yes"/>
    <s v="Yes"/>
    <s v="Yes"/>
    <n v="2024"/>
    <s v="December"/>
    <s v="Q4"/>
  </r>
  <r>
    <s v="A0820"/>
    <s v="Second Chance Rescue"/>
    <x v="2"/>
    <x v="1"/>
    <s v="Poodle"/>
    <x v="1"/>
    <s v="Female"/>
    <n v="2.9"/>
    <n v="5.8"/>
    <x v="2"/>
    <s v="2024-09-07"/>
    <s v="Confiscated"/>
    <s v="2024-09-18"/>
    <s v="Adopted"/>
    <n v="11"/>
    <x v="4"/>
    <n v="4794"/>
    <n v="5000"/>
    <x v="1"/>
    <s v="Event"/>
    <s v="Yes"/>
    <s v="No"/>
    <s v="Yes"/>
    <n v="2024"/>
    <s v="September"/>
    <s v="Q3"/>
  </r>
  <r>
    <s v="A0821"/>
    <s v="Happy Paws Shelter"/>
    <x v="2"/>
    <x v="2"/>
    <s v="Finch"/>
    <x v="4"/>
    <s v="Female"/>
    <n v="2.6"/>
    <n v="20.6"/>
    <x v="1"/>
    <s v="2022-05-20"/>
    <s v="Owner Surrender"/>
    <s v="2022-05-31"/>
    <s v="Returned to Owner"/>
    <n v="11"/>
    <x v="0"/>
    <n v="0"/>
    <n v="0"/>
    <x v="0"/>
    <s v="Referral"/>
    <s v="Yes"/>
    <s v="Yes"/>
    <s v="Yes"/>
    <n v="2022"/>
    <s v="May"/>
    <s v="Q2"/>
  </r>
  <r>
    <s v="A0822"/>
    <s v="Second Chance Rescue"/>
    <x v="7"/>
    <x v="1"/>
    <s v="Bulldog"/>
    <x v="1"/>
    <s v="Male"/>
    <n v="6.2"/>
    <n v="6"/>
    <x v="0"/>
    <s v="2023-06-29"/>
    <s v="Abandoned"/>
    <s v="2023-11-19"/>
    <s v="Euthanized"/>
    <n v="143"/>
    <x v="0"/>
    <n v="0"/>
    <n v="0"/>
    <x v="0"/>
    <s v="Referral"/>
    <s v="Yes"/>
    <s v="No"/>
    <s v="No"/>
    <n v="2023"/>
    <s v="June"/>
    <s v="Q2"/>
  </r>
  <r>
    <s v="A0823"/>
    <s v="Furever Home"/>
    <x v="0"/>
    <x v="1"/>
    <s v="Labrador"/>
    <x v="6"/>
    <s v="Male"/>
    <n v="2.5"/>
    <n v="4.4000000000000004"/>
    <x v="2"/>
    <s v="2024-07-01"/>
    <s v="Born in Shelter"/>
    <s v="2024-12-03"/>
    <s v="Still in Shelter"/>
    <n v="155"/>
    <x v="0"/>
    <n v="0"/>
    <n v="0"/>
    <x v="0"/>
    <s v="Social Media"/>
    <s v="Yes"/>
    <s v="No"/>
    <s v="No"/>
    <n v="2024"/>
    <s v="July"/>
    <s v="Q3"/>
  </r>
  <r>
    <s v="A0824"/>
    <s v="Happy Paws Shelter"/>
    <x v="4"/>
    <x v="3"/>
    <s v="Dutch"/>
    <x v="3"/>
    <s v="Female"/>
    <n v="2.7"/>
    <n v="1.3"/>
    <x v="0"/>
    <s v="2022-04-22"/>
    <s v="Transfer from Another Shelter"/>
    <s v="2022-10-05"/>
    <s v="Returned to Owner"/>
    <n v="166"/>
    <x v="0"/>
    <n v="0"/>
    <n v="500"/>
    <x v="0"/>
    <s v="Referral"/>
    <s v="Yes"/>
    <s v="No"/>
    <s v="No"/>
    <n v="2022"/>
    <s v="April"/>
    <s v="Q2"/>
  </r>
  <r>
    <s v="A0825"/>
    <s v="Second Chance Rescue"/>
    <x v="0"/>
    <x v="1"/>
    <s v="Golden Retriever"/>
    <x v="0"/>
    <s v="Male"/>
    <n v="9.6"/>
    <n v="23.5"/>
    <x v="0"/>
    <s v="2024-10-03"/>
    <s v="Stray"/>
    <s v="2024-12-31"/>
    <s v="Transferred"/>
    <n v="123"/>
    <x v="0"/>
    <n v="0"/>
    <n v="0"/>
    <x v="0"/>
    <s v="Event"/>
    <s v="Yes"/>
    <s v="Yes"/>
    <s v="No"/>
    <n v="2024"/>
    <s v="October"/>
    <s v="Q4"/>
  </r>
  <r>
    <s v="A0826"/>
    <s v="Furever Home"/>
    <x v="2"/>
    <x v="1"/>
    <s v="Bulldog"/>
    <x v="4"/>
    <s v="Female"/>
    <n v="4.5"/>
    <n v="22.8"/>
    <x v="3"/>
    <s v="2024-06-30"/>
    <s v="Confiscated"/>
    <s v="2024-10-06"/>
    <s v="Adopted"/>
    <n v="98"/>
    <x v="5"/>
    <n v="3796"/>
    <n v="0"/>
    <x v="4"/>
    <s v="Walk-in"/>
    <s v="Yes"/>
    <s v="No"/>
    <s v="No"/>
    <n v="2024"/>
    <s v="June"/>
    <s v="Q2"/>
  </r>
  <r>
    <s v="A0827"/>
    <s v="Second Chance Rescue"/>
    <x v="5"/>
    <x v="0"/>
    <s v="Domestic Shorthair"/>
    <x v="0"/>
    <s v="Female"/>
    <n v="0.3"/>
    <n v="3.5"/>
    <x v="0"/>
    <s v="2023-02-24"/>
    <s v="Stray"/>
    <s v="2023-03-27"/>
    <s v="Adopted"/>
    <n v="31"/>
    <x v="3"/>
    <n v="3451"/>
    <n v="0"/>
    <x v="2"/>
    <s v="Walk-in"/>
    <s v="Yes"/>
    <s v="Yes"/>
    <s v="Yes"/>
    <n v="2023"/>
    <s v="February"/>
    <s v="Q1"/>
  </r>
  <r>
    <s v="A0828"/>
    <s v="Happy Paws Shelter"/>
    <x v="3"/>
    <x v="2"/>
    <s v="Lovebird"/>
    <x v="4"/>
    <s v="Female"/>
    <n v="10"/>
    <n v="14.7"/>
    <x v="4"/>
    <s v="2022-03-03"/>
    <s v="Abandoned"/>
    <s v="2022-03-13"/>
    <s v="Fostered"/>
    <n v="10"/>
    <x v="0"/>
    <n v="0"/>
    <n v="1000"/>
    <x v="0"/>
    <s v="Referral"/>
    <s v="Yes"/>
    <s v="No"/>
    <s v="Yes"/>
    <n v="2022"/>
    <s v="March"/>
    <s v="Q1"/>
  </r>
  <r>
    <s v="A0829"/>
    <s v="Paws &amp; Claws Rescue"/>
    <x v="1"/>
    <x v="0"/>
    <s v="Ragdoll"/>
    <x v="5"/>
    <s v="Female"/>
    <n v="12"/>
    <n v="2"/>
    <x v="2"/>
    <s v="2023-01-21"/>
    <s v="Owner Surrender"/>
    <s v="2023-03-23"/>
    <s v="Fostered"/>
    <n v="61"/>
    <x v="0"/>
    <n v="0"/>
    <n v="0"/>
    <x v="0"/>
    <s v="Walk-in"/>
    <s v="Yes"/>
    <s v="No"/>
    <s v="Yes"/>
    <n v="2023"/>
    <s v="January"/>
    <s v="Q1"/>
  </r>
  <r>
    <s v="A0830"/>
    <s v="Paws &amp; Claws Rescue"/>
    <x v="6"/>
    <x v="1"/>
    <s v="Beagle"/>
    <x v="1"/>
    <s v="Female"/>
    <n v="10.8"/>
    <n v="25.6"/>
    <x v="3"/>
    <s v="2024-07-23"/>
    <s v="Owner Surrender"/>
    <s v="2024-11-21"/>
    <s v="Adopted"/>
    <n v="121"/>
    <x v="3"/>
    <n v="6057"/>
    <n v="2000"/>
    <x v="2"/>
    <s v="Social Media"/>
    <s v="No"/>
    <s v="No"/>
    <s v="No"/>
    <n v="2024"/>
    <s v="July"/>
    <s v="Q3"/>
  </r>
  <r>
    <s v="A0831"/>
    <s v="Second Chance Rescue"/>
    <x v="2"/>
    <x v="1"/>
    <s v="Husky"/>
    <x v="1"/>
    <s v="Female"/>
    <n v="1.1000000000000001"/>
    <n v="9.1999999999999993"/>
    <x v="3"/>
    <s v="2024-04-15"/>
    <s v="Born in Shelter"/>
    <s v="2024-07-17"/>
    <s v="Still in Shelter"/>
    <n v="93"/>
    <x v="0"/>
    <n v="0"/>
    <n v="0"/>
    <x v="0"/>
    <s v="Website"/>
    <s v="Yes"/>
    <s v="No"/>
    <s v="No"/>
    <n v="2024"/>
    <s v="April"/>
    <s v="Q2"/>
  </r>
  <r>
    <s v="A0832"/>
    <s v="Furever Home"/>
    <x v="0"/>
    <x v="1"/>
    <s v="Beagle"/>
    <x v="5"/>
    <s v="Male"/>
    <n v="8.3000000000000007"/>
    <n v="3.3"/>
    <x v="1"/>
    <s v="2022-11-23"/>
    <s v="Stray"/>
    <s v="2023-04-19"/>
    <s v="Adopted"/>
    <n v="147"/>
    <x v="3"/>
    <n v="4686"/>
    <n v="5000"/>
    <x v="1"/>
    <s v="Social Media"/>
    <s v="Yes"/>
    <s v="No"/>
    <s v="No"/>
    <n v="2022"/>
    <s v="November"/>
    <s v="Q4"/>
  </r>
  <r>
    <s v="A0833"/>
    <s v="Hope Animal Shelter"/>
    <x v="1"/>
    <x v="3"/>
    <s v="Dutch"/>
    <x v="6"/>
    <s v="Female"/>
    <n v="6.6"/>
    <n v="14.1"/>
    <x v="4"/>
    <s v="2022-08-28"/>
    <s v="Transfer from Another Shelter"/>
    <s v="2022-11-20"/>
    <s v="Euthanized"/>
    <n v="84"/>
    <x v="0"/>
    <n v="0"/>
    <n v="0"/>
    <x v="0"/>
    <s v="Walk-in"/>
    <s v="Yes"/>
    <s v="No"/>
    <s v="No"/>
    <n v="2022"/>
    <s v="August"/>
    <s v="Q3"/>
  </r>
  <r>
    <s v="A0834"/>
    <s v="City Animal Shelter"/>
    <x v="4"/>
    <x v="1"/>
    <s v="Poodle"/>
    <x v="2"/>
    <s v="Female"/>
    <n v="11"/>
    <n v="24.5"/>
    <x v="2"/>
    <s v="2022-01-02"/>
    <s v="Owner Surrender"/>
    <s v="2022-05-12"/>
    <s v="Adopted"/>
    <n v="130"/>
    <x v="3"/>
    <n v="7056"/>
    <n v="0"/>
    <x v="1"/>
    <s v="Website"/>
    <s v="Yes"/>
    <s v="Yes"/>
    <s v="Yes"/>
    <n v="2022"/>
    <s v="January"/>
    <s v="Q1"/>
  </r>
  <r>
    <s v="A0835"/>
    <s v="City Animal Shelter"/>
    <x v="1"/>
    <x v="0"/>
    <s v="Persian"/>
    <x v="9"/>
    <s v="Female"/>
    <n v="5.5"/>
    <n v="4.5999999999999996"/>
    <x v="0"/>
    <s v="2023-03-01"/>
    <s v="Transfer from Another Shelter"/>
    <s v="2023-04-18"/>
    <s v="Adopted"/>
    <n v="48"/>
    <x v="1"/>
    <n v="1774"/>
    <n v="0"/>
    <x v="3"/>
    <s v="Social Media"/>
    <s v="No"/>
    <s v="No"/>
    <s v="No"/>
    <n v="2023"/>
    <s v="March"/>
    <s v="Q1"/>
  </r>
  <r>
    <s v="A0836"/>
    <s v="Furever Home"/>
    <x v="1"/>
    <x v="1"/>
    <s v="Labrador"/>
    <x v="5"/>
    <s v="Male"/>
    <n v="4.3"/>
    <n v="9.3000000000000007"/>
    <x v="3"/>
    <s v="2024-10-03"/>
    <s v="Confiscated"/>
    <s v="2024-10-12"/>
    <s v="Fostered"/>
    <n v="9"/>
    <x v="0"/>
    <n v="0"/>
    <n v="500"/>
    <x v="0"/>
    <s v="Event"/>
    <s v="Yes"/>
    <s v="No"/>
    <s v="No"/>
    <n v="2024"/>
    <s v="October"/>
    <s v="Q4"/>
  </r>
  <r>
    <s v="A0837"/>
    <s v="Hope Animal Shelter"/>
    <x v="0"/>
    <x v="1"/>
    <s v="Mixed Breed"/>
    <x v="7"/>
    <s v="Female"/>
    <n v="6.6"/>
    <n v="3.4"/>
    <x v="4"/>
    <s v="2022-03-21"/>
    <s v="Abandoned"/>
    <s v="2022-07-24"/>
    <s v="Adopted"/>
    <n v="125"/>
    <x v="2"/>
    <n v="6890"/>
    <n v="0"/>
    <x v="2"/>
    <s v="Walk-in"/>
    <s v="Yes"/>
    <s v="No"/>
    <s v="No"/>
    <n v="2022"/>
    <s v="March"/>
    <s v="Q1"/>
  </r>
  <r>
    <s v="A0838"/>
    <s v="Paws &amp; Claws Rescue"/>
    <x v="5"/>
    <x v="1"/>
    <s v="Mixed Breed"/>
    <x v="4"/>
    <s v="Male"/>
    <n v="8.1"/>
    <n v="1.5"/>
    <x v="3"/>
    <s v="2022-07-14"/>
    <s v="Abandoned"/>
    <s v="2022-07-17"/>
    <s v="Adopted"/>
    <n v="3"/>
    <x v="3"/>
    <n v="7861"/>
    <n v="5000"/>
    <x v="2"/>
    <s v="Event"/>
    <s v="Yes"/>
    <s v="No"/>
    <s v="Yes"/>
    <n v="2022"/>
    <s v="July"/>
    <s v="Q3"/>
  </r>
  <r>
    <s v="A0839"/>
    <s v="Paws &amp; Claws Rescue"/>
    <x v="2"/>
    <x v="0"/>
    <s v="Domestic Shorthair"/>
    <x v="2"/>
    <s v="Male"/>
    <n v="10.3"/>
    <n v="1.9"/>
    <x v="4"/>
    <s v="2022-12-23"/>
    <s v="Owner Surrender"/>
    <s v="2023-04-18"/>
    <s v="Transferred"/>
    <n v="116"/>
    <x v="0"/>
    <n v="0"/>
    <n v="0"/>
    <x v="0"/>
    <s v="Walk-in"/>
    <s v="Yes"/>
    <s v="No"/>
    <s v="No"/>
    <n v="2022"/>
    <s v="December"/>
    <s v="Q4"/>
  </r>
  <r>
    <s v="A0840"/>
    <s v="Hope Animal Shelter"/>
    <x v="5"/>
    <x v="1"/>
    <s v="Labrador"/>
    <x v="6"/>
    <s v="Female"/>
    <n v="3.7"/>
    <n v="8.1999999999999993"/>
    <x v="2"/>
    <s v="2024-03-04"/>
    <s v="Confiscated"/>
    <s v="2024-08-19"/>
    <s v="Adopted"/>
    <n v="168"/>
    <x v="5"/>
    <n v="6086"/>
    <n v="0"/>
    <x v="1"/>
    <s v="Website"/>
    <s v="Yes"/>
    <s v="Yes"/>
    <s v="Yes"/>
    <n v="2024"/>
    <s v="March"/>
    <s v="Q1"/>
  </r>
  <r>
    <s v="A0841"/>
    <s v="Hope Animal Shelter"/>
    <x v="2"/>
    <x v="1"/>
    <s v="Husky"/>
    <x v="5"/>
    <s v="Male"/>
    <n v="0.3"/>
    <n v="18.600000000000001"/>
    <x v="3"/>
    <s v="2024-01-21"/>
    <s v="Transfer from Another Shelter"/>
    <s v="2024-07-18"/>
    <s v="Still in Shelter"/>
    <n v="179"/>
    <x v="0"/>
    <n v="0"/>
    <n v="0"/>
    <x v="0"/>
    <s v="Walk-in"/>
    <s v="Yes"/>
    <s v="No"/>
    <s v="No"/>
    <n v="2024"/>
    <s v="January"/>
    <s v="Q1"/>
  </r>
  <r>
    <s v="A0842"/>
    <s v="Second Chance Rescue"/>
    <x v="6"/>
    <x v="0"/>
    <s v="Persian"/>
    <x v="4"/>
    <s v="Male"/>
    <n v="5.7"/>
    <n v="18"/>
    <x v="0"/>
    <s v="2022-06-28"/>
    <s v="Stray"/>
    <s v="2022-09-04"/>
    <s v="Euthanized"/>
    <n v="68"/>
    <x v="0"/>
    <n v="0"/>
    <n v="0"/>
    <x v="0"/>
    <s v="Event"/>
    <s v="Yes"/>
    <s v="No"/>
    <s v="No"/>
    <n v="2022"/>
    <s v="June"/>
    <s v="Q2"/>
  </r>
  <r>
    <s v="A0843"/>
    <s v="Second Chance Rescue"/>
    <x v="4"/>
    <x v="1"/>
    <s v="Beagle"/>
    <x v="3"/>
    <s v="Female"/>
    <n v="5"/>
    <n v="19.8"/>
    <x v="0"/>
    <s v="2023-06-23"/>
    <s v="Confiscated"/>
    <s v="2023-10-24"/>
    <s v="Adopted"/>
    <n v="123"/>
    <x v="4"/>
    <n v="4519"/>
    <n v="1000"/>
    <x v="1"/>
    <s v="Social Media"/>
    <s v="Yes"/>
    <s v="No"/>
    <s v="Yes"/>
    <n v="2023"/>
    <s v="June"/>
    <s v="Q2"/>
  </r>
  <r>
    <s v="A0844"/>
    <s v="Furever Home"/>
    <x v="4"/>
    <x v="0"/>
    <s v="Maine Coon"/>
    <x v="6"/>
    <s v="Female"/>
    <n v="1.7"/>
    <n v="32.299999999999997"/>
    <x v="3"/>
    <s v="2023-06-29"/>
    <s v="Transfer from Another Shelter"/>
    <s v="2023-11-26"/>
    <s v="Adopted"/>
    <n v="150"/>
    <x v="2"/>
    <n v="2742"/>
    <n v="5000"/>
    <x v="1"/>
    <s v="Website"/>
    <s v="No"/>
    <s v="No"/>
    <s v="Yes"/>
    <n v="2023"/>
    <s v="June"/>
    <s v="Q2"/>
  </r>
  <r>
    <s v="A0845"/>
    <s v="Second Chance Rescue"/>
    <x v="4"/>
    <x v="1"/>
    <s v="Golden Retriever"/>
    <x v="2"/>
    <s v="Female"/>
    <n v="11.9"/>
    <n v="3"/>
    <x v="0"/>
    <s v="2024-11-10"/>
    <s v="Abandoned"/>
    <s v="2024-12-18"/>
    <s v="Adopted"/>
    <n v="38"/>
    <x v="4"/>
    <n v="6913"/>
    <n v="1000"/>
    <x v="1"/>
    <s v="Referral"/>
    <s v="Yes"/>
    <s v="No"/>
    <s v="No"/>
    <n v="2024"/>
    <s v="November"/>
    <s v="Q4"/>
  </r>
  <r>
    <s v="A0846"/>
    <s v="Paws &amp; Claws Rescue"/>
    <x v="1"/>
    <x v="1"/>
    <s v="Poodle"/>
    <x v="3"/>
    <s v="Male"/>
    <n v="9"/>
    <n v="4.9000000000000004"/>
    <x v="1"/>
    <s v="2024-02-05"/>
    <s v="Born in Shelter"/>
    <s v="2024-05-16"/>
    <s v="Fostered"/>
    <n v="101"/>
    <x v="0"/>
    <n v="0"/>
    <n v="0"/>
    <x v="0"/>
    <s v="Social Media"/>
    <s v="No"/>
    <s v="Yes"/>
    <s v="No"/>
    <n v="2024"/>
    <s v="February"/>
    <s v="Q1"/>
  </r>
  <r>
    <s v="A0847"/>
    <s v="Furever Home"/>
    <x v="7"/>
    <x v="1"/>
    <s v="Labrador"/>
    <x v="7"/>
    <s v="Female"/>
    <n v="7.7"/>
    <n v="13.2"/>
    <x v="0"/>
    <s v="2024-05-04"/>
    <s v="Born in Shelter"/>
    <s v="2024-05-21"/>
    <s v="Adopted"/>
    <n v="17"/>
    <x v="3"/>
    <n v="4192"/>
    <n v="5000"/>
    <x v="4"/>
    <s v="Social Media"/>
    <s v="No"/>
    <s v="No"/>
    <s v="No"/>
    <n v="2024"/>
    <s v="May"/>
    <s v="Q2"/>
  </r>
  <r>
    <s v="A0848"/>
    <s v="City Animal Shelter"/>
    <x v="0"/>
    <x v="2"/>
    <s v="Finch"/>
    <x v="8"/>
    <s v="Female"/>
    <n v="1.2"/>
    <n v="17.399999999999999"/>
    <x v="0"/>
    <s v="2022-10-09"/>
    <s v="Abandoned"/>
    <s v="2023-02-07"/>
    <s v="Euthanized"/>
    <n v="121"/>
    <x v="0"/>
    <n v="0"/>
    <n v="0"/>
    <x v="0"/>
    <s v="Event"/>
    <s v="Yes"/>
    <s v="No"/>
    <s v="No"/>
    <n v="2022"/>
    <s v="October"/>
    <s v="Q4"/>
  </r>
  <r>
    <s v="A0849"/>
    <s v="City Animal Shelter"/>
    <x v="1"/>
    <x v="1"/>
    <s v="Poodle"/>
    <x v="6"/>
    <s v="Male"/>
    <n v="6.3"/>
    <n v="14.7"/>
    <x v="2"/>
    <s v="2023-12-15"/>
    <s v="Confiscated"/>
    <s v="2024-03-03"/>
    <s v="Returned to Owner"/>
    <n v="79"/>
    <x v="0"/>
    <n v="0"/>
    <n v="500"/>
    <x v="0"/>
    <s v="Social Media"/>
    <s v="Yes"/>
    <s v="No"/>
    <s v="No"/>
    <n v="2023"/>
    <s v="December"/>
    <s v="Q4"/>
  </r>
  <r>
    <s v="A0850"/>
    <s v="City Animal Shelter"/>
    <x v="4"/>
    <x v="0"/>
    <s v="Maine Coon"/>
    <x v="6"/>
    <s v="Female"/>
    <n v="1.5"/>
    <n v="25.4"/>
    <x v="0"/>
    <s v="2023-10-20"/>
    <s v="Confiscated"/>
    <s v="2023-12-12"/>
    <s v="Fostered"/>
    <n v="53"/>
    <x v="0"/>
    <n v="0"/>
    <n v="0"/>
    <x v="0"/>
    <s v="Referral"/>
    <s v="Yes"/>
    <s v="Yes"/>
    <s v="No"/>
    <n v="2023"/>
    <s v="October"/>
    <s v="Q4"/>
  </r>
  <r>
    <s v="A0851"/>
    <s v="City Animal Shelter"/>
    <x v="0"/>
    <x v="1"/>
    <s v="Bulldog"/>
    <x v="2"/>
    <s v="Female"/>
    <n v="1.8"/>
    <n v="21.4"/>
    <x v="0"/>
    <s v="2024-07-29"/>
    <s v="Stray"/>
    <s v="2024-12-14"/>
    <s v="Euthanized"/>
    <n v="138"/>
    <x v="0"/>
    <n v="0"/>
    <n v="0"/>
    <x v="0"/>
    <s v="Website"/>
    <s v="Yes"/>
    <s v="No"/>
    <s v="No"/>
    <n v="2024"/>
    <s v="July"/>
    <s v="Q3"/>
  </r>
  <r>
    <s v="A0852"/>
    <s v="Furever Home"/>
    <x v="5"/>
    <x v="0"/>
    <s v="Maine Coon"/>
    <x v="0"/>
    <s v="Male"/>
    <n v="2.5"/>
    <n v="2.2999999999999998"/>
    <x v="3"/>
    <s v="2023-07-22"/>
    <s v="Transfer from Another Shelter"/>
    <s v="2023-11-30"/>
    <s v="Still in Shelter"/>
    <n v="131"/>
    <x v="0"/>
    <n v="0"/>
    <n v="0"/>
    <x v="0"/>
    <s v="Referral"/>
    <s v="Yes"/>
    <s v="Yes"/>
    <s v="No"/>
    <n v="2023"/>
    <s v="July"/>
    <s v="Q3"/>
  </r>
  <r>
    <s v="A0853"/>
    <s v="Second Chance Rescue"/>
    <x v="0"/>
    <x v="1"/>
    <s v="German Shepherd"/>
    <x v="2"/>
    <s v="Male"/>
    <n v="1.4"/>
    <n v="19"/>
    <x v="0"/>
    <s v="2024-01-11"/>
    <s v="Confiscated"/>
    <s v="2024-01-25"/>
    <s v="Adopted"/>
    <n v="14"/>
    <x v="3"/>
    <n v="3575"/>
    <n v="0"/>
    <x v="1"/>
    <s v="Walk-in"/>
    <s v="Yes"/>
    <s v="No"/>
    <s v="No"/>
    <n v="2024"/>
    <s v="January"/>
    <s v="Q1"/>
  </r>
  <r>
    <s v="A0854"/>
    <s v="Second Chance Rescue"/>
    <x v="6"/>
    <x v="0"/>
    <s v="Domestic Shorthair"/>
    <x v="9"/>
    <s v="Female"/>
    <n v="11.1"/>
    <n v="12.7"/>
    <x v="2"/>
    <s v="2023-05-08"/>
    <s v="Owner Surrender"/>
    <s v="2023-07-07"/>
    <s v="Returned to Owner"/>
    <n v="60"/>
    <x v="0"/>
    <n v="0"/>
    <n v="500"/>
    <x v="0"/>
    <s v="Website"/>
    <s v="No"/>
    <s v="Yes"/>
    <s v="Yes"/>
    <n v="2023"/>
    <s v="May"/>
    <s v="Q2"/>
  </r>
  <r>
    <s v="A0855"/>
    <s v="Furever Home"/>
    <x v="6"/>
    <x v="1"/>
    <s v="German Shepherd"/>
    <x v="3"/>
    <s v="Male"/>
    <n v="10.199999999999999"/>
    <n v="8.1"/>
    <x v="0"/>
    <s v="2023-07-07"/>
    <s v="Stray"/>
    <s v="2023-11-09"/>
    <s v="Adopted"/>
    <n v="125"/>
    <x v="5"/>
    <n v="3783"/>
    <n v="0"/>
    <x v="3"/>
    <s v="Social Media"/>
    <s v="No"/>
    <s v="No"/>
    <s v="No"/>
    <n v="2023"/>
    <s v="July"/>
    <s v="Q3"/>
  </r>
  <r>
    <s v="A0856"/>
    <s v="Furever Home"/>
    <x v="1"/>
    <x v="1"/>
    <s v="Poodle"/>
    <x v="9"/>
    <s v="Female"/>
    <n v="5.4"/>
    <n v="5.7"/>
    <x v="0"/>
    <s v="2023-04-21"/>
    <s v="Confiscated"/>
    <s v="2023-05-17"/>
    <s v="Adopted"/>
    <n v="26"/>
    <x v="4"/>
    <n v="6346"/>
    <n v="2000"/>
    <x v="2"/>
    <s v="Event"/>
    <s v="Yes"/>
    <s v="No"/>
    <s v="Yes"/>
    <n v="2023"/>
    <s v="April"/>
    <s v="Q2"/>
  </r>
  <r>
    <s v="A0857"/>
    <s v="Hope Animal Shelter"/>
    <x v="1"/>
    <x v="1"/>
    <s v="Mixed Breed"/>
    <x v="3"/>
    <s v="Female"/>
    <n v="1.8"/>
    <n v="3.2"/>
    <x v="0"/>
    <s v="2024-06-24"/>
    <s v="Owner Surrender"/>
    <s v="2024-11-27"/>
    <s v="Returned to Owner"/>
    <n v="156"/>
    <x v="0"/>
    <n v="0"/>
    <n v="500"/>
    <x v="0"/>
    <s v="Social Media"/>
    <s v="Yes"/>
    <s v="No"/>
    <s v="No"/>
    <n v="2024"/>
    <s v="June"/>
    <s v="Q2"/>
  </r>
  <r>
    <s v="A0858"/>
    <s v="Hope Animal Shelter"/>
    <x v="0"/>
    <x v="1"/>
    <s v="Bulldog"/>
    <x v="7"/>
    <s v="Male"/>
    <n v="8.3000000000000007"/>
    <n v="19.899999999999999"/>
    <x v="3"/>
    <s v="2023-04-18"/>
    <s v="Born in Shelter"/>
    <s v="2023-07-25"/>
    <s v="Fostered"/>
    <n v="98"/>
    <x v="0"/>
    <n v="0"/>
    <n v="0"/>
    <x v="0"/>
    <s v="Social Media"/>
    <s v="Yes"/>
    <s v="No"/>
    <s v="Yes"/>
    <n v="2023"/>
    <s v="April"/>
    <s v="Q2"/>
  </r>
  <r>
    <s v="A0859"/>
    <s v="City Animal Shelter"/>
    <x v="5"/>
    <x v="1"/>
    <s v="Mixed Breed"/>
    <x v="3"/>
    <s v="Male"/>
    <n v="4.2"/>
    <n v="9.8000000000000007"/>
    <x v="0"/>
    <s v="2024-07-01"/>
    <s v="Born in Shelter"/>
    <s v="2024-10-18"/>
    <s v="Adopted"/>
    <n v="109"/>
    <x v="3"/>
    <n v="6582"/>
    <n v="0"/>
    <x v="3"/>
    <s v="Walk-in"/>
    <s v="No"/>
    <s v="No"/>
    <s v="Yes"/>
    <n v="2024"/>
    <s v="July"/>
    <s v="Q3"/>
  </r>
  <r>
    <s v="A0860"/>
    <s v="Second Chance Rescue"/>
    <x v="7"/>
    <x v="1"/>
    <s v="German Shepherd"/>
    <x v="3"/>
    <s v="Female"/>
    <n v="6.4"/>
    <n v="9.3000000000000007"/>
    <x v="0"/>
    <s v="2022-11-22"/>
    <s v="Owner Surrender"/>
    <s v="2022-12-16"/>
    <s v="Adopted"/>
    <n v="24"/>
    <x v="2"/>
    <n v="5051"/>
    <n v="0"/>
    <x v="2"/>
    <s v="Social Media"/>
    <s v="Yes"/>
    <s v="No"/>
    <s v="Yes"/>
    <n v="2022"/>
    <s v="November"/>
    <s v="Q4"/>
  </r>
  <r>
    <s v="A0861"/>
    <s v="Second Chance Rescue"/>
    <x v="4"/>
    <x v="1"/>
    <s v="German Shepherd"/>
    <x v="9"/>
    <s v="Male"/>
    <n v="5.7"/>
    <n v="15.1"/>
    <x v="1"/>
    <s v="2022-04-17"/>
    <s v="Confiscated"/>
    <s v="2022-09-11"/>
    <s v="Adopted"/>
    <n v="147"/>
    <x v="5"/>
    <n v="5361"/>
    <n v="1000"/>
    <x v="1"/>
    <s v="Walk-in"/>
    <s v="Yes"/>
    <s v="Yes"/>
    <s v="Yes"/>
    <n v="2022"/>
    <s v="April"/>
    <s v="Q2"/>
  </r>
  <r>
    <s v="A0862"/>
    <s v="City Animal Shelter"/>
    <x v="3"/>
    <x v="1"/>
    <s v="Beagle"/>
    <x v="5"/>
    <s v="Male"/>
    <n v="0.2"/>
    <n v="30"/>
    <x v="3"/>
    <s v="2023-01-02"/>
    <s v="Owner Surrender"/>
    <s v="2023-02-11"/>
    <s v="Adopted"/>
    <n v="40"/>
    <x v="2"/>
    <n v="5012"/>
    <n v="5000"/>
    <x v="1"/>
    <s v="Referral"/>
    <s v="Yes"/>
    <s v="Yes"/>
    <s v="No"/>
    <n v="2023"/>
    <s v="January"/>
    <s v="Q1"/>
  </r>
  <r>
    <s v="A0863"/>
    <s v="Second Chance Rescue"/>
    <x v="6"/>
    <x v="1"/>
    <s v="Beagle"/>
    <x v="0"/>
    <s v="Male"/>
    <n v="2.2000000000000002"/>
    <n v="4.3"/>
    <x v="0"/>
    <s v="2023-07-26"/>
    <s v="Transfer from Another Shelter"/>
    <s v="2023-11-22"/>
    <s v="Returned to Owner"/>
    <n v="119"/>
    <x v="0"/>
    <n v="0"/>
    <n v="1000"/>
    <x v="0"/>
    <s v="Website"/>
    <s v="Yes"/>
    <s v="No"/>
    <s v="No"/>
    <n v="2023"/>
    <s v="July"/>
    <s v="Q3"/>
  </r>
  <r>
    <s v="A0864"/>
    <s v="Paws &amp; Claws Rescue"/>
    <x v="5"/>
    <x v="0"/>
    <s v="Ragdoll"/>
    <x v="5"/>
    <s v="Female"/>
    <n v="6.6"/>
    <n v="25.6"/>
    <x v="2"/>
    <s v="2024-09-30"/>
    <s v="Born in Shelter"/>
    <s v="2024-12-31"/>
    <s v="Still in Shelter"/>
    <n v="174"/>
    <x v="0"/>
    <n v="0"/>
    <n v="0"/>
    <x v="0"/>
    <s v="Event"/>
    <s v="No"/>
    <s v="No"/>
    <s v="No"/>
    <n v="2024"/>
    <s v="September"/>
    <s v="Q3"/>
  </r>
  <r>
    <s v="A0865"/>
    <s v="City Animal Shelter"/>
    <x v="0"/>
    <x v="1"/>
    <s v="Husky"/>
    <x v="0"/>
    <s v="Female"/>
    <n v="7.2"/>
    <n v="13.2"/>
    <x v="3"/>
    <s v="2022-09-16"/>
    <s v="Transfer from Another Shelter"/>
    <s v="2022-09-26"/>
    <s v="Returned to Owner"/>
    <n v="10"/>
    <x v="0"/>
    <n v="0"/>
    <n v="0"/>
    <x v="0"/>
    <s v="Social Media"/>
    <s v="Yes"/>
    <s v="Yes"/>
    <s v="No"/>
    <n v="2022"/>
    <s v="September"/>
    <s v="Q3"/>
  </r>
  <r>
    <s v="A0866"/>
    <s v="Furever Home"/>
    <x v="6"/>
    <x v="1"/>
    <s v="Poodle"/>
    <x v="8"/>
    <s v="Female"/>
    <n v="9.3000000000000007"/>
    <n v="26.4"/>
    <x v="0"/>
    <s v="2022-02-02"/>
    <s v="Owner Surrender"/>
    <s v="2022-03-30"/>
    <s v="Still in Shelter"/>
    <n v="56"/>
    <x v="0"/>
    <n v="0"/>
    <n v="0"/>
    <x v="0"/>
    <s v="Walk-in"/>
    <s v="Yes"/>
    <s v="No"/>
    <s v="No"/>
    <n v="2022"/>
    <s v="February"/>
    <s v="Q1"/>
  </r>
  <r>
    <s v="A0867"/>
    <s v="Furever Home"/>
    <x v="3"/>
    <x v="1"/>
    <s v="Mixed Breed"/>
    <x v="6"/>
    <s v="Male"/>
    <n v="10.6"/>
    <n v="16.5"/>
    <x v="4"/>
    <s v="2024-08-13"/>
    <s v="Stray"/>
    <s v="2024-12-11"/>
    <s v="Euthanized"/>
    <n v="120"/>
    <x v="0"/>
    <n v="0"/>
    <n v="0"/>
    <x v="0"/>
    <s v="Social Media"/>
    <s v="Yes"/>
    <s v="Yes"/>
    <s v="No"/>
    <n v="2024"/>
    <s v="August"/>
    <s v="Q3"/>
  </r>
  <r>
    <s v="A0868"/>
    <s v="Furever Home"/>
    <x v="3"/>
    <x v="1"/>
    <s v="Mixed Breed"/>
    <x v="7"/>
    <s v="Male"/>
    <n v="4.3"/>
    <n v="18.2"/>
    <x v="0"/>
    <s v="2024-06-06"/>
    <s v="Abandoned"/>
    <s v="2024-06-26"/>
    <s v="Transferred"/>
    <n v="20"/>
    <x v="0"/>
    <n v="0"/>
    <n v="0"/>
    <x v="0"/>
    <s v="Website"/>
    <s v="Yes"/>
    <s v="No"/>
    <s v="No"/>
    <n v="2024"/>
    <s v="June"/>
    <s v="Q2"/>
  </r>
  <r>
    <s v="A0869"/>
    <s v="Hope Animal Shelter"/>
    <x v="2"/>
    <x v="1"/>
    <s v="German Shepherd"/>
    <x v="9"/>
    <s v="Female"/>
    <n v="0.8"/>
    <n v="18.100000000000001"/>
    <x v="3"/>
    <s v="2022-10-26"/>
    <s v="Abandoned"/>
    <s v="2023-03-19"/>
    <s v="Transferred"/>
    <n v="144"/>
    <x v="0"/>
    <n v="0"/>
    <n v="0"/>
    <x v="0"/>
    <s v="Event"/>
    <s v="No"/>
    <s v="No"/>
    <s v="No"/>
    <n v="2022"/>
    <s v="October"/>
    <s v="Q4"/>
  </r>
  <r>
    <s v="A0870"/>
    <s v="Happy Paws Shelter"/>
    <x v="0"/>
    <x v="0"/>
    <s v="Bengal"/>
    <x v="3"/>
    <s v="Female"/>
    <n v="5.9"/>
    <n v="26.8"/>
    <x v="0"/>
    <s v="2022-04-15"/>
    <s v="Confiscated"/>
    <s v="2022-08-26"/>
    <s v="Adopted"/>
    <n v="133"/>
    <x v="4"/>
    <n v="3295"/>
    <n v="5000"/>
    <x v="4"/>
    <s v="Website"/>
    <s v="Yes"/>
    <s v="Yes"/>
    <s v="Yes"/>
    <n v="2022"/>
    <s v="April"/>
    <s v="Q2"/>
  </r>
  <r>
    <s v="A0871"/>
    <s v="Second Chance Rescue"/>
    <x v="4"/>
    <x v="1"/>
    <s v="Mixed Breed"/>
    <x v="2"/>
    <s v="Male"/>
    <n v="0.6"/>
    <n v="0.9"/>
    <x v="3"/>
    <s v="2023-07-19"/>
    <s v="Owner Surrender"/>
    <s v="2023-10-28"/>
    <s v="Returned to Owner"/>
    <n v="101"/>
    <x v="0"/>
    <n v="0"/>
    <n v="0"/>
    <x v="0"/>
    <s v="Referral"/>
    <s v="Yes"/>
    <s v="Yes"/>
    <s v="Yes"/>
    <n v="2023"/>
    <s v="July"/>
    <s v="Q3"/>
  </r>
  <r>
    <s v="A0872"/>
    <s v="Second Chance Rescue"/>
    <x v="5"/>
    <x v="0"/>
    <s v="Siamese"/>
    <x v="4"/>
    <s v="Male"/>
    <n v="2.7"/>
    <n v="32.1"/>
    <x v="4"/>
    <s v="2022-03-18"/>
    <s v="Transfer from Another Shelter"/>
    <s v="2022-05-25"/>
    <s v="Fostered"/>
    <n v="68"/>
    <x v="0"/>
    <n v="0"/>
    <n v="0"/>
    <x v="0"/>
    <s v="Social Media"/>
    <s v="Yes"/>
    <s v="No"/>
    <s v="No"/>
    <n v="2022"/>
    <s v="March"/>
    <s v="Q1"/>
  </r>
  <r>
    <s v="A0873"/>
    <s v="Second Chance Rescue"/>
    <x v="4"/>
    <x v="1"/>
    <s v="Beagle"/>
    <x v="9"/>
    <s v="Female"/>
    <n v="8.1999999999999993"/>
    <n v="28.3"/>
    <x v="3"/>
    <s v="2023-10-31"/>
    <s v="Abandoned"/>
    <s v="2024-03-14"/>
    <s v="Adopted"/>
    <n v="135"/>
    <x v="1"/>
    <n v="7831"/>
    <n v="1000"/>
    <x v="4"/>
    <s v="Referral"/>
    <s v="No"/>
    <s v="Yes"/>
    <s v="No"/>
    <n v="2023"/>
    <s v="October"/>
    <s v="Q4"/>
  </r>
  <r>
    <s v="A0874"/>
    <s v="Second Chance Rescue"/>
    <x v="0"/>
    <x v="0"/>
    <s v="Persian"/>
    <x v="5"/>
    <s v="Female"/>
    <n v="10.6"/>
    <n v="9.1"/>
    <x v="3"/>
    <s v="2022-10-31"/>
    <s v="Confiscated"/>
    <s v="2023-03-23"/>
    <s v="Returned to Owner"/>
    <n v="143"/>
    <x v="0"/>
    <n v="0"/>
    <n v="0"/>
    <x v="0"/>
    <s v="Referral"/>
    <s v="No"/>
    <s v="No"/>
    <s v="No"/>
    <n v="2022"/>
    <s v="October"/>
    <s v="Q4"/>
  </r>
  <r>
    <s v="A0875"/>
    <s v="Happy Paws Shelter"/>
    <x v="1"/>
    <x v="0"/>
    <s v="Persian"/>
    <x v="2"/>
    <s v="Female"/>
    <n v="9.3000000000000007"/>
    <n v="32.5"/>
    <x v="0"/>
    <s v="2023-05-12"/>
    <s v="Transfer from Another Shelter"/>
    <s v="2023-06-23"/>
    <s v="Fostered"/>
    <n v="42"/>
    <x v="0"/>
    <n v="0"/>
    <n v="0"/>
    <x v="0"/>
    <s v="Referral"/>
    <s v="Yes"/>
    <s v="No"/>
    <s v="No"/>
    <n v="2023"/>
    <s v="May"/>
    <s v="Q2"/>
  </r>
  <r>
    <s v="A0876"/>
    <s v="Second Chance Rescue"/>
    <x v="7"/>
    <x v="0"/>
    <s v="Bengal"/>
    <x v="6"/>
    <s v="Male"/>
    <n v="7.1"/>
    <n v="14.5"/>
    <x v="0"/>
    <s v="2023-04-28"/>
    <s v="Owner Surrender"/>
    <s v="2023-08-31"/>
    <s v="Fostered"/>
    <n v="125"/>
    <x v="0"/>
    <n v="0"/>
    <n v="1000"/>
    <x v="0"/>
    <s v="Event"/>
    <s v="Yes"/>
    <s v="No"/>
    <s v="No"/>
    <n v="2023"/>
    <s v="April"/>
    <s v="Q2"/>
  </r>
  <r>
    <s v="A0877"/>
    <s v="Hope Animal Shelter"/>
    <x v="6"/>
    <x v="0"/>
    <s v="Persian"/>
    <x v="9"/>
    <s v="Male"/>
    <n v="5.2"/>
    <n v="31.4"/>
    <x v="3"/>
    <s v="2022-06-18"/>
    <s v="Owner Surrender"/>
    <s v="2022-07-10"/>
    <s v="Adopted"/>
    <n v="22"/>
    <x v="5"/>
    <n v="2114"/>
    <n v="1000"/>
    <x v="3"/>
    <s v="Social Media"/>
    <s v="Yes"/>
    <s v="No"/>
    <s v="No"/>
    <n v="2022"/>
    <s v="June"/>
    <s v="Q2"/>
  </r>
  <r>
    <s v="A0878"/>
    <s v="Paws &amp; Claws Rescue"/>
    <x v="0"/>
    <x v="1"/>
    <s v="German Shepherd"/>
    <x v="9"/>
    <s v="Male"/>
    <n v="4"/>
    <n v="1.8"/>
    <x v="2"/>
    <s v="2022-03-24"/>
    <s v="Owner Surrender"/>
    <s v="2022-05-06"/>
    <s v="Transferred"/>
    <n v="43"/>
    <x v="0"/>
    <n v="0"/>
    <n v="0"/>
    <x v="0"/>
    <s v="Website"/>
    <s v="No"/>
    <s v="No"/>
    <s v="Yes"/>
    <n v="2022"/>
    <s v="March"/>
    <s v="Q1"/>
  </r>
  <r>
    <s v="A0879"/>
    <s v="Paws &amp; Claws Rescue"/>
    <x v="7"/>
    <x v="0"/>
    <s v="Maine Coon"/>
    <x v="3"/>
    <s v="Male"/>
    <n v="3.5"/>
    <n v="2.7"/>
    <x v="3"/>
    <s v="2023-08-20"/>
    <s v="Born in Shelter"/>
    <s v="2024-01-25"/>
    <s v="Adopted"/>
    <n v="158"/>
    <x v="2"/>
    <n v="4907"/>
    <n v="1000"/>
    <x v="4"/>
    <s v="Walk-in"/>
    <s v="No"/>
    <s v="No"/>
    <s v="No"/>
    <n v="2023"/>
    <s v="August"/>
    <s v="Q3"/>
  </r>
  <r>
    <s v="A0880"/>
    <s v="Furever Home"/>
    <x v="1"/>
    <x v="1"/>
    <s v="Husky"/>
    <x v="6"/>
    <s v="Female"/>
    <n v="3.6"/>
    <n v="24.8"/>
    <x v="4"/>
    <s v="2024-01-05"/>
    <s v="Abandoned"/>
    <s v="2024-05-15"/>
    <s v="Transferred"/>
    <n v="131"/>
    <x v="0"/>
    <n v="0"/>
    <n v="0"/>
    <x v="0"/>
    <s v="Website"/>
    <s v="Yes"/>
    <s v="No"/>
    <s v="No"/>
    <n v="2024"/>
    <s v="January"/>
    <s v="Q1"/>
  </r>
  <r>
    <s v="A0881"/>
    <s v="Hope Animal Shelter"/>
    <x v="0"/>
    <x v="1"/>
    <s v="Labrador"/>
    <x v="8"/>
    <s v="Female"/>
    <n v="12"/>
    <n v="4.9000000000000004"/>
    <x v="4"/>
    <s v="2022-06-12"/>
    <s v="Abandoned"/>
    <s v="2022-06-28"/>
    <s v="Adopted"/>
    <n v="16"/>
    <x v="3"/>
    <n v="4209"/>
    <n v="0"/>
    <x v="3"/>
    <s v="Referral"/>
    <s v="No"/>
    <s v="No"/>
    <s v="Yes"/>
    <n v="2022"/>
    <s v="June"/>
    <s v="Q2"/>
  </r>
  <r>
    <s v="A0882"/>
    <s v="City Animal Shelter"/>
    <x v="0"/>
    <x v="0"/>
    <s v="Mixed Breed"/>
    <x v="9"/>
    <s v="Male"/>
    <n v="4.4000000000000004"/>
    <n v="14"/>
    <x v="2"/>
    <s v="2023-09-12"/>
    <s v="Abandoned"/>
    <s v="2023-11-05"/>
    <s v="Fostered"/>
    <n v="54"/>
    <x v="0"/>
    <n v="0"/>
    <n v="0"/>
    <x v="0"/>
    <s v="Referral"/>
    <s v="Yes"/>
    <s v="No"/>
    <s v="No"/>
    <n v="2023"/>
    <s v="September"/>
    <s v="Q3"/>
  </r>
  <r>
    <s v="A0883"/>
    <s v="Hope Animal Shelter"/>
    <x v="2"/>
    <x v="2"/>
    <s v="Canary"/>
    <x v="0"/>
    <s v="Male"/>
    <n v="9"/>
    <n v="24.9"/>
    <x v="0"/>
    <s v="2024-07-09"/>
    <s v="Owner Surrender"/>
    <s v="2024-08-13"/>
    <s v="Euthanized"/>
    <n v="35"/>
    <x v="0"/>
    <n v="0"/>
    <n v="0"/>
    <x v="0"/>
    <s v="Social Media"/>
    <s v="No"/>
    <s v="Yes"/>
    <s v="No"/>
    <n v="2024"/>
    <s v="July"/>
    <s v="Q3"/>
  </r>
  <r>
    <s v="A0884"/>
    <s v="Hope Animal Shelter"/>
    <x v="6"/>
    <x v="3"/>
    <s v="Mini Rex"/>
    <x v="2"/>
    <s v="Male"/>
    <n v="11.5"/>
    <n v="31.8"/>
    <x v="2"/>
    <s v="2022-03-28"/>
    <s v="Stray"/>
    <s v="2022-05-03"/>
    <s v="Returned to Owner"/>
    <n v="36"/>
    <x v="0"/>
    <n v="0"/>
    <n v="1000"/>
    <x v="0"/>
    <s v="Social Media"/>
    <s v="Yes"/>
    <s v="No"/>
    <s v="No"/>
    <n v="2022"/>
    <s v="March"/>
    <s v="Q1"/>
  </r>
  <r>
    <s v="A0885"/>
    <s v="Hope Animal Shelter"/>
    <x v="7"/>
    <x v="3"/>
    <s v="Holland Lop"/>
    <x v="5"/>
    <s v="Female"/>
    <n v="1.9"/>
    <n v="24"/>
    <x v="1"/>
    <s v="2022-08-03"/>
    <s v="Born in Shelter"/>
    <s v="2022-12-05"/>
    <s v="Returned to Owner"/>
    <n v="124"/>
    <x v="0"/>
    <n v="0"/>
    <n v="0"/>
    <x v="0"/>
    <s v="Event"/>
    <s v="Yes"/>
    <s v="No"/>
    <s v="Yes"/>
    <n v="2022"/>
    <s v="August"/>
    <s v="Q3"/>
  </r>
  <r>
    <s v="A0886"/>
    <s v="Hope Animal Shelter"/>
    <x v="0"/>
    <x v="1"/>
    <s v="Bulldog"/>
    <x v="7"/>
    <s v="Female"/>
    <n v="4.0999999999999996"/>
    <n v="14.6"/>
    <x v="3"/>
    <s v="2024-07-23"/>
    <s v="Born in Shelter"/>
    <s v="2024-08-04"/>
    <s v="Transferred"/>
    <n v="12"/>
    <x v="0"/>
    <n v="0"/>
    <n v="0"/>
    <x v="0"/>
    <s v="Event"/>
    <s v="Yes"/>
    <s v="No"/>
    <s v="No"/>
    <n v="2024"/>
    <s v="July"/>
    <s v="Q3"/>
  </r>
  <r>
    <s v="A0887"/>
    <s v="City Animal Shelter"/>
    <x v="3"/>
    <x v="1"/>
    <s v="Bulldog"/>
    <x v="5"/>
    <s v="Male"/>
    <n v="10.9"/>
    <n v="9.3000000000000007"/>
    <x v="0"/>
    <s v="2023-09-07"/>
    <s v="Owner Surrender"/>
    <s v="2024-02-21"/>
    <s v="Adopted"/>
    <n v="167"/>
    <x v="4"/>
    <n v="4879"/>
    <n v="2000"/>
    <x v="3"/>
    <s v="Referral"/>
    <s v="Yes"/>
    <s v="No"/>
    <s v="Yes"/>
    <n v="2023"/>
    <s v="September"/>
    <s v="Q3"/>
  </r>
  <r>
    <s v="A0888"/>
    <s v="Hope Animal Shelter"/>
    <x v="7"/>
    <x v="0"/>
    <s v="Ragdoll"/>
    <x v="0"/>
    <s v="Male"/>
    <n v="0.3"/>
    <n v="30.5"/>
    <x v="3"/>
    <s v="2023-07-15"/>
    <s v="Born in Shelter"/>
    <s v="2023-11-30"/>
    <s v="Still in Shelter"/>
    <n v="138"/>
    <x v="0"/>
    <n v="0"/>
    <n v="0"/>
    <x v="0"/>
    <s v="Website"/>
    <s v="Yes"/>
    <s v="Yes"/>
    <s v="No"/>
    <n v="2023"/>
    <s v="July"/>
    <s v="Q3"/>
  </r>
  <r>
    <s v="A0889"/>
    <s v="Hope Animal Shelter"/>
    <x v="4"/>
    <x v="2"/>
    <s v="Finch"/>
    <x v="7"/>
    <s v="Male"/>
    <n v="8.3000000000000007"/>
    <n v="3.2"/>
    <x v="0"/>
    <s v="2023-11-04"/>
    <s v="Owner Surrender"/>
    <s v="2023-12-20"/>
    <s v="Returned to Owner"/>
    <n v="46"/>
    <x v="0"/>
    <n v="0"/>
    <n v="0"/>
    <x v="0"/>
    <s v="Social Media"/>
    <s v="Yes"/>
    <s v="No"/>
    <s v="No"/>
    <n v="2023"/>
    <s v="November"/>
    <s v="Q4"/>
  </r>
  <r>
    <s v="A0890"/>
    <s v="City Animal Shelter"/>
    <x v="7"/>
    <x v="0"/>
    <s v="Domestic Shorthair"/>
    <x v="5"/>
    <s v="Male"/>
    <n v="4.4000000000000004"/>
    <n v="26.9"/>
    <x v="0"/>
    <s v="2022-11-28"/>
    <s v="Owner Surrender"/>
    <s v="2023-03-18"/>
    <s v="Returned to Owner"/>
    <n v="110"/>
    <x v="0"/>
    <n v="0"/>
    <n v="0"/>
    <x v="0"/>
    <s v="Walk-in"/>
    <s v="Yes"/>
    <s v="Yes"/>
    <s v="Yes"/>
    <n v="2022"/>
    <s v="November"/>
    <s v="Q4"/>
  </r>
  <r>
    <s v="A0891"/>
    <s v="Paws &amp; Claws Rescue"/>
    <x v="5"/>
    <x v="0"/>
    <s v="Siamese"/>
    <x v="5"/>
    <s v="Male"/>
    <n v="1.5"/>
    <n v="26.9"/>
    <x v="3"/>
    <s v="2022-08-21"/>
    <s v="Confiscated"/>
    <s v="2022-12-15"/>
    <s v="Euthanized"/>
    <n v="116"/>
    <x v="0"/>
    <n v="0"/>
    <n v="0"/>
    <x v="0"/>
    <s v="Event"/>
    <s v="Yes"/>
    <s v="Yes"/>
    <s v="No"/>
    <n v="2022"/>
    <s v="August"/>
    <s v="Q3"/>
  </r>
  <r>
    <s v="A0892"/>
    <s v="Paws &amp; Claws Rescue"/>
    <x v="0"/>
    <x v="0"/>
    <s v="Bengal"/>
    <x v="4"/>
    <s v="Male"/>
    <n v="8.6999999999999993"/>
    <n v="31.9"/>
    <x v="0"/>
    <s v="2022-12-28"/>
    <s v="Abandoned"/>
    <s v="2023-04-07"/>
    <s v="Returned to Owner"/>
    <n v="100"/>
    <x v="0"/>
    <n v="0"/>
    <n v="500"/>
    <x v="0"/>
    <s v="Website"/>
    <s v="Yes"/>
    <s v="No"/>
    <s v="No"/>
    <n v="2022"/>
    <s v="December"/>
    <s v="Q4"/>
  </r>
  <r>
    <s v="A0893"/>
    <s v="Second Chance Rescue"/>
    <x v="5"/>
    <x v="1"/>
    <s v="Beagle"/>
    <x v="0"/>
    <s v="Male"/>
    <n v="9.8000000000000007"/>
    <n v="7.8"/>
    <x v="4"/>
    <s v="2024-03-08"/>
    <s v="Owner Surrender"/>
    <s v="2024-06-27"/>
    <s v="Adopted"/>
    <n v="111"/>
    <x v="4"/>
    <n v="7197"/>
    <n v="5000"/>
    <x v="2"/>
    <s v="Referral"/>
    <s v="Yes"/>
    <s v="No"/>
    <s v="No"/>
    <n v="2024"/>
    <s v="March"/>
    <s v="Q1"/>
  </r>
  <r>
    <s v="A0894"/>
    <s v="Hope Animal Shelter"/>
    <x v="2"/>
    <x v="1"/>
    <s v="Labrador"/>
    <x v="1"/>
    <s v="Female"/>
    <n v="6.9"/>
    <n v="1.1000000000000001"/>
    <x v="4"/>
    <s v="2022-03-16"/>
    <s v="Stray"/>
    <s v="2022-07-10"/>
    <s v="Returned to Owner"/>
    <n v="116"/>
    <x v="0"/>
    <n v="0"/>
    <n v="0"/>
    <x v="0"/>
    <s v="Social Media"/>
    <s v="No"/>
    <s v="Yes"/>
    <s v="No"/>
    <n v="2022"/>
    <s v="March"/>
    <s v="Q1"/>
  </r>
  <r>
    <s v="A0895"/>
    <s v="Paws &amp; Claws Rescue"/>
    <x v="2"/>
    <x v="0"/>
    <s v="Maine Coon"/>
    <x v="4"/>
    <s v="Male"/>
    <n v="5.7"/>
    <n v="19.600000000000001"/>
    <x v="2"/>
    <s v="2024-12-02"/>
    <s v="Confiscated"/>
    <s v="2024-12-31"/>
    <s v="Adopted"/>
    <n v="144"/>
    <x v="1"/>
    <n v="3928"/>
    <n v="0"/>
    <x v="3"/>
    <s v="Social Media"/>
    <s v="No"/>
    <s v="No"/>
    <s v="Yes"/>
    <n v="2024"/>
    <s v="December"/>
    <s v="Q4"/>
  </r>
  <r>
    <s v="A0896"/>
    <s v="City Animal Shelter"/>
    <x v="2"/>
    <x v="0"/>
    <s v="Persian"/>
    <x v="2"/>
    <s v="Male"/>
    <n v="9.8000000000000007"/>
    <n v="35"/>
    <x v="1"/>
    <s v="2023-09-07"/>
    <s v="Abandoned"/>
    <s v="2024-02-25"/>
    <s v="Adopted"/>
    <n v="171"/>
    <x v="5"/>
    <n v="4350"/>
    <n v="0"/>
    <x v="2"/>
    <s v="Social Media"/>
    <s v="Yes"/>
    <s v="No"/>
    <s v="Yes"/>
    <n v="2023"/>
    <s v="September"/>
    <s v="Q3"/>
  </r>
  <r>
    <s v="A0897"/>
    <s v="City Animal Shelter"/>
    <x v="0"/>
    <x v="1"/>
    <s v="Bulldog"/>
    <x v="4"/>
    <s v="Female"/>
    <n v="7.3"/>
    <n v="29.9"/>
    <x v="2"/>
    <s v="2023-11-03"/>
    <s v="Abandoned"/>
    <s v="2023-12-21"/>
    <s v="Adopted"/>
    <n v="48"/>
    <x v="1"/>
    <n v="4125"/>
    <n v="1000"/>
    <x v="1"/>
    <s v="Website"/>
    <s v="Yes"/>
    <s v="No"/>
    <s v="Yes"/>
    <n v="2023"/>
    <s v="November"/>
    <s v="Q4"/>
  </r>
  <r>
    <s v="A0898"/>
    <s v="Paws &amp; Claws Rescue"/>
    <x v="7"/>
    <x v="1"/>
    <s v="Labrador"/>
    <x v="4"/>
    <s v="Female"/>
    <n v="10.5"/>
    <n v="19.3"/>
    <x v="2"/>
    <s v="2023-07-21"/>
    <s v="Stray"/>
    <s v="2023-10-09"/>
    <s v="Adopted"/>
    <n v="80"/>
    <x v="1"/>
    <n v="7496"/>
    <n v="1000"/>
    <x v="2"/>
    <s v="Walk-in"/>
    <s v="Yes"/>
    <s v="No"/>
    <s v="Yes"/>
    <n v="2023"/>
    <s v="July"/>
    <s v="Q3"/>
  </r>
  <r>
    <s v="A0899"/>
    <s v="Furever Home"/>
    <x v="0"/>
    <x v="1"/>
    <s v="German Shepherd"/>
    <x v="8"/>
    <s v="Male"/>
    <n v="0.6"/>
    <n v="28.4"/>
    <x v="1"/>
    <s v="2022-07-13"/>
    <s v="Born in Shelter"/>
    <s v="2022-12-11"/>
    <s v="Adopted"/>
    <n v="151"/>
    <x v="2"/>
    <n v="3875"/>
    <n v="500"/>
    <x v="1"/>
    <s v="Social Media"/>
    <s v="Yes"/>
    <s v="Yes"/>
    <s v="Yes"/>
    <n v="2022"/>
    <s v="July"/>
    <s v="Q3"/>
  </r>
  <r>
    <s v="A0900"/>
    <s v="Paws &amp; Claws Rescue"/>
    <x v="7"/>
    <x v="1"/>
    <s v="Husky"/>
    <x v="0"/>
    <s v="Male"/>
    <n v="11.9"/>
    <n v="0.7"/>
    <x v="3"/>
    <s v="2023-03-24"/>
    <s v="Born in Shelter"/>
    <s v="2023-04-26"/>
    <s v="Adopted"/>
    <n v="33"/>
    <x v="2"/>
    <n v="7175"/>
    <n v="0"/>
    <x v="1"/>
    <s v="Referral"/>
    <s v="Yes"/>
    <s v="No"/>
    <s v="No"/>
    <n v="2023"/>
    <s v="March"/>
    <s v="Q1"/>
  </r>
  <r>
    <s v="A0901"/>
    <s v="Paws &amp; Claws Rescue"/>
    <x v="7"/>
    <x v="1"/>
    <s v="Bulldog"/>
    <x v="8"/>
    <s v="Male"/>
    <n v="11.7"/>
    <n v="14.7"/>
    <x v="1"/>
    <s v="2023-12-07"/>
    <s v="Stray"/>
    <s v="2024-01-11"/>
    <s v="Still in Shelter"/>
    <n v="35"/>
    <x v="0"/>
    <n v="0"/>
    <n v="0"/>
    <x v="0"/>
    <s v="Referral"/>
    <s v="Yes"/>
    <s v="No"/>
    <s v="No"/>
    <n v="2023"/>
    <s v="December"/>
    <s v="Q4"/>
  </r>
  <r>
    <s v="A0902"/>
    <s v="Hope Animal Shelter"/>
    <x v="0"/>
    <x v="1"/>
    <s v="German Shepherd"/>
    <x v="6"/>
    <s v="Male"/>
    <n v="8.3000000000000007"/>
    <n v="20.399999999999999"/>
    <x v="4"/>
    <s v="2024-04-10"/>
    <s v="Stray"/>
    <s v="2024-09-09"/>
    <s v="Returned to Owner"/>
    <n v="152"/>
    <x v="0"/>
    <n v="0"/>
    <n v="500"/>
    <x v="0"/>
    <s v="Website"/>
    <s v="Yes"/>
    <s v="No"/>
    <s v="Yes"/>
    <n v="2024"/>
    <s v="April"/>
    <s v="Q2"/>
  </r>
  <r>
    <s v="A0903"/>
    <s v="Hope Animal Shelter"/>
    <x v="4"/>
    <x v="0"/>
    <s v="Mixed Breed"/>
    <x v="4"/>
    <s v="Male"/>
    <n v="11.5"/>
    <n v="20.3"/>
    <x v="3"/>
    <s v="2024-03-19"/>
    <s v="Stray"/>
    <s v="2024-04-23"/>
    <s v="Returned to Owner"/>
    <n v="35"/>
    <x v="0"/>
    <n v="0"/>
    <n v="500"/>
    <x v="0"/>
    <s v="Social Media"/>
    <s v="Yes"/>
    <s v="No"/>
    <s v="No"/>
    <n v="2024"/>
    <s v="March"/>
    <s v="Q1"/>
  </r>
  <r>
    <s v="A0904"/>
    <s v="City Animal Shelter"/>
    <x v="5"/>
    <x v="1"/>
    <s v="German Shepherd"/>
    <x v="6"/>
    <s v="Male"/>
    <n v="4.5999999999999996"/>
    <n v="18.399999999999999"/>
    <x v="0"/>
    <s v="2024-01-26"/>
    <s v="Transfer from Another Shelter"/>
    <s v="2024-04-19"/>
    <s v="Still in Shelter"/>
    <n v="84"/>
    <x v="0"/>
    <n v="0"/>
    <n v="0"/>
    <x v="0"/>
    <s v="Social Media"/>
    <s v="Yes"/>
    <s v="No"/>
    <s v="No"/>
    <n v="2024"/>
    <s v="January"/>
    <s v="Q1"/>
  </r>
  <r>
    <s v="A0905"/>
    <s v="Happy Paws Shelter"/>
    <x v="5"/>
    <x v="1"/>
    <s v="Husky"/>
    <x v="5"/>
    <s v="Female"/>
    <n v="5.3"/>
    <n v="6"/>
    <x v="0"/>
    <s v="2023-07-15"/>
    <s v="Transfer from Another Shelter"/>
    <s v="2023-11-04"/>
    <s v="Adopted"/>
    <n v="112"/>
    <x v="5"/>
    <n v="5065"/>
    <n v="0"/>
    <x v="4"/>
    <s v="Website"/>
    <s v="Yes"/>
    <s v="No"/>
    <s v="No"/>
    <n v="2023"/>
    <s v="July"/>
    <s v="Q3"/>
  </r>
  <r>
    <s v="A0906"/>
    <s v="Furever Home"/>
    <x v="4"/>
    <x v="2"/>
    <s v="Parakeet"/>
    <x v="8"/>
    <s v="Female"/>
    <n v="4.2"/>
    <n v="22.7"/>
    <x v="3"/>
    <s v="2024-08-27"/>
    <s v="Abandoned"/>
    <s v="2024-12-31"/>
    <s v="Adopted"/>
    <n v="136"/>
    <x v="2"/>
    <n v="2902"/>
    <n v="500"/>
    <x v="2"/>
    <s v="Website"/>
    <s v="No"/>
    <s v="Yes"/>
    <s v="Yes"/>
    <n v="2024"/>
    <s v="August"/>
    <s v="Q3"/>
  </r>
  <r>
    <s v="A0907"/>
    <s v="Hope Animal Shelter"/>
    <x v="0"/>
    <x v="1"/>
    <s v="Husky"/>
    <x v="8"/>
    <s v="Female"/>
    <n v="8.6999999999999993"/>
    <n v="18.5"/>
    <x v="4"/>
    <s v="2024-02-27"/>
    <s v="Transfer from Another Shelter"/>
    <s v="2024-04-24"/>
    <s v="Adopted"/>
    <n v="57"/>
    <x v="5"/>
    <n v="3899"/>
    <n v="0"/>
    <x v="1"/>
    <s v="Event"/>
    <s v="Yes"/>
    <s v="Yes"/>
    <s v="No"/>
    <n v="2024"/>
    <s v="February"/>
    <s v="Q1"/>
  </r>
  <r>
    <s v="A0908"/>
    <s v="Happy Paws Shelter"/>
    <x v="2"/>
    <x v="0"/>
    <s v="Ragdoll"/>
    <x v="5"/>
    <s v="Female"/>
    <n v="11.7"/>
    <n v="0.6"/>
    <x v="1"/>
    <s v="2023-05-16"/>
    <s v="Abandoned"/>
    <s v="2023-11-04"/>
    <s v="Adopted"/>
    <n v="172"/>
    <x v="5"/>
    <n v="4070"/>
    <n v="500"/>
    <x v="2"/>
    <s v="Website"/>
    <s v="Yes"/>
    <s v="Yes"/>
    <s v="No"/>
    <n v="2023"/>
    <s v="May"/>
    <s v="Q2"/>
  </r>
  <r>
    <s v="A0909"/>
    <s v="Paws &amp; Claws Rescue"/>
    <x v="2"/>
    <x v="2"/>
    <s v="Canary"/>
    <x v="4"/>
    <s v="Female"/>
    <n v="8.1"/>
    <n v="33.6"/>
    <x v="3"/>
    <s v="2023-07-11"/>
    <s v="Born in Shelter"/>
    <s v="2023-12-09"/>
    <s v="Returned to Owner"/>
    <n v="151"/>
    <x v="0"/>
    <n v="0"/>
    <n v="1000"/>
    <x v="0"/>
    <s v="Website"/>
    <s v="Yes"/>
    <s v="No"/>
    <s v="Yes"/>
    <n v="2023"/>
    <s v="July"/>
    <s v="Q3"/>
  </r>
  <r>
    <s v="A0910"/>
    <s v="Paws &amp; Claws Rescue"/>
    <x v="3"/>
    <x v="3"/>
    <s v="Flemish Giant"/>
    <x v="4"/>
    <s v="Male"/>
    <n v="6"/>
    <n v="15.4"/>
    <x v="1"/>
    <s v="2024-08-23"/>
    <s v="Owner Surrender"/>
    <s v="2024-10-24"/>
    <s v="Euthanized"/>
    <n v="62"/>
    <x v="0"/>
    <n v="0"/>
    <n v="0"/>
    <x v="0"/>
    <s v="Website"/>
    <s v="No"/>
    <s v="Yes"/>
    <s v="No"/>
    <n v="2024"/>
    <s v="August"/>
    <s v="Q3"/>
  </r>
  <r>
    <s v="A0911"/>
    <s v="Second Chance Rescue"/>
    <x v="4"/>
    <x v="1"/>
    <s v="Mixed Breed"/>
    <x v="1"/>
    <s v="Male"/>
    <n v="8.6"/>
    <n v="8.1"/>
    <x v="0"/>
    <s v="2024-12-31"/>
    <s v="Abandoned"/>
    <s v="2024-12-31"/>
    <s v="Adopted"/>
    <n v="19"/>
    <x v="5"/>
    <n v="7493"/>
    <n v="500"/>
    <x v="2"/>
    <s v="Walk-in"/>
    <s v="Yes"/>
    <s v="No"/>
    <s v="No"/>
    <n v="2024"/>
    <s v="December"/>
    <s v="Q4"/>
  </r>
  <r>
    <s v="A0912"/>
    <s v="Hope Animal Shelter"/>
    <x v="4"/>
    <x v="1"/>
    <s v="German Shepherd"/>
    <x v="9"/>
    <s v="Female"/>
    <n v="3.1"/>
    <n v="21.1"/>
    <x v="4"/>
    <s v="2023-11-29"/>
    <s v="Abandoned"/>
    <s v="2024-01-29"/>
    <s v="Adopted"/>
    <n v="61"/>
    <x v="3"/>
    <n v="3766"/>
    <n v="5000"/>
    <x v="3"/>
    <s v="Walk-in"/>
    <s v="No"/>
    <s v="Yes"/>
    <s v="No"/>
    <n v="2023"/>
    <s v="November"/>
    <s v="Q4"/>
  </r>
  <r>
    <s v="A0913"/>
    <s v="City Animal Shelter"/>
    <x v="5"/>
    <x v="3"/>
    <s v="Holland Lop"/>
    <x v="5"/>
    <s v="Male"/>
    <n v="0.1"/>
    <n v="24.5"/>
    <x v="0"/>
    <s v="2022-07-01"/>
    <s v="Confiscated"/>
    <s v="2022-11-07"/>
    <s v="Returned to Owner"/>
    <n v="129"/>
    <x v="0"/>
    <n v="0"/>
    <n v="500"/>
    <x v="0"/>
    <s v="Walk-in"/>
    <s v="Yes"/>
    <s v="No"/>
    <s v="No"/>
    <n v="2022"/>
    <s v="July"/>
    <s v="Q3"/>
  </r>
  <r>
    <s v="A0914"/>
    <s v="City Animal Shelter"/>
    <x v="5"/>
    <x v="1"/>
    <s v="Golden Retriever"/>
    <x v="9"/>
    <s v="Female"/>
    <n v="9.9"/>
    <n v="7.3"/>
    <x v="0"/>
    <s v="2022-11-18"/>
    <s v="Born in Shelter"/>
    <s v="2023-01-17"/>
    <s v="Adopted"/>
    <n v="60"/>
    <x v="2"/>
    <n v="4469"/>
    <n v="0"/>
    <x v="1"/>
    <s v="Walk-in"/>
    <s v="Yes"/>
    <s v="No"/>
    <s v="No"/>
    <n v="2022"/>
    <s v="November"/>
    <s v="Q4"/>
  </r>
  <r>
    <s v="A0915"/>
    <s v="Paws &amp; Claws Rescue"/>
    <x v="6"/>
    <x v="2"/>
    <s v="Cockatiel"/>
    <x v="2"/>
    <s v="Male"/>
    <n v="0.2"/>
    <n v="13.4"/>
    <x v="0"/>
    <s v="2022-05-10"/>
    <s v="Owner Surrender"/>
    <s v="2022-06-20"/>
    <s v="Fostered"/>
    <n v="41"/>
    <x v="0"/>
    <n v="0"/>
    <n v="1000"/>
    <x v="0"/>
    <s v="Website"/>
    <s v="Yes"/>
    <s v="Yes"/>
    <s v="No"/>
    <n v="2022"/>
    <s v="May"/>
    <s v="Q2"/>
  </r>
  <r>
    <s v="A0916"/>
    <s v="Hope Animal Shelter"/>
    <x v="2"/>
    <x v="0"/>
    <s v="Domestic Shorthair"/>
    <x v="7"/>
    <s v="Male"/>
    <n v="6.3"/>
    <n v="19.600000000000001"/>
    <x v="2"/>
    <s v="2023-04-15"/>
    <s v="Born in Shelter"/>
    <s v="2023-10-12"/>
    <s v="Adopted"/>
    <n v="180"/>
    <x v="3"/>
    <n v="2590"/>
    <n v="2000"/>
    <x v="3"/>
    <s v="Referral"/>
    <s v="No"/>
    <s v="Yes"/>
    <s v="No"/>
    <n v="2023"/>
    <s v="April"/>
    <s v="Q2"/>
  </r>
  <r>
    <s v="A0917"/>
    <s v="Paws &amp; Claws Rescue"/>
    <x v="5"/>
    <x v="0"/>
    <s v="Bengal"/>
    <x v="4"/>
    <s v="Male"/>
    <n v="2.4"/>
    <n v="10.7"/>
    <x v="2"/>
    <s v="2023-06-17"/>
    <s v="Confiscated"/>
    <s v="2023-11-20"/>
    <s v="Returned to Owner"/>
    <n v="156"/>
    <x v="0"/>
    <n v="0"/>
    <n v="0"/>
    <x v="0"/>
    <s v="Website"/>
    <s v="Yes"/>
    <s v="Yes"/>
    <s v="Yes"/>
    <n v="2023"/>
    <s v="June"/>
    <s v="Q2"/>
  </r>
  <r>
    <s v="A0918"/>
    <s v="Second Chance Rescue"/>
    <x v="4"/>
    <x v="0"/>
    <s v="Domestic Shorthair"/>
    <x v="9"/>
    <s v="Male"/>
    <n v="2.2000000000000002"/>
    <n v="30.7"/>
    <x v="0"/>
    <s v="2024-03-19"/>
    <s v="Born in Shelter"/>
    <s v="2024-09-02"/>
    <s v="Adopted"/>
    <n v="167"/>
    <x v="3"/>
    <n v="1716"/>
    <n v="1000"/>
    <x v="1"/>
    <s v="Social Media"/>
    <s v="Yes"/>
    <s v="No"/>
    <s v="No"/>
    <n v="2024"/>
    <s v="March"/>
    <s v="Q1"/>
  </r>
  <r>
    <s v="A0919"/>
    <s v="Second Chance Rescue"/>
    <x v="0"/>
    <x v="3"/>
    <s v="Lionhead"/>
    <x v="5"/>
    <s v="Male"/>
    <n v="10.199999999999999"/>
    <n v="7.6"/>
    <x v="1"/>
    <s v="2022-10-06"/>
    <s v="Transfer from Another Shelter"/>
    <s v="2022-11-21"/>
    <s v="Adopted"/>
    <n v="46"/>
    <x v="5"/>
    <n v="2251"/>
    <n v="500"/>
    <x v="2"/>
    <s v="Event"/>
    <s v="Yes"/>
    <s v="No"/>
    <s v="No"/>
    <n v="2022"/>
    <s v="October"/>
    <s v="Q4"/>
  </r>
  <r>
    <s v="A0920"/>
    <s v="Hope Animal Shelter"/>
    <x v="3"/>
    <x v="1"/>
    <s v="Golden Retriever"/>
    <x v="9"/>
    <s v="Male"/>
    <n v="0.2"/>
    <n v="1.4"/>
    <x v="0"/>
    <s v="2023-07-20"/>
    <s v="Owner Surrender"/>
    <s v="2023-10-15"/>
    <s v="Adopted"/>
    <n v="87"/>
    <x v="3"/>
    <n v="3271"/>
    <n v="5000"/>
    <x v="1"/>
    <s v="Walk-in"/>
    <s v="Yes"/>
    <s v="No"/>
    <s v="Yes"/>
    <n v="2023"/>
    <s v="July"/>
    <s v="Q3"/>
  </r>
  <r>
    <s v="A0921"/>
    <s v="Paws &amp; Claws Rescue"/>
    <x v="7"/>
    <x v="1"/>
    <s v="Beagle"/>
    <x v="8"/>
    <s v="Female"/>
    <n v="3.8"/>
    <n v="23.7"/>
    <x v="0"/>
    <s v="2022-04-28"/>
    <s v="Stray"/>
    <s v="2022-10-07"/>
    <s v="Adopted"/>
    <n v="162"/>
    <x v="3"/>
    <n v="4226"/>
    <n v="0"/>
    <x v="3"/>
    <s v="Event"/>
    <s v="No"/>
    <s v="No"/>
    <s v="No"/>
    <n v="2022"/>
    <s v="April"/>
    <s v="Q2"/>
  </r>
  <r>
    <s v="A0922"/>
    <s v="Happy Paws Shelter"/>
    <x v="2"/>
    <x v="0"/>
    <s v="Ragdoll"/>
    <x v="2"/>
    <s v="Female"/>
    <n v="3.5"/>
    <n v="21.9"/>
    <x v="0"/>
    <s v="2022-06-06"/>
    <s v="Born in Shelter"/>
    <s v="2022-07-15"/>
    <s v="Adopted"/>
    <n v="39"/>
    <x v="4"/>
    <n v="4876"/>
    <n v="5000"/>
    <x v="2"/>
    <s v="Walk-in"/>
    <s v="Yes"/>
    <s v="No"/>
    <s v="Yes"/>
    <n v="2022"/>
    <s v="June"/>
    <s v="Q2"/>
  </r>
  <r>
    <s v="A0923"/>
    <s v="Hope Animal Shelter"/>
    <x v="7"/>
    <x v="1"/>
    <s v="Bulldog"/>
    <x v="5"/>
    <s v="Male"/>
    <n v="7.7"/>
    <n v="3.6"/>
    <x v="3"/>
    <s v="2023-05-19"/>
    <s v="Transfer from Another Shelter"/>
    <s v="2023-08-24"/>
    <s v="Euthanized"/>
    <n v="97"/>
    <x v="0"/>
    <n v="0"/>
    <n v="0"/>
    <x v="0"/>
    <s v="Event"/>
    <s v="Yes"/>
    <s v="Yes"/>
    <s v="No"/>
    <n v="2023"/>
    <s v="May"/>
    <s v="Q2"/>
  </r>
  <r>
    <s v="A0924"/>
    <s v="City Animal Shelter"/>
    <x v="6"/>
    <x v="1"/>
    <s v="Bulldog"/>
    <x v="0"/>
    <s v="Female"/>
    <n v="4.5"/>
    <n v="2.2000000000000002"/>
    <x v="4"/>
    <s v="2024-11-13"/>
    <s v="Stray"/>
    <s v="2024-12-31"/>
    <s v="Euthanized"/>
    <n v="59"/>
    <x v="0"/>
    <n v="0"/>
    <n v="0"/>
    <x v="0"/>
    <s v="Event"/>
    <s v="Yes"/>
    <s v="No"/>
    <s v="No"/>
    <n v="2024"/>
    <s v="November"/>
    <s v="Q4"/>
  </r>
  <r>
    <s v="A0925"/>
    <s v="Furever Home"/>
    <x v="2"/>
    <x v="1"/>
    <s v="Mixed Breed"/>
    <x v="9"/>
    <s v="Male"/>
    <n v="7.3"/>
    <n v="21.7"/>
    <x v="0"/>
    <s v="2023-03-02"/>
    <s v="Stray"/>
    <s v="2023-05-03"/>
    <s v="Still in Shelter"/>
    <n v="62"/>
    <x v="0"/>
    <n v="0"/>
    <n v="0"/>
    <x v="0"/>
    <s v="Walk-in"/>
    <s v="Yes"/>
    <s v="Yes"/>
    <s v="Yes"/>
    <n v="2023"/>
    <s v="March"/>
    <s v="Q1"/>
  </r>
  <r>
    <s v="A0926"/>
    <s v="Hope Animal Shelter"/>
    <x v="6"/>
    <x v="2"/>
    <s v="Canary"/>
    <x v="5"/>
    <s v="Female"/>
    <n v="8.8000000000000007"/>
    <n v="33.700000000000003"/>
    <x v="3"/>
    <s v="2024-12-18"/>
    <s v="Owner Surrender"/>
    <s v="2024-12-31"/>
    <s v="Adopted"/>
    <n v="32"/>
    <x v="3"/>
    <n v="1571"/>
    <n v="2000"/>
    <x v="3"/>
    <s v="Referral"/>
    <s v="Yes"/>
    <s v="No"/>
    <s v="Yes"/>
    <n v="2024"/>
    <s v="December"/>
    <s v="Q4"/>
  </r>
  <r>
    <s v="A0927"/>
    <s v="Hope Animal Shelter"/>
    <x v="6"/>
    <x v="2"/>
    <s v="Canary"/>
    <x v="5"/>
    <s v="Female"/>
    <n v="4.9000000000000004"/>
    <n v="23.9"/>
    <x v="3"/>
    <s v="2023-05-12"/>
    <s v="Abandoned"/>
    <s v="2023-06-21"/>
    <s v="Adopted"/>
    <n v="40"/>
    <x v="2"/>
    <n v="1079"/>
    <n v="2000"/>
    <x v="1"/>
    <s v="Website"/>
    <s v="No"/>
    <s v="No"/>
    <s v="No"/>
    <n v="2023"/>
    <s v="May"/>
    <s v="Q2"/>
  </r>
  <r>
    <s v="A0928"/>
    <s v="Happy Paws Shelter"/>
    <x v="1"/>
    <x v="3"/>
    <s v="Lionhead"/>
    <x v="8"/>
    <s v="Female"/>
    <n v="3.1"/>
    <n v="16.399999999999999"/>
    <x v="0"/>
    <s v="2024-06-01"/>
    <s v="Abandoned"/>
    <s v="2024-07-26"/>
    <s v="Adopted"/>
    <n v="55"/>
    <x v="1"/>
    <n v="1768"/>
    <n v="5000"/>
    <x v="4"/>
    <s v="Walk-in"/>
    <s v="Yes"/>
    <s v="No"/>
    <s v="No"/>
    <n v="2024"/>
    <s v="June"/>
    <s v="Q2"/>
  </r>
  <r>
    <s v="A0929"/>
    <s v="City Animal Shelter"/>
    <x v="1"/>
    <x v="3"/>
    <s v="Flemish Giant"/>
    <x v="8"/>
    <s v="Female"/>
    <n v="8.1"/>
    <n v="16.7"/>
    <x v="1"/>
    <s v="2023-01-18"/>
    <s v="Born in Shelter"/>
    <s v="2023-04-04"/>
    <s v="Returned to Owner"/>
    <n v="76"/>
    <x v="0"/>
    <n v="0"/>
    <n v="0"/>
    <x v="0"/>
    <s v="Event"/>
    <s v="Yes"/>
    <s v="Yes"/>
    <s v="Yes"/>
    <n v="2023"/>
    <s v="January"/>
    <s v="Q1"/>
  </r>
  <r>
    <s v="A0930"/>
    <s v="Paws &amp; Claws Rescue"/>
    <x v="3"/>
    <x v="3"/>
    <s v="Mini Rex"/>
    <x v="1"/>
    <s v="Male"/>
    <n v="8.6999999999999993"/>
    <n v="5.0999999999999996"/>
    <x v="0"/>
    <s v="2024-10-22"/>
    <s v="Confiscated"/>
    <s v="2024-12-31"/>
    <s v="Adopted"/>
    <n v="133"/>
    <x v="5"/>
    <n v="1628"/>
    <n v="0"/>
    <x v="4"/>
    <s v="Website"/>
    <s v="Yes"/>
    <s v="Yes"/>
    <s v="No"/>
    <n v="2024"/>
    <s v="October"/>
    <s v="Q4"/>
  </r>
  <r>
    <s v="A0931"/>
    <s v="Hope Animal Shelter"/>
    <x v="4"/>
    <x v="3"/>
    <s v="Mini Rex"/>
    <x v="3"/>
    <s v="Male"/>
    <n v="10.6"/>
    <n v="4.7"/>
    <x v="0"/>
    <s v="2024-12-13"/>
    <s v="Stray"/>
    <s v="2024-12-31"/>
    <s v="Euthanized"/>
    <n v="66"/>
    <x v="0"/>
    <n v="0"/>
    <n v="0"/>
    <x v="0"/>
    <s v="Event"/>
    <s v="No"/>
    <s v="No"/>
    <s v="No"/>
    <n v="2024"/>
    <s v="December"/>
    <s v="Q4"/>
  </r>
  <r>
    <s v="A0932"/>
    <s v="Second Chance Rescue"/>
    <x v="5"/>
    <x v="0"/>
    <s v="Maine Coon"/>
    <x v="6"/>
    <s v="Male"/>
    <n v="7.2"/>
    <n v="22.3"/>
    <x v="3"/>
    <s v="2022-04-09"/>
    <s v="Confiscated"/>
    <s v="2022-09-12"/>
    <s v="Returned to Owner"/>
    <n v="156"/>
    <x v="0"/>
    <n v="0"/>
    <n v="0"/>
    <x v="0"/>
    <s v="Social Media"/>
    <s v="Yes"/>
    <s v="Yes"/>
    <s v="No"/>
    <n v="2022"/>
    <s v="April"/>
    <s v="Q2"/>
  </r>
  <r>
    <s v="A0933"/>
    <s v="Paws &amp; Claws Rescue"/>
    <x v="1"/>
    <x v="1"/>
    <s v="German Shepherd"/>
    <x v="5"/>
    <s v="Male"/>
    <n v="11.9"/>
    <n v="3.8"/>
    <x v="0"/>
    <s v="2022-06-21"/>
    <s v="Owner Surrender"/>
    <s v="2022-11-25"/>
    <s v="Fostered"/>
    <n v="157"/>
    <x v="0"/>
    <n v="0"/>
    <n v="500"/>
    <x v="0"/>
    <s v="Website"/>
    <s v="Yes"/>
    <s v="Yes"/>
    <s v="Yes"/>
    <n v="2022"/>
    <s v="June"/>
    <s v="Q2"/>
  </r>
  <r>
    <s v="A0934"/>
    <s v="Furever Home"/>
    <x v="2"/>
    <x v="3"/>
    <s v="Dutch"/>
    <x v="7"/>
    <s v="Female"/>
    <n v="11.1"/>
    <n v="8.9"/>
    <x v="0"/>
    <s v="2022-08-18"/>
    <s v="Confiscated"/>
    <s v="2023-01-06"/>
    <s v="Adopted"/>
    <n v="141"/>
    <x v="1"/>
    <n v="2946"/>
    <n v="1000"/>
    <x v="1"/>
    <s v="Referral"/>
    <s v="Yes"/>
    <s v="No"/>
    <s v="No"/>
    <n v="2022"/>
    <s v="August"/>
    <s v="Q3"/>
  </r>
  <r>
    <s v="A0935"/>
    <s v="Paws &amp; Claws Rescue"/>
    <x v="7"/>
    <x v="2"/>
    <s v="Canary"/>
    <x v="4"/>
    <s v="Female"/>
    <n v="7.3"/>
    <n v="28.4"/>
    <x v="0"/>
    <s v="2023-12-10"/>
    <s v="Owner Surrender"/>
    <s v="2024-01-14"/>
    <s v="Adopted"/>
    <n v="35"/>
    <x v="4"/>
    <n v="812"/>
    <n v="0"/>
    <x v="2"/>
    <s v="Social Media"/>
    <s v="Yes"/>
    <s v="No"/>
    <s v="No"/>
    <n v="2023"/>
    <s v="December"/>
    <s v="Q4"/>
  </r>
  <r>
    <s v="A0936"/>
    <s v="City Animal Shelter"/>
    <x v="2"/>
    <x v="2"/>
    <s v="Cockatiel"/>
    <x v="2"/>
    <s v="Male"/>
    <n v="1"/>
    <n v="16.100000000000001"/>
    <x v="0"/>
    <s v="2022-12-16"/>
    <s v="Abandoned"/>
    <s v="2023-01-26"/>
    <s v="Returned to Owner"/>
    <n v="41"/>
    <x v="0"/>
    <n v="0"/>
    <n v="0"/>
    <x v="0"/>
    <s v="Walk-in"/>
    <s v="Yes"/>
    <s v="Yes"/>
    <s v="No"/>
    <n v="2022"/>
    <s v="December"/>
    <s v="Q4"/>
  </r>
  <r>
    <s v="A0937"/>
    <s v="Hope Animal Shelter"/>
    <x v="3"/>
    <x v="1"/>
    <s v="Beagle"/>
    <x v="5"/>
    <s v="Male"/>
    <n v="11.2"/>
    <n v="15.3"/>
    <x v="0"/>
    <s v="2022-02-13"/>
    <s v="Confiscated"/>
    <s v="2022-05-11"/>
    <s v="Returned to Owner"/>
    <n v="87"/>
    <x v="0"/>
    <n v="0"/>
    <n v="1000"/>
    <x v="0"/>
    <s v="Website"/>
    <s v="No"/>
    <s v="Yes"/>
    <s v="Yes"/>
    <n v="2022"/>
    <s v="February"/>
    <s v="Q1"/>
  </r>
  <r>
    <s v="A0938"/>
    <s v="Happy Paws Shelter"/>
    <x v="3"/>
    <x v="1"/>
    <s v="Labrador"/>
    <x v="2"/>
    <s v="Male"/>
    <n v="4.7"/>
    <n v="31"/>
    <x v="4"/>
    <s v="2024-12-01"/>
    <s v="Transfer from Another Shelter"/>
    <s v="2024-12-31"/>
    <s v="Euthanized"/>
    <n v="53"/>
    <x v="0"/>
    <n v="0"/>
    <n v="0"/>
    <x v="0"/>
    <s v="Walk-in"/>
    <s v="Yes"/>
    <s v="No"/>
    <s v="No"/>
    <n v="2024"/>
    <s v="December"/>
    <s v="Q4"/>
  </r>
  <r>
    <s v="A0939"/>
    <s v="Paws &amp; Claws Rescue"/>
    <x v="6"/>
    <x v="0"/>
    <s v="Siamese"/>
    <x v="2"/>
    <s v="Male"/>
    <n v="4.3"/>
    <n v="28.7"/>
    <x v="3"/>
    <s v="2023-03-24"/>
    <s v="Confiscated"/>
    <s v="2023-05-29"/>
    <s v="Euthanized"/>
    <n v="66"/>
    <x v="0"/>
    <n v="0"/>
    <n v="0"/>
    <x v="0"/>
    <s v="Referral"/>
    <s v="No"/>
    <s v="No"/>
    <s v="No"/>
    <n v="2023"/>
    <s v="March"/>
    <s v="Q1"/>
  </r>
  <r>
    <s v="A0940"/>
    <s v="Second Chance Rescue"/>
    <x v="7"/>
    <x v="1"/>
    <s v="Poodle"/>
    <x v="5"/>
    <s v="Male"/>
    <n v="9"/>
    <n v="1.9"/>
    <x v="2"/>
    <s v="2024-12-10"/>
    <s v="Born in Shelter"/>
    <s v="2024-12-31"/>
    <s v="Transferred"/>
    <n v="68"/>
    <x v="0"/>
    <n v="0"/>
    <n v="0"/>
    <x v="0"/>
    <s v="Referral"/>
    <s v="Yes"/>
    <s v="No"/>
    <s v="No"/>
    <n v="2024"/>
    <s v="December"/>
    <s v="Q4"/>
  </r>
  <r>
    <s v="A0941"/>
    <s v="City Animal Shelter"/>
    <x v="0"/>
    <x v="1"/>
    <s v="Husky"/>
    <x v="9"/>
    <s v="Male"/>
    <n v="0.6"/>
    <n v="8.6"/>
    <x v="4"/>
    <s v="2024-12-18"/>
    <s v="Abandoned"/>
    <s v="2024-12-31"/>
    <s v="Still in Shelter"/>
    <n v="35"/>
    <x v="0"/>
    <n v="0"/>
    <n v="0"/>
    <x v="0"/>
    <s v="Referral"/>
    <s v="Yes"/>
    <s v="No"/>
    <s v="Yes"/>
    <n v="2024"/>
    <s v="December"/>
    <s v="Q4"/>
  </r>
  <r>
    <s v="A0942"/>
    <s v="Hope Animal Shelter"/>
    <x v="5"/>
    <x v="0"/>
    <s v="Bengal"/>
    <x v="8"/>
    <s v="Male"/>
    <n v="6.9"/>
    <n v="32.799999999999997"/>
    <x v="3"/>
    <s v="2022-05-13"/>
    <s v="Born in Shelter"/>
    <s v="2022-07-27"/>
    <s v="Transferred"/>
    <n v="75"/>
    <x v="0"/>
    <n v="0"/>
    <n v="0"/>
    <x v="0"/>
    <s v="Event"/>
    <s v="No"/>
    <s v="No"/>
    <s v="No"/>
    <n v="2022"/>
    <s v="May"/>
    <s v="Q2"/>
  </r>
  <r>
    <s v="A0943"/>
    <s v="Paws &amp; Claws Rescue"/>
    <x v="1"/>
    <x v="0"/>
    <s v="Ragdoll"/>
    <x v="0"/>
    <s v="Male"/>
    <n v="1.8"/>
    <n v="27.5"/>
    <x v="0"/>
    <s v="2024-07-23"/>
    <s v="Abandoned"/>
    <s v="2024-08-15"/>
    <s v="Transferred"/>
    <n v="23"/>
    <x v="0"/>
    <n v="0"/>
    <n v="0"/>
    <x v="0"/>
    <s v="Event"/>
    <s v="Yes"/>
    <s v="No"/>
    <s v="Yes"/>
    <n v="2024"/>
    <s v="July"/>
    <s v="Q3"/>
  </r>
  <r>
    <s v="A0944"/>
    <s v="Second Chance Rescue"/>
    <x v="7"/>
    <x v="0"/>
    <s v="Bengal"/>
    <x v="3"/>
    <s v="Female"/>
    <n v="2.2999999999999998"/>
    <n v="27.4"/>
    <x v="3"/>
    <s v="2023-02-03"/>
    <s v="Born in Shelter"/>
    <s v="2023-03-20"/>
    <s v="Returned to Owner"/>
    <n v="45"/>
    <x v="0"/>
    <n v="0"/>
    <n v="0"/>
    <x v="0"/>
    <s v="Event"/>
    <s v="Yes"/>
    <s v="No"/>
    <s v="Yes"/>
    <n v="2023"/>
    <s v="February"/>
    <s v="Q1"/>
  </r>
  <r>
    <s v="A0945"/>
    <s v="Hope Animal Shelter"/>
    <x v="5"/>
    <x v="0"/>
    <s v="Domestic Shorthair"/>
    <x v="3"/>
    <s v="Male"/>
    <n v="5.0999999999999996"/>
    <n v="31.3"/>
    <x v="0"/>
    <s v="2022-11-14"/>
    <s v="Born in Shelter"/>
    <s v="2023-02-24"/>
    <s v="Adopted"/>
    <n v="102"/>
    <x v="2"/>
    <n v="3372"/>
    <n v="5000"/>
    <x v="3"/>
    <s v="Social Media"/>
    <s v="Yes"/>
    <s v="No"/>
    <s v="No"/>
    <n v="2022"/>
    <s v="November"/>
    <s v="Q4"/>
  </r>
  <r>
    <s v="A0946"/>
    <s v="Second Chance Rescue"/>
    <x v="1"/>
    <x v="0"/>
    <s v="Siamese"/>
    <x v="1"/>
    <s v="Male"/>
    <n v="10.7"/>
    <n v="4.5999999999999996"/>
    <x v="1"/>
    <s v="2022-02-05"/>
    <s v="Owner Surrender"/>
    <s v="2022-04-19"/>
    <s v="Adopted"/>
    <n v="73"/>
    <x v="4"/>
    <n v="2911"/>
    <n v="500"/>
    <x v="4"/>
    <s v="Event"/>
    <s v="Yes"/>
    <s v="No"/>
    <s v="No"/>
    <n v="2022"/>
    <s v="February"/>
    <s v="Q1"/>
  </r>
  <r>
    <s v="A0947"/>
    <s v="Second Chance Rescue"/>
    <x v="3"/>
    <x v="0"/>
    <s v="Ragdoll"/>
    <x v="5"/>
    <s v="Female"/>
    <n v="4.2"/>
    <n v="22.2"/>
    <x v="2"/>
    <s v="2024-02-23"/>
    <s v="Transfer from Another Shelter"/>
    <s v="2024-07-19"/>
    <s v="Still in Shelter"/>
    <n v="147"/>
    <x v="0"/>
    <n v="0"/>
    <n v="0"/>
    <x v="0"/>
    <s v="Walk-in"/>
    <s v="Yes"/>
    <s v="Yes"/>
    <s v="No"/>
    <n v="2024"/>
    <s v="February"/>
    <s v="Q1"/>
  </r>
  <r>
    <s v="A0948"/>
    <s v="Paws &amp; Claws Rescue"/>
    <x v="7"/>
    <x v="1"/>
    <s v="Beagle"/>
    <x v="5"/>
    <s v="Female"/>
    <n v="4.8"/>
    <n v="5.6"/>
    <x v="4"/>
    <s v="2022-09-04"/>
    <s v="Stray"/>
    <s v="2022-11-08"/>
    <s v="Returned to Owner"/>
    <n v="65"/>
    <x v="0"/>
    <n v="0"/>
    <n v="500"/>
    <x v="0"/>
    <s v="Walk-in"/>
    <s v="Yes"/>
    <s v="No"/>
    <s v="No"/>
    <n v="2022"/>
    <s v="September"/>
    <s v="Q3"/>
  </r>
  <r>
    <s v="A0949"/>
    <s v="Happy Paws Shelter"/>
    <x v="0"/>
    <x v="1"/>
    <s v="Labrador"/>
    <x v="2"/>
    <s v="Male"/>
    <n v="10.9"/>
    <n v="13.9"/>
    <x v="0"/>
    <s v="2024-11-18"/>
    <s v="Stray"/>
    <s v="2024-12-31"/>
    <s v="Still in Shelter"/>
    <n v="112"/>
    <x v="0"/>
    <n v="0"/>
    <n v="0"/>
    <x v="0"/>
    <s v="Website"/>
    <s v="Yes"/>
    <s v="Yes"/>
    <s v="Yes"/>
    <n v="2024"/>
    <s v="November"/>
    <s v="Q4"/>
  </r>
  <r>
    <s v="A0950"/>
    <s v="Happy Paws Shelter"/>
    <x v="2"/>
    <x v="0"/>
    <s v="Domestic Shorthair"/>
    <x v="9"/>
    <s v="Female"/>
    <n v="1.1000000000000001"/>
    <n v="22.2"/>
    <x v="3"/>
    <s v="2024-12-16"/>
    <s v="Owner Surrender"/>
    <s v="2024-12-31"/>
    <s v="Transferred"/>
    <n v="15"/>
    <x v="0"/>
    <n v="0"/>
    <n v="0"/>
    <x v="0"/>
    <s v="Event"/>
    <s v="Yes"/>
    <s v="No"/>
    <s v="No"/>
    <n v="2024"/>
    <s v="December"/>
    <s v="Q4"/>
  </r>
  <r>
    <s v="A0951"/>
    <s v="Furever Home"/>
    <x v="5"/>
    <x v="2"/>
    <s v="Cockatiel"/>
    <x v="0"/>
    <s v="Female"/>
    <n v="3.3"/>
    <n v="31.4"/>
    <x v="3"/>
    <s v="2022-04-14"/>
    <s v="Owner Surrender"/>
    <s v="2022-07-18"/>
    <s v="Returned to Owner"/>
    <n v="95"/>
    <x v="0"/>
    <n v="0"/>
    <n v="500"/>
    <x v="0"/>
    <s v="Walk-in"/>
    <s v="No"/>
    <s v="Yes"/>
    <s v="No"/>
    <n v="2022"/>
    <s v="April"/>
    <s v="Q2"/>
  </r>
  <r>
    <s v="A0952"/>
    <s v="Hope Animal Shelter"/>
    <x v="5"/>
    <x v="2"/>
    <s v="Cockatiel"/>
    <x v="2"/>
    <s v="Male"/>
    <n v="1.2"/>
    <n v="30.6"/>
    <x v="0"/>
    <s v="2022-10-08"/>
    <s v="Born in Shelter"/>
    <s v="2023-01-05"/>
    <s v="Adopted"/>
    <n v="89"/>
    <x v="3"/>
    <n v="2775"/>
    <n v="5000"/>
    <x v="1"/>
    <s v="Social Media"/>
    <s v="Yes"/>
    <s v="No"/>
    <s v="No"/>
    <n v="2022"/>
    <s v="October"/>
    <s v="Q4"/>
  </r>
  <r>
    <s v="A0953"/>
    <s v="City Animal Shelter"/>
    <x v="2"/>
    <x v="0"/>
    <s v="Siamese"/>
    <x v="3"/>
    <s v="Male"/>
    <n v="1.2"/>
    <n v="5.0999999999999996"/>
    <x v="0"/>
    <s v="2023-02-11"/>
    <s v="Transfer from Another Shelter"/>
    <s v="2023-04-04"/>
    <s v="Fostered"/>
    <n v="52"/>
    <x v="0"/>
    <n v="0"/>
    <n v="0"/>
    <x v="0"/>
    <s v="Walk-in"/>
    <s v="No"/>
    <s v="No"/>
    <s v="Yes"/>
    <n v="2023"/>
    <s v="February"/>
    <s v="Q1"/>
  </r>
  <r>
    <s v="A0954"/>
    <s v="Second Chance Rescue"/>
    <x v="1"/>
    <x v="1"/>
    <s v="Labrador"/>
    <x v="6"/>
    <s v="Female"/>
    <n v="2"/>
    <n v="13.6"/>
    <x v="0"/>
    <s v="2023-02-24"/>
    <s v="Transfer from Another Shelter"/>
    <s v="2023-04-08"/>
    <s v="Adopted"/>
    <n v="43"/>
    <x v="4"/>
    <n v="3643"/>
    <n v="1000"/>
    <x v="4"/>
    <s v="Referral"/>
    <s v="Yes"/>
    <s v="Yes"/>
    <s v="No"/>
    <n v="2023"/>
    <s v="February"/>
    <s v="Q1"/>
  </r>
  <r>
    <s v="A0955"/>
    <s v="Second Chance Rescue"/>
    <x v="2"/>
    <x v="1"/>
    <s v="German Shepherd"/>
    <x v="9"/>
    <s v="Male"/>
    <n v="7.2"/>
    <n v="25.5"/>
    <x v="2"/>
    <s v="2023-08-31"/>
    <s v="Transfer from Another Shelter"/>
    <s v="2023-11-18"/>
    <s v="Transferred"/>
    <n v="79"/>
    <x v="0"/>
    <n v="0"/>
    <n v="0"/>
    <x v="0"/>
    <s v="Social Media"/>
    <s v="Yes"/>
    <s v="Yes"/>
    <s v="No"/>
    <n v="2023"/>
    <s v="August"/>
    <s v="Q3"/>
  </r>
  <r>
    <s v="A0956"/>
    <s v="Furever Home"/>
    <x v="5"/>
    <x v="0"/>
    <s v="Bengal"/>
    <x v="5"/>
    <s v="Male"/>
    <n v="8.1999999999999993"/>
    <n v="29.2"/>
    <x v="0"/>
    <s v="2022-04-19"/>
    <s v="Transfer from Another Shelter"/>
    <s v="2022-06-19"/>
    <s v="Fostered"/>
    <n v="61"/>
    <x v="0"/>
    <n v="0"/>
    <n v="0"/>
    <x v="0"/>
    <s v="Referral"/>
    <s v="Yes"/>
    <s v="Yes"/>
    <s v="Yes"/>
    <n v="2022"/>
    <s v="April"/>
    <s v="Q2"/>
  </r>
  <r>
    <s v="A0957"/>
    <s v="Furever Home"/>
    <x v="6"/>
    <x v="1"/>
    <s v="Golden Retriever"/>
    <x v="0"/>
    <s v="Female"/>
    <n v="2.4"/>
    <n v="18.399999999999999"/>
    <x v="4"/>
    <s v="2022-07-08"/>
    <s v="Transfer from Another Shelter"/>
    <s v="2022-11-11"/>
    <s v="Adopted"/>
    <n v="126"/>
    <x v="3"/>
    <n v="3838"/>
    <n v="2000"/>
    <x v="2"/>
    <s v="Website"/>
    <s v="No"/>
    <s v="Yes"/>
    <s v="No"/>
    <n v="2022"/>
    <s v="July"/>
    <s v="Q3"/>
  </r>
  <r>
    <s v="A0958"/>
    <s v="Paws &amp; Claws Rescue"/>
    <x v="5"/>
    <x v="0"/>
    <s v="Ragdoll"/>
    <x v="9"/>
    <s v="Female"/>
    <n v="5"/>
    <n v="12.2"/>
    <x v="2"/>
    <s v="2024-11-21"/>
    <s v="Confiscated"/>
    <s v="2024-12-31"/>
    <s v="Euthanized"/>
    <n v="46"/>
    <x v="0"/>
    <n v="0"/>
    <n v="0"/>
    <x v="0"/>
    <s v="Event"/>
    <s v="No"/>
    <s v="No"/>
    <s v="Yes"/>
    <n v="2024"/>
    <s v="November"/>
    <s v="Q4"/>
  </r>
  <r>
    <s v="A0959"/>
    <s v="Second Chance Rescue"/>
    <x v="3"/>
    <x v="1"/>
    <s v="Husky"/>
    <x v="1"/>
    <s v="Male"/>
    <n v="10.8"/>
    <n v="18.399999999999999"/>
    <x v="3"/>
    <s v="2022-05-06"/>
    <s v="Born in Shelter"/>
    <s v="2022-08-18"/>
    <s v="Fostered"/>
    <n v="104"/>
    <x v="0"/>
    <n v="0"/>
    <n v="0"/>
    <x v="0"/>
    <s v="Website"/>
    <s v="Yes"/>
    <s v="No"/>
    <s v="No"/>
    <n v="2022"/>
    <s v="May"/>
    <s v="Q2"/>
  </r>
  <r>
    <s v="A0960"/>
    <s v="Happy Paws Shelter"/>
    <x v="2"/>
    <x v="1"/>
    <s v="Poodle"/>
    <x v="5"/>
    <s v="Female"/>
    <n v="8.1999999999999993"/>
    <n v="23.3"/>
    <x v="0"/>
    <s v="2023-12-17"/>
    <s v="Confiscated"/>
    <s v="2024-03-10"/>
    <s v="Adopted"/>
    <n v="84"/>
    <x v="1"/>
    <n v="3706"/>
    <n v="500"/>
    <x v="2"/>
    <s v="Event"/>
    <s v="Yes"/>
    <s v="No"/>
    <s v="Yes"/>
    <n v="2023"/>
    <s v="December"/>
    <s v="Q4"/>
  </r>
  <r>
    <s v="A0961"/>
    <s v="Paws &amp; Claws Rescue"/>
    <x v="3"/>
    <x v="0"/>
    <s v="Mixed Breed"/>
    <x v="5"/>
    <s v="Female"/>
    <n v="4.8"/>
    <n v="16.3"/>
    <x v="0"/>
    <s v="2022-12-23"/>
    <s v="Transfer from Another Shelter"/>
    <s v="2023-01-11"/>
    <s v="Adopted"/>
    <n v="19"/>
    <x v="3"/>
    <n v="2840"/>
    <n v="1000"/>
    <x v="4"/>
    <s v="Event"/>
    <s v="Yes"/>
    <s v="Yes"/>
    <s v="No"/>
    <n v="2022"/>
    <s v="December"/>
    <s v="Q4"/>
  </r>
  <r>
    <s v="A0962"/>
    <s v="Hope Animal Shelter"/>
    <x v="7"/>
    <x v="1"/>
    <s v="Beagle"/>
    <x v="5"/>
    <s v="Female"/>
    <n v="11.7"/>
    <n v="21.1"/>
    <x v="4"/>
    <s v="2022-03-11"/>
    <s v="Owner Surrender"/>
    <s v="2022-08-13"/>
    <s v="Returned to Owner"/>
    <n v="155"/>
    <x v="0"/>
    <n v="0"/>
    <n v="1000"/>
    <x v="0"/>
    <s v="Social Media"/>
    <s v="Yes"/>
    <s v="No"/>
    <s v="Yes"/>
    <n v="2022"/>
    <s v="March"/>
    <s v="Q1"/>
  </r>
  <r>
    <s v="A0963"/>
    <s v="City Animal Shelter"/>
    <x v="6"/>
    <x v="0"/>
    <s v="Bengal"/>
    <x v="6"/>
    <s v="Female"/>
    <n v="8.4"/>
    <n v="15.7"/>
    <x v="3"/>
    <s v="2023-12-12"/>
    <s v="Transfer from Another Shelter"/>
    <s v="2024-04-06"/>
    <s v="Fostered"/>
    <n v="116"/>
    <x v="0"/>
    <n v="0"/>
    <n v="0"/>
    <x v="0"/>
    <s v="Referral"/>
    <s v="Yes"/>
    <s v="No"/>
    <s v="No"/>
    <n v="2023"/>
    <s v="December"/>
    <s v="Q4"/>
  </r>
  <r>
    <s v="A0964"/>
    <s v="Furever Home"/>
    <x v="5"/>
    <x v="1"/>
    <s v="Husky"/>
    <x v="2"/>
    <s v="Male"/>
    <n v="7.6"/>
    <n v="34.1"/>
    <x v="2"/>
    <s v="2023-07-17"/>
    <s v="Born in Shelter"/>
    <s v="2023-10-23"/>
    <s v="Adopted"/>
    <n v="98"/>
    <x v="3"/>
    <n v="3520"/>
    <n v="2000"/>
    <x v="2"/>
    <s v="Event"/>
    <s v="No"/>
    <s v="No"/>
    <s v="No"/>
    <n v="2023"/>
    <s v="July"/>
    <s v="Q3"/>
  </r>
  <r>
    <s v="A0965"/>
    <s v="Hope Animal Shelter"/>
    <x v="2"/>
    <x v="1"/>
    <s v="Beagle"/>
    <x v="5"/>
    <s v="Male"/>
    <n v="11.9"/>
    <n v="1.8"/>
    <x v="3"/>
    <s v="2024-11-23"/>
    <s v="Confiscated"/>
    <s v="2024-12-31"/>
    <s v="Returned to Owner"/>
    <n v="148"/>
    <x v="0"/>
    <n v="0"/>
    <n v="1000"/>
    <x v="0"/>
    <s v="Website"/>
    <s v="Yes"/>
    <s v="No"/>
    <s v="Yes"/>
    <n v="2024"/>
    <s v="November"/>
    <s v="Q4"/>
  </r>
  <r>
    <s v="A0966"/>
    <s v="Furever Home"/>
    <x v="3"/>
    <x v="0"/>
    <s v="Persian"/>
    <x v="9"/>
    <s v="Male"/>
    <n v="8.8000000000000007"/>
    <n v="11.9"/>
    <x v="0"/>
    <s v="2024-01-09"/>
    <s v="Abandoned"/>
    <s v="2024-04-18"/>
    <s v="Still in Shelter"/>
    <n v="100"/>
    <x v="0"/>
    <n v="0"/>
    <n v="0"/>
    <x v="0"/>
    <s v="Event"/>
    <s v="Yes"/>
    <s v="No"/>
    <s v="No"/>
    <n v="2024"/>
    <s v="January"/>
    <s v="Q1"/>
  </r>
  <r>
    <s v="A0967"/>
    <s v="Second Chance Rescue"/>
    <x v="2"/>
    <x v="3"/>
    <s v="Flemish Giant"/>
    <x v="0"/>
    <s v="Female"/>
    <n v="5.6"/>
    <n v="14.1"/>
    <x v="0"/>
    <s v="2023-05-30"/>
    <s v="Confiscated"/>
    <s v="2023-07-16"/>
    <s v="Still in Shelter"/>
    <n v="47"/>
    <x v="0"/>
    <n v="0"/>
    <n v="0"/>
    <x v="0"/>
    <s v="Website"/>
    <s v="Yes"/>
    <s v="No"/>
    <s v="No"/>
    <n v="2023"/>
    <s v="May"/>
    <s v="Q2"/>
  </r>
  <r>
    <s v="A0968"/>
    <s v="Hope Animal Shelter"/>
    <x v="2"/>
    <x v="2"/>
    <s v="Cockatiel"/>
    <x v="3"/>
    <s v="Female"/>
    <n v="2.1"/>
    <n v="3.2"/>
    <x v="4"/>
    <s v="2023-02-03"/>
    <s v="Transfer from Another Shelter"/>
    <s v="2023-06-23"/>
    <s v="Adopted"/>
    <n v="140"/>
    <x v="2"/>
    <n v="1893"/>
    <n v="500"/>
    <x v="4"/>
    <s v="Referral"/>
    <s v="Yes"/>
    <s v="No"/>
    <s v="No"/>
    <n v="2023"/>
    <s v="February"/>
    <s v="Q1"/>
  </r>
  <r>
    <s v="A0969"/>
    <s v="City Animal Shelter"/>
    <x v="0"/>
    <x v="2"/>
    <s v="Finch"/>
    <x v="6"/>
    <s v="Male"/>
    <n v="6.4"/>
    <n v="27.5"/>
    <x v="1"/>
    <s v="2023-03-30"/>
    <s v="Confiscated"/>
    <s v="2023-09-24"/>
    <s v="Returned to Owner"/>
    <n v="178"/>
    <x v="0"/>
    <n v="0"/>
    <n v="500"/>
    <x v="0"/>
    <s v="Referral"/>
    <s v="Yes"/>
    <s v="No"/>
    <s v="Yes"/>
    <n v="2023"/>
    <s v="March"/>
    <s v="Q1"/>
  </r>
  <r>
    <s v="A0970"/>
    <s v="Furever Home"/>
    <x v="7"/>
    <x v="1"/>
    <s v="Bulldog"/>
    <x v="8"/>
    <s v="Male"/>
    <n v="0.3"/>
    <n v="11.6"/>
    <x v="0"/>
    <s v="2024-03-02"/>
    <s v="Owner Surrender"/>
    <s v="2024-07-24"/>
    <s v="Euthanized"/>
    <n v="144"/>
    <x v="0"/>
    <n v="0"/>
    <n v="0"/>
    <x v="0"/>
    <s v="Social Media"/>
    <s v="Yes"/>
    <s v="No"/>
    <s v="Yes"/>
    <n v="2024"/>
    <s v="March"/>
    <s v="Q1"/>
  </r>
  <r>
    <s v="A0971"/>
    <s v="Second Chance Rescue"/>
    <x v="7"/>
    <x v="0"/>
    <s v="Domestic Shorthair"/>
    <x v="9"/>
    <s v="Male"/>
    <n v="10"/>
    <n v="12"/>
    <x v="2"/>
    <s v="2024-09-18"/>
    <s v="Abandoned"/>
    <s v="2024-10-31"/>
    <s v="Adopted"/>
    <n v="43"/>
    <x v="2"/>
    <n v="2315"/>
    <n v="1000"/>
    <x v="2"/>
    <s v="Social Media"/>
    <s v="Yes"/>
    <s v="No"/>
    <s v="No"/>
    <n v="2024"/>
    <s v="September"/>
    <s v="Q3"/>
  </r>
  <r>
    <s v="A0972"/>
    <s v="Paws &amp; Claws Rescue"/>
    <x v="4"/>
    <x v="1"/>
    <s v="German Shepherd"/>
    <x v="2"/>
    <s v="Female"/>
    <n v="2.7"/>
    <n v="6.5"/>
    <x v="4"/>
    <s v="2023-11-01"/>
    <s v="Born in Shelter"/>
    <s v="2024-01-24"/>
    <s v="Returned to Owner"/>
    <n v="84"/>
    <x v="0"/>
    <n v="0"/>
    <n v="0"/>
    <x v="0"/>
    <s v="Walk-in"/>
    <s v="Yes"/>
    <s v="No"/>
    <s v="No"/>
    <n v="2023"/>
    <s v="November"/>
    <s v="Q4"/>
  </r>
  <r>
    <s v="A0973"/>
    <s v="Hope Animal Shelter"/>
    <x v="0"/>
    <x v="3"/>
    <s v="Holland Lop"/>
    <x v="8"/>
    <s v="Male"/>
    <n v="11.4"/>
    <n v="5.7"/>
    <x v="0"/>
    <s v="2022-02-02"/>
    <s v="Abandoned"/>
    <s v="2022-07-11"/>
    <s v="Transferred"/>
    <n v="159"/>
    <x v="0"/>
    <n v="0"/>
    <n v="0"/>
    <x v="0"/>
    <s v="Website"/>
    <s v="No"/>
    <s v="No"/>
    <s v="Yes"/>
    <n v="2022"/>
    <s v="February"/>
    <s v="Q1"/>
  </r>
  <r>
    <s v="A0974"/>
    <s v="Paws &amp; Claws Rescue"/>
    <x v="2"/>
    <x v="1"/>
    <s v="Husky"/>
    <x v="2"/>
    <s v="Male"/>
    <n v="3.3"/>
    <n v="5"/>
    <x v="0"/>
    <s v="2022-05-04"/>
    <s v="Abandoned"/>
    <s v="2022-10-06"/>
    <s v="Adopted"/>
    <n v="155"/>
    <x v="3"/>
    <n v="6915"/>
    <n v="0"/>
    <x v="2"/>
    <s v="Referral"/>
    <s v="Yes"/>
    <s v="No"/>
    <s v="No"/>
    <n v="2022"/>
    <s v="May"/>
    <s v="Q2"/>
  </r>
  <r>
    <s v="A0975"/>
    <s v="Hope Animal Shelter"/>
    <x v="7"/>
    <x v="1"/>
    <s v="Husky"/>
    <x v="5"/>
    <s v="Female"/>
    <n v="8.5"/>
    <n v="18.100000000000001"/>
    <x v="4"/>
    <s v="2023-07-27"/>
    <s v="Born in Shelter"/>
    <s v="2023-10-12"/>
    <s v="Adopted"/>
    <n v="77"/>
    <x v="4"/>
    <n v="4132"/>
    <n v="500"/>
    <x v="4"/>
    <s v="Social Media"/>
    <s v="Yes"/>
    <s v="Yes"/>
    <s v="No"/>
    <n v="2023"/>
    <s v="July"/>
    <s v="Q3"/>
  </r>
  <r>
    <s v="A0976"/>
    <s v="Happy Paws Shelter"/>
    <x v="3"/>
    <x v="0"/>
    <s v="Maine Coon"/>
    <x v="9"/>
    <s v="Male"/>
    <n v="11.8"/>
    <n v="1.4"/>
    <x v="2"/>
    <s v="2022-09-01"/>
    <s v="Abandoned"/>
    <s v="2022-09-23"/>
    <s v="Still in Shelter"/>
    <n v="22"/>
    <x v="0"/>
    <n v="0"/>
    <n v="0"/>
    <x v="0"/>
    <s v="Social Media"/>
    <s v="Yes"/>
    <s v="No"/>
    <s v="No"/>
    <n v="2022"/>
    <s v="September"/>
    <s v="Q3"/>
  </r>
  <r>
    <s v="A0977"/>
    <s v="Happy Paws Shelter"/>
    <x v="2"/>
    <x v="0"/>
    <s v="Siamese"/>
    <x v="1"/>
    <s v="Female"/>
    <n v="10.4"/>
    <n v="2.9"/>
    <x v="0"/>
    <s v="2022-09-26"/>
    <s v="Born in Shelter"/>
    <s v="2023-03-10"/>
    <s v="Adopted"/>
    <n v="165"/>
    <x v="2"/>
    <n v="4773"/>
    <n v="0"/>
    <x v="2"/>
    <s v="Event"/>
    <s v="Yes"/>
    <s v="No"/>
    <s v="Yes"/>
    <n v="2022"/>
    <s v="September"/>
    <s v="Q3"/>
  </r>
  <r>
    <s v="A0978"/>
    <s v="Hope Animal Shelter"/>
    <x v="5"/>
    <x v="0"/>
    <s v="Bengal"/>
    <x v="3"/>
    <s v="Female"/>
    <n v="4.7"/>
    <n v="21.9"/>
    <x v="2"/>
    <s v="2023-08-06"/>
    <s v="Confiscated"/>
    <s v="2023-12-18"/>
    <s v="Still in Shelter"/>
    <n v="134"/>
    <x v="0"/>
    <n v="0"/>
    <n v="0"/>
    <x v="0"/>
    <s v="Website"/>
    <s v="No"/>
    <s v="No"/>
    <s v="No"/>
    <n v="2023"/>
    <s v="August"/>
    <s v="Q3"/>
  </r>
  <r>
    <s v="A0979"/>
    <s v="Hope Animal Shelter"/>
    <x v="6"/>
    <x v="0"/>
    <s v="Mixed Breed"/>
    <x v="1"/>
    <s v="Female"/>
    <n v="10.199999999999999"/>
    <n v="34.5"/>
    <x v="0"/>
    <s v="2024-04-26"/>
    <s v="Stray"/>
    <s v="2024-06-04"/>
    <s v="Adopted"/>
    <n v="39"/>
    <x v="3"/>
    <n v="2031"/>
    <n v="0"/>
    <x v="3"/>
    <s v="Website"/>
    <s v="Yes"/>
    <s v="No"/>
    <s v="No"/>
    <n v="2024"/>
    <s v="April"/>
    <s v="Q2"/>
  </r>
  <r>
    <s v="A0980"/>
    <s v="Furever Home"/>
    <x v="3"/>
    <x v="1"/>
    <s v="German Shepherd"/>
    <x v="4"/>
    <s v="Male"/>
    <n v="3.7"/>
    <n v="3.7"/>
    <x v="3"/>
    <s v="2022-09-16"/>
    <s v="Abandoned"/>
    <s v="2022-11-07"/>
    <s v="Adopted"/>
    <n v="52"/>
    <x v="4"/>
    <n v="3058"/>
    <n v="2000"/>
    <x v="3"/>
    <s v="Website"/>
    <s v="No"/>
    <s v="No"/>
    <s v="Yes"/>
    <n v="2022"/>
    <s v="September"/>
    <s v="Q3"/>
  </r>
  <r>
    <s v="A0981"/>
    <s v="City Animal Shelter"/>
    <x v="5"/>
    <x v="0"/>
    <s v="Siamese"/>
    <x v="7"/>
    <s v="Female"/>
    <n v="2.2000000000000002"/>
    <n v="6.7"/>
    <x v="0"/>
    <s v="2024-08-23"/>
    <s v="Confiscated"/>
    <s v="2024-12-05"/>
    <s v="Adopted"/>
    <n v="104"/>
    <x v="1"/>
    <n v="4224"/>
    <n v="500"/>
    <x v="4"/>
    <s v="Referral"/>
    <s v="Yes"/>
    <s v="No"/>
    <s v="No"/>
    <n v="2024"/>
    <s v="August"/>
    <s v="Q3"/>
  </r>
  <r>
    <s v="A0982"/>
    <s v="Furever Home"/>
    <x v="1"/>
    <x v="1"/>
    <s v="Labrador"/>
    <x v="5"/>
    <s v="Male"/>
    <n v="9.3000000000000007"/>
    <n v="23.6"/>
    <x v="4"/>
    <s v="2023-10-29"/>
    <s v="Stray"/>
    <s v="2023-12-05"/>
    <s v="Adopted"/>
    <n v="37"/>
    <x v="4"/>
    <n v="7185"/>
    <n v="5000"/>
    <x v="1"/>
    <s v="Event"/>
    <s v="Yes"/>
    <s v="No"/>
    <s v="No"/>
    <n v="2023"/>
    <s v="October"/>
    <s v="Q4"/>
  </r>
  <r>
    <s v="A0983"/>
    <s v="Hope Animal Shelter"/>
    <x v="4"/>
    <x v="0"/>
    <s v="Mixed Breed"/>
    <x v="0"/>
    <s v="Male"/>
    <n v="2.7"/>
    <n v="15.8"/>
    <x v="2"/>
    <s v="2024-08-18"/>
    <s v="Stray"/>
    <s v="2024-10-02"/>
    <s v="Adopted"/>
    <n v="45"/>
    <x v="1"/>
    <n v="3372"/>
    <n v="2000"/>
    <x v="3"/>
    <s v="Website"/>
    <s v="Yes"/>
    <s v="No"/>
    <s v="No"/>
    <n v="2024"/>
    <s v="August"/>
    <s v="Q3"/>
  </r>
  <r>
    <s v="A0984"/>
    <s v="Hope Animal Shelter"/>
    <x v="7"/>
    <x v="2"/>
    <s v="Cockatiel"/>
    <x v="6"/>
    <s v="Male"/>
    <n v="7.9"/>
    <n v="20.7"/>
    <x v="0"/>
    <s v="2022-07-26"/>
    <s v="Owner Surrender"/>
    <s v="2022-11-13"/>
    <s v="Euthanized"/>
    <n v="110"/>
    <x v="0"/>
    <n v="0"/>
    <n v="0"/>
    <x v="0"/>
    <s v="Social Media"/>
    <s v="Yes"/>
    <s v="No"/>
    <s v="No"/>
    <n v="2022"/>
    <s v="July"/>
    <s v="Q3"/>
  </r>
  <r>
    <s v="A0985"/>
    <s v="Hope Animal Shelter"/>
    <x v="5"/>
    <x v="1"/>
    <s v="Poodle"/>
    <x v="7"/>
    <s v="Male"/>
    <n v="3.3"/>
    <n v="4.7"/>
    <x v="0"/>
    <s v="2023-10-18"/>
    <s v="Transfer from Another Shelter"/>
    <s v="2024-03-09"/>
    <s v="Transferred"/>
    <n v="143"/>
    <x v="0"/>
    <n v="0"/>
    <n v="0"/>
    <x v="0"/>
    <s v="Social Media"/>
    <s v="Yes"/>
    <s v="Yes"/>
    <s v="No"/>
    <n v="2023"/>
    <s v="October"/>
    <s v="Q4"/>
  </r>
  <r>
    <s v="A0986"/>
    <s v="Paws &amp; Claws Rescue"/>
    <x v="5"/>
    <x v="0"/>
    <s v="Ragdoll"/>
    <x v="9"/>
    <s v="Male"/>
    <n v="2.2000000000000002"/>
    <n v="15.9"/>
    <x v="1"/>
    <s v="2023-06-04"/>
    <s v="Owner Surrender"/>
    <s v="2023-10-30"/>
    <s v="Fostered"/>
    <n v="148"/>
    <x v="0"/>
    <n v="0"/>
    <n v="0"/>
    <x v="0"/>
    <s v="Referral"/>
    <s v="Yes"/>
    <s v="Yes"/>
    <s v="Yes"/>
    <n v="2023"/>
    <s v="June"/>
    <s v="Q2"/>
  </r>
  <r>
    <s v="A0987"/>
    <s v="City Animal Shelter"/>
    <x v="6"/>
    <x v="3"/>
    <s v="Mini Rex"/>
    <x v="0"/>
    <s v="Male"/>
    <n v="2.6"/>
    <n v="24.9"/>
    <x v="0"/>
    <s v="2024-08-17"/>
    <s v="Owner Surrender"/>
    <s v="2024-12-30"/>
    <s v="Fostered"/>
    <n v="135"/>
    <x v="0"/>
    <n v="0"/>
    <n v="0"/>
    <x v="0"/>
    <s v="Walk-in"/>
    <s v="Yes"/>
    <s v="Yes"/>
    <s v="No"/>
    <n v="2024"/>
    <s v="August"/>
    <s v="Q3"/>
  </r>
  <r>
    <s v="A0988"/>
    <s v="Hope Animal Shelter"/>
    <x v="5"/>
    <x v="2"/>
    <s v="Parakeet"/>
    <x v="5"/>
    <s v="Female"/>
    <n v="9.1999999999999993"/>
    <n v="17.399999999999999"/>
    <x v="0"/>
    <s v="2023-01-21"/>
    <s v="Confiscated"/>
    <s v="2023-03-07"/>
    <s v="Adopted"/>
    <n v="45"/>
    <x v="2"/>
    <n v="682"/>
    <n v="0"/>
    <x v="4"/>
    <s v="Event"/>
    <s v="Yes"/>
    <s v="Yes"/>
    <s v="No"/>
    <n v="2023"/>
    <s v="January"/>
    <s v="Q1"/>
  </r>
  <r>
    <s v="A0989"/>
    <s v="Furever Home"/>
    <x v="0"/>
    <x v="0"/>
    <s v="Domestic Shorthair"/>
    <x v="0"/>
    <s v="Female"/>
    <n v="3.4"/>
    <n v="10.9"/>
    <x v="0"/>
    <s v="2022-05-05"/>
    <s v="Transfer from Another Shelter"/>
    <s v="2022-05-16"/>
    <s v="Returned to Owner"/>
    <n v="11"/>
    <x v="0"/>
    <n v="0"/>
    <n v="0"/>
    <x v="0"/>
    <s v="Walk-in"/>
    <s v="Yes"/>
    <s v="Yes"/>
    <s v="No"/>
    <n v="2022"/>
    <s v="May"/>
    <s v="Q2"/>
  </r>
  <r>
    <s v="A0990"/>
    <s v="City Animal Shelter"/>
    <x v="4"/>
    <x v="1"/>
    <s v="German Shepherd"/>
    <x v="7"/>
    <s v="Female"/>
    <n v="4.2"/>
    <n v="1.3"/>
    <x v="4"/>
    <s v="2022-02-16"/>
    <s v="Confiscated"/>
    <s v="2022-03-27"/>
    <s v="Adopted"/>
    <n v="39"/>
    <x v="3"/>
    <n v="7807"/>
    <n v="2000"/>
    <x v="3"/>
    <s v="Walk-in"/>
    <s v="Yes"/>
    <s v="Yes"/>
    <s v="No"/>
    <n v="2022"/>
    <s v="February"/>
    <s v="Q1"/>
  </r>
  <r>
    <s v="A0991"/>
    <s v="Furever Home"/>
    <x v="3"/>
    <x v="1"/>
    <s v="German Shepherd"/>
    <x v="3"/>
    <s v="Male"/>
    <n v="7.3"/>
    <n v="4.5"/>
    <x v="0"/>
    <s v="2023-03-07"/>
    <s v="Owner Surrender"/>
    <s v="2023-08-30"/>
    <s v="Fostered"/>
    <n v="176"/>
    <x v="0"/>
    <n v="0"/>
    <n v="0"/>
    <x v="0"/>
    <s v="Website"/>
    <s v="Yes"/>
    <s v="No"/>
    <s v="No"/>
    <n v="2023"/>
    <s v="March"/>
    <s v="Q1"/>
  </r>
  <r>
    <s v="A0992"/>
    <s v="Happy Paws Shelter"/>
    <x v="1"/>
    <x v="2"/>
    <s v="Lovebird"/>
    <x v="2"/>
    <s v="Male"/>
    <n v="9"/>
    <n v="3.6"/>
    <x v="0"/>
    <s v="2022-10-13"/>
    <s v="Owner Surrender"/>
    <s v="2022-10-27"/>
    <s v="Adopted"/>
    <n v="14"/>
    <x v="5"/>
    <n v="2981"/>
    <n v="5000"/>
    <x v="1"/>
    <s v="Event"/>
    <s v="Yes"/>
    <s v="No"/>
    <s v="No"/>
    <n v="2022"/>
    <s v="October"/>
    <s v="Q4"/>
  </r>
  <r>
    <s v="A0993"/>
    <s v="Furever Home"/>
    <x v="1"/>
    <x v="3"/>
    <s v="Lionhead"/>
    <x v="1"/>
    <s v="Male"/>
    <n v="0.5"/>
    <n v="20.2"/>
    <x v="1"/>
    <s v="2024-06-15"/>
    <s v="Stray"/>
    <s v="2024-08-18"/>
    <s v="Returned to Owner"/>
    <n v="64"/>
    <x v="0"/>
    <n v="0"/>
    <n v="0"/>
    <x v="0"/>
    <s v="Website"/>
    <s v="No"/>
    <s v="No"/>
    <s v="No"/>
    <n v="2024"/>
    <s v="June"/>
    <s v="Q2"/>
  </r>
  <r>
    <s v="A0994"/>
    <s v="Hope Animal Shelter"/>
    <x v="1"/>
    <x v="0"/>
    <s v="Persian"/>
    <x v="5"/>
    <s v="Male"/>
    <n v="3.5"/>
    <n v="27.7"/>
    <x v="0"/>
    <s v="2022-11-03"/>
    <s v="Stray"/>
    <s v="2023-01-15"/>
    <s v="Adopted"/>
    <n v="73"/>
    <x v="3"/>
    <n v="1911"/>
    <n v="0"/>
    <x v="4"/>
    <s v="Website"/>
    <s v="Yes"/>
    <s v="No"/>
    <s v="No"/>
    <n v="2022"/>
    <s v="November"/>
    <s v="Q4"/>
  </r>
  <r>
    <s v="A0995"/>
    <s v="Furever Home"/>
    <x v="0"/>
    <x v="2"/>
    <s v="Cockatiel"/>
    <x v="9"/>
    <s v="Male"/>
    <n v="11.9"/>
    <n v="12.6"/>
    <x v="4"/>
    <s v="2022-02-05"/>
    <s v="Confiscated"/>
    <s v="2022-07-07"/>
    <s v="Returned to Owner"/>
    <n v="152"/>
    <x v="0"/>
    <n v="0"/>
    <n v="500"/>
    <x v="0"/>
    <s v="Event"/>
    <s v="Yes"/>
    <s v="Yes"/>
    <s v="No"/>
    <n v="2022"/>
    <s v="February"/>
    <s v="Q1"/>
  </r>
  <r>
    <s v="A0996"/>
    <s v="Paws &amp; Claws Rescue"/>
    <x v="2"/>
    <x v="1"/>
    <s v="German Shepherd"/>
    <x v="5"/>
    <s v="Female"/>
    <n v="2.4"/>
    <n v="32.799999999999997"/>
    <x v="3"/>
    <s v="2023-04-14"/>
    <s v="Abandoned"/>
    <s v="2023-08-09"/>
    <s v="Adopted"/>
    <n v="117"/>
    <x v="2"/>
    <n v="4162"/>
    <n v="0"/>
    <x v="3"/>
    <s v="Walk-in"/>
    <s v="Yes"/>
    <s v="Yes"/>
    <s v="No"/>
    <n v="2023"/>
    <s v="April"/>
    <s v="Q2"/>
  </r>
  <r>
    <s v="A0997"/>
    <s v="Furever Home"/>
    <x v="4"/>
    <x v="1"/>
    <s v="Golden Retriever"/>
    <x v="5"/>
    <s v="Female"/>
    <n v="1.6"/>
    <n v="21.7"/>
    <x v="0"/>
    <s v="2024-09-13"/>
    <s v="Stray"/>
    <s v="2024-09-27"/>
    <s v="Still in Shelter"/>
    <n v="14"/>
    <x v="0"/>
    <n v="0"/>
    <n v="0"/>
    <x v="0"/>
    <s v="Website"/>
    <s v="Yes"/>
    <s v="No"/>
    <s v="Yes"/>
    <n v="2024"/>
    <s v="September"/>
    <s v="Q3"/>
  </r>
  <r>
    <s v="A0998"/>
    <s v="Hope Animal Shelter"/>
    <x v="0"/>
    <x v="2"/>
    <s v="Lovebird"/>
    <x v="1"/>
    <s v="Female"/>
    <n v="1.6"/>
    <n v="10.199999999999999"/>
    <x v="0"/>
    <s v="2022-02-15"/>
    <s v="Owner Surrender"/>
    <s v="2022-06-01"/>
    <s v="Returned to Owner"/>
    <n v="106"/>
    <x v="0"/>
    <n v="0"/>
    <n v="0"/>
    <x v="0"/>
    <s v="Walk-in"/>
    <s v="Yes"/>
    <s v="No"/>
    <s v="No"/>
    <n v="2022"/>
    <s v="February"/>
    <s v="Q1"/>
  </r>
  <r>
    <s v="A0999"/>
    <s v="Hope Animal Shelter"/>
    <x v="5"/>
    <x v="1"/>
    <s v="Poodle"/>
    <x v="1"/>
    <s v="Female"/>
    <n v="11.5"/>
    <n v="20"/>
    <x v="2"/>
    <s v="2022-05-01"/>
    <s v="Abandoned"/>
    <s v="2022-06-02"/>
    <s v="Adopted"/>
    <n v="32"/>
    <x v="3"/>
    <n v="5975"/>
    <n v="500"/>
    <x v="1"/>
    <s v="Social Media"/>
    <s v="No"/>
    <s v="No"/>
    <s v="No"/>
    <n v="2022"/>
    <s v="May"/>
    <s v="Q2"/>
  </r>
  <r>
    <s v="A1000"/>
    <s v="City Animal Shelter"/>
    <x v="5"/>
    <x v="3"/>
    <s v="Flemish Giant"/>
    <x v="2"/>
    <s v="Male"/>
    <n v="5.8"/>
    <n v="4.2"/>
    <x v="0"/>
    <s v="2024-05-20"/>
    <s v="Stray"/>
    <s v="2024-07-04"/>
    <s v="Returned to Owner"/>
    <n v="45"/>
    <x v="0"/>
    <n v="0"/>
    <n v="500"/>
    <x v="0"/>
    <s v="Event"/>
    <s v="Yes"/>
    <s v="Yes"/>
    <s v="Yes"/>
    <n v="2024"/>
    <s v="May"/>
    <s v="Q2"/>
  </r>
  <r>
    <s v="A1001"/>
    <s v="Happy Paws Shelter"/>
    <x v="5"/>
    <x v="1"/>
    <s v="Poodle"/>
    <x v="3"/>
    <s v="Female"/>
    <n v="5.4"/>
    <n v="10"/>
    <x v="1"/>
    <s v="2022-02-24"/>
    <s v="Stray"/>
    <s v="2022-06-10"/>
    <s v="Returned to Owner"/>
    <n v="106"/>
    <x v="0"/>
    <n v="0"/>
    <n v="0"/>
    <x v="0"/>
    <s v="Event"/>
    <s v="Yes"/>
    <s v="No"/>
    <s v="Yes"/>
    <n v="2022"/>
    <s v="February"/>
    <s v="Q1"/>
  </r>
  <r>
    <s v="A1002"/>
    <s v="Second Chance Rescue"/>
    <x v="3"/>
    <x v="3"/>
    <s v="Dutch"/>
    <x v="2"/>
    <s v="Female"/>
    <n v="8.5"/>
    <n v="16.5"/>
    <x v="0"/>
    <s v="2022-08-08"/>
    <s v="Owner Surrender"/>
    <s v="2022-09-15"/>
    <s v="Adopted"/>
    <n v="38"/>
    <x v="5"/>
    <n v="943"/>
    <n v="0"/>
    <x v="2"/>
    <s v="Website"/>
    <s v="Yes"/>
    <s v="Yes"/>
    <s v="Yes"/>
    <n v="2022"/>
    <s v="August"/>
    <s v="Q3"/>
  </r>
  <r>
    <s v="A1003"/>
    <s v="Happy Paws Shelter"/>
    <x v="4"/>
    <x v="0"/>
    <s v="Bengal"/>
    <x v="9"/>
    <s v="Male"/>
    <n v="2.5"/>
    <n v="14.3"/>
    <x v="1"/>
    <s v="2024-12-22"/>
    <s v="Transfer from Another Shelter"/>
    <s v="2024-12-31"/>
    <s v="Fostered"/>
    <n v="71"/>
    <x v="0"/>
    <n v="0"/>
    <n v="500"/>
    <x v="0"/>
    <s v="Website"/>
    <s v="Yes"/>
    <s v="No"/>
    <s v="No"/>
    <n v="2024"/>
    <s v="December"/>
    <s v="Q4"/>
  </r>
  <r>
    <s v="A1004"/>
    <s v="Paws &amp; Claws Rescue"/>
    <x v="3"/>
    <x v="1"/>
    <s v="Mixed Breed"/>
    <x v="1"/>
    <s v="Male"/>
    <n v="6"/>
    <n v="7.6"/>
    <x v="4"/>
    <s v="2024-05-29"/>
    <s v="Owner Surrender"/>
    <s v="2024-10-29"/>
    <s v="Transferred"/>
    <n v="153"/>
    <x v="0"/>
    <n v="0"/>
    <n v="0"/>
    <x v="0"/>
    <s v="Event"/>
    <s v="No"/>
    <s v="Yes"/>
    <s v="No"/>
    <n v="2024"/>
    <s v="May"/>
    <s v="Q2"/>
  </r>
  <r>
    <s v="A1005"/>
    <s v="Paws &amp; Claws Rescue"/>
    <x v="0"/>
    <x v="0"/>
    <s v="Ragdoll"/>
    <x v="5"/>
    <s v="Male"/>
    <n v="9.9"/>
    <n v="3.2"/>
    <x v="2"/>
    <s v="2024-06-14"/>
    <s v="Owner Surrender"/>
    <s v="2024-09-23"/>
    <s v="Still in Shelter"/>
    <n v="101"/>
    <x v="0"/>
    <n v="0"/>
    <n v="0"/>
    <x v="0"/>
    <s v="Referral"/>
    <s v="Yes"/>
    <s v="Yes"/>
    <s v="Yes"/>
    <n v="2024"/>
    <s v="June"/>
    <s v="Q2"/>
  </r>
  <r>
    <s v="A1006"/>
    <s v="Happy Paws Shelter"/>
    <x v="0"/>
    <x v="0"/>
    <s v="Domestic Shorthair"/>
    <x v="9"/>
    <s v="Female"/>
    <n v="7.6"/>
    <n v="1.4"/>
    <x v="1"/>
    <s v="2024-04-29"/>
    <s v="Transfer from Another Shelter"/>
    <s v="2024-08-16"/>
    <s v="Adopted"/>
    <n v="109"/>
    <x v="4"/>
    <n v="2772"/>
    <n v="0"/>
    <x v="1"/>
    <s v="Social Media"/>
    <s v="Yes"/>
    <s v="Yes"/>
    <s v="No"/>
    <n v="2024"/>
    <s v="April"/>
    <s v="Q2"/>
  </r>
  <r>
    <s v="A1007"/>
    <s v="Hope Animal Shelter"/>
    <x v="0"/>
    <x v="1"/>
    <s v="Poodle"/>
    <x v="1"/>
    <s v="Male"/>
    <n v="6.9"/>
    <n v="11.4"/>
    <x v="0"/>
    <s v="2022-05-20"/>
    <s v="Abandoned"/>
    <s v="2022-10-12"/>
    <s v="Transferred"/>
    <n v="145"/>
    <x v="0"/>
    <n v="0"/>
    <n v="0"/>
    <x v="0"/>
    <s v="Event"/>
    <s v="Yes"/>
    <s v="No"/>
    <s v="No"/>
    <n v="2022"/>
    <s v="May"/>
    <s v="Q2"/>
  </r>
  <r>
    <s v="A1008"/>
    <s v="Paws &amp; Claws Rescue"/>
    <x v="5"/>
    <x v="1"/>
    <s v="Husky"/>
    <x v="4"/>
    <s v="Female"/>
    <n v="7.8"/>
    <n v="7.4"/>
    <x v="3"/>
    <s v="2024-03-19"/>
    <s v="Born in Shelter"/>
    <s v="2024-08-22"/>
    <s v="Fostered"/>
    <n v="156"/>
    <x v="0"/>
    <n v="0"/>
    <n v="0"/>
    <x v="0"/>
    <s v="Event"/>
    <s v="Yes"/>
    <s v="Yes"/>
    <s v="No"/>
    <n v="2024"/>
    <s v="March"/>
    <s v="Q1"/>
  </r>
  <r>
    <s v="A1009"/>
    <s v="Paws &amp; Claws Rescue"/>
    <x v="7"/>
    <x v="2"/>
    <s v="Parakeet"/>
    <x v="6"/>
    <s v="Male"/>
    <n v="11.4"/>
    <n v="17.2"/>
    <x v="2"/>
    <s v="2022-11-01"/>
    <s v="Owner Surrender"/>
    <s v="2022-12-27"/>
    <s v="Fostered"/>
    <n v="56"/>
    <x v="0"/>
    <n v="0"/>
    <n v="500"/>
    <x v="0"/>
    <s v="Social Media"/>
    <s v="No"/>
    <s v="Yes"/>
    <s v="No"/>
    <n v="2022"/>
    <s v="November"/>
    <s v="Q4"/>
  </r>
  <r>
    <s v="A1010"/>
    <s v="City Animal Shelter"/>
    <x v="6"/>
    <x v="0"/>
    <s v="Mixed Breed"/>
    <x v="2"/>
    <s v="Male"/>
    <n v="9.6999999999999993"/>
    <n v="2.8"/>
    <x v="0"/>
    <s v="2023-08-16"/>
    <s v="Owner Surrender"/>
    <s v="2024-01-13"/>
    <s v="Adopted"/>
    <n v="150"/>
    <x v="4"/>
    <n v="4000"/>
    <n v="500"/>
    <x v="1"/>
    <s v="Event"/>
    <s v="No"/>
    <s v="No"/>
    <s v="No"/>
    <n v="2023"/>
    <s v="August"/>
    <s v="Q3"/>
  </r>
  <r>
    <s v="A1011"/>
    <s v="Hope Animal Shelter"/>
    <x v="7"/>
    <x v="0"/>
    <s v="Persian"/>
    <x v="4"/>
    <s v="Male"/>
    <n v="7.9"/>
    <n v="22.3"/>
    <x v="0"/>
    <s v="2024-04-21"/>
    <s v="Abandoned"/>
    <s v="2024-05-06"/>
    <s v="Adopted"/>
    <n v="15"/>
    <x v="3"/>
    <n v="4206"/>
    <n v="2000"/>
    <x v="2"/>
    <s v="Website"/>
    <s v="Yes"/>
    <s v="Yes"/>
    <s v="No"/>
    <n v="2024"/>
    <s v="April"/>
    <s v="Q2"/>
  </r>
  <r>
    <s v="A1012"/>
    <s v="Second Chance Rescue"/>
    <x v="6"/>
    <x v="1"/>
    <s v="Bulldog"/>
    <x v="4"/>
    <s v="Female"/>
    <n v="10.7"/>
    <n v="11"/>
    <x v="0"/>
    <s v="2024-11-06"/>
    <s v="Born in Shelter"/>
    <s v="2024-11-14"/>
    <s v="Adopted"/>
    <n v="8"/>
    <x v="3"/>
    <n v="7477"/>
    <n v="500"/>
    <x v="3"/>
    <s v="Event"/>
    <s v="No"/>
    <s v="No"/>
    <s v="No"/>
    <n v="2024"/>
    <s v="November"/>
    <s v="Q4"/>
  </r>
  <r>
    <s v="A1013"/>
    <s v="Furever Home"/>
    <x v="0"/>
    <x v="1"/>
    <s v="Labrador"/>
    <x v="3"/>
    <s v="Male"/>
    <n v="0.7"/>
    <n v="16.899999999999999"/>
    <x v="3"/>
    <s v="2022-12-20"/>
    <s v="Born in Shelter"/>
    <s v="2023-01-05"/>
    <s v="Adopted"/>
    <n v="16"/>
    <x v="5"/>
    <n v="5125"/>
    <n v="1000"/>
    <x v="4"/>
    <s v="Event"/>
    <s v="No"/>
    <s v="Yes"/>
    <s v="Yes"/>
    <n v="2022"/>
    <s v="December"/>
    <s v="Q4"/>
  </r>
  <r>
    <s v="A1014"/>
    <s v="Furever Home"/>
    <x v="1"/>
    <x v="1"/>
    <s v="Husky"/>
    <x v="0"/>
    <s v="Female"/>
    <n v="6.8"/>
    <n v="17.899999999999999"/>
    <x v="4"/>
    <s v="2023-07-08"/>
    <s v="Confiscated"/>
    <s v="2023-08-20"/>
    <s v="Still in Shelter"/>
    <n v="43"/>
    <x v="0"/>
    <n v="0"/>
    <n v="0"/>
    <x v="0"/>
    <s v="Walk-in"/>
    <s v="Yes"/>
    <s v="Yes"/>
    <s v="No"/>
    <n v="2023"/>
    <s v="July"/>
    <s v="Q3"/>
  </r>
  <r>
    <s v="A1015"/>
    <s v="Furever Home"/>
    <x v="4"/>
    <x v="1"/>
    <s v="German Shepherd"/>
    <x v="3"/>
    <s v="Female"/>
    <n v="1.4"/>
    <n v="15.2"/>
    <x v="0"/>
    <s v="2023-06-14"/>
    <s v="Confiscated"/>
    <s v="2023-07-07"/>
    <s v="Still in Shelter"/>
    <n v="23"/>
    <x v="0"/>
    <n v="0"/>
    <n v="0"/>
    <x v="0"/>
    <s v="Event"/>
    <s v="Yes"/>
    <s v="No"/>
    <s v="No"/>
    <n v="2023"/>
    <s v="June"/>
    <s v="Q2"/>
  </r>
  <r>
    <s v="A1016"/>
    <s v="Paws &amp; Claws Rescue"/>
    <x v="1"/>
    <x v="3"/>
    <s v="Holland Lop"/>
    <x v="8"/>
    <s v="Female"/>
    <n v="2.2999999999999998"/>
    <n v="22.6"/>
    <x v="3"/>
    <s v="2024-07-31"/>
    <s v="Born in Shelter"/>
    <s v="2024-12-27"/>
    <s v="Still in Shelter"/>
    <n v="149"/>
    <x v="0"/>
    <n v="0"/>
    <n v="0"/>
    <x v="0"/>
    <s v="Website"/>
    <s v="Yes"/>
    <s v="No"/>
    <s v="No"/>
    <n v="2024"/>
    <s v="July"/>
    <s v="Q3"/>
  </r>
  <r>
    <s v="A1017"/>
    <s v="Second Chance Rescue"/>
    <x v="2"/>
    <x v="1"/>
    <s v="Bulldog"/>
    <x v="4"/>
    <s v="Female"/>
    <n v="1.9"/>
    <n v="15.8"/>
    <x v="0"/>
    <s v="2024-07-16"/>
    <s v="Owner Surrender"/>
    <s v="2024-11-24"/>
    <s v="Transferred"/>
    <n v="131"/>
    <x v="0"/>
    <n v="0"/>
    <n v="0"/>
    <x v="0"/>
    <s v="Social Media"/>
    <s v="Yes"/>
    <s v="No"/>
    <s v="No"/>
    <n v="2024"/>
    <s v="July"/>
    <s v="Q3"/>
  </r>
  <r>
    <s v="A1018"/>
    <s v="Paws &amp; Claws Rescue"/>
    <x v="4"/>
    <x v="0"/>
    <s v="Maine Coon"/>
    <x v="0"/>
    <s v="Male"/>
    <n v="6.5"/>
    <n v="18.899999999999999"/>
    <x v="3"/>
    <s v="2022-09-14"/>
    <s v="Owner Surrender"/>
    <s v="2022-09-15"/>
    <s v="Returned to Owner"/>
    <n v="1"/>
    <x v="0"/>
    <n v="0"/>
    <n v="500"/>
    <x v="0"/>
    <s v="Social Media"/>
    <s v="No"/>
    <s v="No"/>
    <s v="No"/>
    <n v="2022"/>
    <s v="September"/>
    <s v="Q3"/>
  </r>
  <r>
    <s v="A1019"/>
    <s v="Second Chance Rescue"/>
    <x v="0"/>
    <x v="0"/>
    <s v="Domestic Shorthair"/>
    <x v="0"/>
    <s v="Male"/>
    <n v="0.9"/>
    <n v="10.8"/>
    <x v="0"/>
    <s v="2022-05-20"/>
    <s v="Confiscated"/>
    <s v="2022-09-06"/>
    <s v="Adopted"/>
    <n v="109"/>
    <x v="3"/>
    <n v="4052"/>
    <n v="5000"/>
    <x v="3"/>
    <s v="Website"/>
    <s v="No"/>
    <s v="Yes"/>
    <s v="No"/>
    <n v="2022"/>
    <s v="May"/>
    <s v="Q2"/>
  </r>
  <r>
    <s v="A1020"/>
    <s v="City Animal Shelter"/>
    <x v="2"/>
    <x v="1"/>
    <s v="Husky"/>
    <x v="5"/>
    <s v="Male"/>
    <n v="2.2999999999999998"/>
    <n v="9.1"/>
    <x v="3"/>
    <s v="2024-04-14"/>
    <s v="Abandoned"/>
    <s v="2024-04-15"/>
    <s v="Euthanized"/>
    <n v="1"/>
    <x v="0"/>
    <n v="0"/>
    <n v="0"/>
    <x v="0"/>
    <s v="Walk-in"/>
    <s v="Yes"/>
    <s v="No"/>
    <s v="No"/>
    <n v="2024"/>
    <s v="April"/>
    <s v="Q2"/>
  </r>
  <r>
    <s v="A1021"/>
    <s v="Second Chance Rescue"/>
    <x v="7"/>
    <x v="0"/>
    <s v="Domestic Shorthair"/>
    <x v="8"/>
    <s v="Male"/>
    <n v="5.2"/>
    <n v="22.9"/>
    <x v="2"/>
    <s v="2022-10-24"/>
    <s v="Born in Shelter"/>
    <s v="2022-12-31"/>
    <s v="Adopted"/>
    <n v="68"/>
    <x v="4"/>
    <n v="4024"/>
    <n v="0"/>
    <x v="2"/>
    <s v="Walk-in"/>
    <s v="No"/>
    <s v="No"/>
    <s v="No"/>
    <n v="2022"/>
    <s v="October"/>
    <s v="Q4"/>
  </r>
  <r>
    <s v="A1022"/>
    <s v="Paws &amp; Claws Rescue"/>
    <x v="3"/>
    <x v="0"/>
    <s v="Ragdoll"/>
    <x v="5"/>
    <s v="Male"/>
    <n v="7.2"/>
    <n v="20.3"/>
    <x v="2"/>
    <s v="2024-11-22"/>
    <s v="Transfer from Another Shelter"/>
    <s v="2024-12-25"/>
    <s v="Transferred"/>
    <n v="33"/>
    <x v="0"/>
    <n v="0"/>
    <n v="0"/>
    <x v="0"/>
    <s v="Referral"/>
    <s v="Yes"/>
    <s v="Yes"/>
    <s v="No"/>
    <n v="2024"/>
    <s v="November"/>
    <s v="Q4"/>
  </r>
  <r>
    <s v="A1023"/>
    <s v="Furever Home"/>
    <x v="1"/>
    <x v="0"/>
    <s v="Domestic Shorthair"/>
    <x v="8"/>
    <s v="Female"/>
    <n v="10.1"/>
    <n v="22"/>
    <x v="1"/>
    <s v="2023-07-09"/>
    <s v="Confiscated"/>
    <s v="2023-10-23"/>
    <s v="Adopted"/>
    <n v="106"/>
    <x v="3"/>
    <n v="4724"/>
    <n v="0"/>
    <x v="3"/>
    <s v="Event"/>
    <s v="No"/>
    <s v="No"/>
    <s v="No"/>
    <n v="2023"/>
    <s v="July"/>
    <s v="Q3"/>
  </r>
  <r>
    <s v="A1024"/>
    <s v="City Animal Shelter"/>
    <x v="2"/>
    <x v="0"/>
    <s v="Maine Coon"/>
    <x v="0"/>
    <s v="Female"/>
    <n v="8.3000000000000007"/>
    <n v="30.4"/>
    <x v="0"/>
    <s v="2024-02-20"/>
    <s v="Confiscated"/>
    <s v="2024-07-15"/>
    <s v="Transferred"/>
    <n v="146"/>
    <x v="0"/>
    <n v="0"/>
    <n v="0"/>
    <x v="0"/>
    <s v="Walk-in"/>
    <s v="Yes"/>
    <s v="Yes"/>
    <s v="No"/>
    <n v="2024"/>
    <s v="February"/>
    <s v="Q1"/>
  </r>
  <r>
    <s v="A1025"/>
    <s v="Hope Animal Shelter"/>
    <x v="3"/>
    <x v="1"/>
    <s v="Golden Retriever"/>
    <x v="1"/>
    <s v="Male"/>
    <n v="3"/>
    <n v="32.5"/>
    <x v="0"/>
    <s v="2022-04-30"/>
    <s v="Transfer from Another Shelter"/>
    <s v="2022-10-23"/>
    <s v="Fostered"/>
    <n v="176"/>
    <x v="0"/>
    <n v="0"/>
    <n v="500"/>
    <x v="0"/>
    <s v="Walk-in"/>
    <s v="No"/>
    <s v="No"/>
    <s v="Yes"/>
    <n v="2022"/>
    <s v="April"/>
    <s v="Q2"/>
  </r>
  <r>
    <s v="A1026"/>
    <s v="Hope Animal Shelter"/>
    <x v="6"/>
    <x v="1"/>
    <s v="Mixed Breed"/>
    <x v="4"/>
    <s v="Female"/>
    <n v="3.1"/>
    <n v="34.200000000000003"/>
    <x v="0"/>
    <s v="2023-03-01"/>
    <s v="Abandoned"/>
    <s v="2023-06-17"/>
    <s v="Euthanized"/>
    <n v="108"/>
    <x v="0"/>
    <n v="0"/>
    <n v="0"/>
    <x v="0"/>
    <s v="Event"/>
    <s v="Yes"/>
    <s v="No"/>
    <s v="No"/>
    <n v="2023"/>
    <s v="March"/>
    <s v="Q1"/>
  </r>
  <r>
    <s v="A1027"/>
    <s v="Paws &amp; Claws Rescue"/>
    <x v="7"/>
    <x v="1"/>
    <s v="Labrador"/>
    <x v="3"/>
    <s v="Male"/>
    <n v="9.6999999999999993"/>
    <n v="10.8"/>
    <x v="0"/>
    <s v="2022-02-20"/>
    <s v="Transfer from Another Shelter"/>
    <s v="2022-07-23"/>
    <s v="Transferred"/>
    <n v="153"/>
    <x v="0"/>
    <n v="0"/>
    <n v="0"/>
    <x v="0"/>
    <s v="Referral"/>
    <s v="Yes"/>
    <s v="No"/>
    <s v="No"/>
    <n v="2022"/>
    <s v="February"/>
    <s v="Q1"/>
  </r>
  <r>
    <s v="A1028"/>
    <s v="Happy Paws Shelter"/>
    <x v="7"/>
    <x v="2"/>
    <s v="Lovebird"/>
    <x v="1"/>
    <s v="Female"/>
    <n v="9.5"/>
    <n v="9.5"/>
    <x v="2"/>
    <s v="2024-04-20"/>
    <s v="Abandoned"/>
    <s v="2024-05-03"/>
    <s v="Euthanized"/>
    <n v="13"/>
    <x v="0"/>
    <n v="0"/>
    <n v="0"/>
    <x v="0"/>
    <s v="Referral"/>
    <s v="No"/>
    <s v="No"/>
    <s v="Yes"/>
    <n v="2024"/>
    <s v="April"/>
    <s v="Q2"/>
  </r>
  <r>
    <s v="A1029"/>
    <s v="Happy Paws Shelter"/>
    <x v="1"/>
    <x v="1"/>
    <s v="Husky"/>
    <x v="3"/>
    <s v="Male"/>
    <n v="9.4"/>
    <n v="28.3"/>
    <x v="2"/>
    <s v="2023-09-24"/>
    <s v="Abandoned"/>
    <s v="2023-12-15"/>
    <s v="Returned to Owner"/>
    <n v="82"/>
    <x v="0"/>
    <n v="0"/>
    <n v="0"/>
    <x v="0"/>
    <s v="Social Media"/>
    <s v="No"/>
    <s v="No"/>
    <s v="No"/>
    <n v="2023"/>
    <s v="September"/>
    <s v="Q3"/>
  </r>
  <r>
    <s v="A1030"/>
    <s v="City Animal Shelter"/>
    <x v="2"/>
    <x v="1"/>
    <s v="Mixed Breed"/>
    <x v="6"/>
    <s v="Male"/>
    <n v="0.7"/>
    <n v="14.2"/>
    <x v="0"/>
    <s v="2023-11-21"/>
    <s v="Confiscated"/>
    <s v="2024-05-19"/>
    <s v="Transferred"/>
    <n v="180"/>
    <x v="0"/>
    <n v="0"/>
    <n v="0"/>
    <x v="0"/>
    <s v="Referral"/>
    <s v="Yes"/>
    <s v="Yes"/>
    <s v="Yes"/>
    <n v="2023"/>
    <s v="November"/>
    <s v="Q4"/>
  </r>
  <r>
    <s v="A1031"/>
    <s v="Hope Animal Shelter"/>
    <x v="5"/>
    <x v="1"/>
    <s v="Golden Retriever"/>
    <x v="8"/>
    <s v="Female"/>
    <n v="11.6"/>
    <n v="17"/>
    <x v="0"/>
    <s v="2023-08-26"/>
    <s v="Abandoned"/>
    <s v="2023-10-12"/>
    <s v="Fostered"/>
    <n v="47"/>
    <x v="0"/>
    <n v="0"/>
    <n v="1000"/>
    <x v="0"/>
    <s v="Event"/>
    <s v="Yes"/>
    <s v="No"/>
    <s v="Yes"/>
    <n v="2023"/>
    <s v="August"/>
    <s v="Q3"/>
  </r>
  <r>
    <s v="A1032"/>
    <s v="City Animal Shelter"/>
    <x v="1"/>
    <x v="0"/>
    <s v="Persian"/>
    <x v="9"/>
    <s v="Male"/>
    <n v="10.9"/>
    <n v="29.9"/>
    <x v="2"/>
    <s v="2022-12-29"/>
    <s v="Born in Shelter"/>
    <s v="2023-03-11"/>
    <s v="Adopted"/>
    <n v="72"/>
    <x v="5"/>
    <n v="1878"/>
    <n v="0"/>
    <x v="1"/>
    <s v="Referral"/>
    <s v="No"/>
    <s v="No"/>
    <s v="No"/>
    <n v="2022"/>
    <s v="December"/>
    <s v="Q4"/>
  </r>
  <r>
    <s v="A1033"/>
    <s v="Happy Paws Shelter"/>
    <x v="7"/>
    <x v="0"/>
    <s v="Siamese"/>
    <x v="7"/>
    <s v="Male"/>
    <n v="10.6"/>
    <n v="12.9"/>
    <x v="4"/>
    <s v="2023-02-06"/>
    <s v="Transfer from Another Shelter"/>
    <s v="2023-02-27"/>
    <s v="Adopted"/>
    <n v="21"/>
    <x v="1"/>
    <n v="3866"/>
    <n v="1000"/>
    <x v="3"/>
    <s v="Referral"/>
    <s v="Yes"/>
    <s v="Yes"/>
    <s v="Yes"/>
    <n v="2023"/>
    <s v="February"/>
    <s v="Q1"/>
  </r>
  <r>
    <s v="A1034"/>
    <s v="Furever Home"/>
    <x v="2"/>
    <x v="1"/>
    <s v="Labrador"/>
    <x v="6"/>
    <s v="Female"/>
    <n v="2.8"/>
    <n v="26.7"/>
    <x v="0"/>
    <s v="2023-02-22"/>
    <s v="Confiscated"/>
    <s v="2023-07-08"/>
    <s v="Transferred"/>
    <n v="136"/>
    <x v="0"/>
    <n v="0"/>
    <n v="0"/>
    <x v="0"/>
    <s v="Event"/>
    <s v="No"/>
    <s v="No"/>
    <s v="Yes"/>
    <n v="2023"/>
    <s v="February"/>
    <s v="Q1"/>
  </r>
  <r>
    <s v="A1035"/>
    <s v="Second Chance Rescue"/>
    <x v="0"/>
    <x v="1"/>
    <s v="Beagle"/>
    <x v="5"/>
    <s v="Male"/>
    <n v="11.4"/>
    <n v="6.5"/>
    <x v="1"/>
    <s v="2022-12-12"/>
    <s v="Abandoned"/>
    <s v="2023-03-17"/>
    <s v="Transferred"/>
    <n v="95"/>
    <x v="0"/>
    <n v="0"/>
    <n v="0"/>
    <x v="0"/>
    <s v="Social Media"/>
    <s v="Yes"/>
    <s v="No"/>
    <s v="Yes"/>
    <n v="2022"/>
    <s v="December"/>
    <s v="Q4"/>
  </r>
  <r>
    <s v="A1036"/>
    <s v="Hope Animal Shelter"/>
    <x v="6"/>
    <x v="1"/>
    <s v="Mixed Breed"/>
    <x v="6"/>
    <s v="Male"/>
    <n v="3.5"/>
    <n v="16.600000000000001"/>
    <x v="0"/>
    <s v="2023-06-06"/>
    <s v="Owner Surrender"/>
    <s v="2023-08-24"/>
    <s v="Euthanized"/>
    <n v="79"/>
    <x v="0"/>
    <n v="0"/>
    <n v="0"/>
    <x v="0"/>
    <s v="Website"/>
    <s v="Yes"/>
    <s v="No"/>
    <s v="No"/>
    <n v="2023"/>
    <s v="June"/>
    <s v="Q2"/>
  </r>
  <r>
    <s v="A1037"/>
    <s v="Second Chance Rescue"/>
    <x v="4"/>
    <x v="0"/>
    <s v="Ragdoll"/>
    <x v="8"/>
    <s v="Male"/>
    <n v="10.8"/>
    <n v="14.2"/>
    <x v="3"/>
    <s v="2024-10-03"/>
    <s v="Owner Surrender"/>
    <s v="2024-12-31"/>
    <s v="Adopted"/>
    <n v="175"/>
    <x v="5"/>
    <n v="3346"/>
    <n v="500"/>
    <x v="3"/>
    <s v="Event"/>
    <s v="No"/>
    <s v="No"/>
    <s v="No"/>
    <n v="2024"/>
    <s v="October"/>
    <s v="Q4"/>
  </r>
  <r>
    <s v="A1038"/>
    <s v="Second Chance Rescue"/>
    <x v="3"/>
    <x v="0"/>
    <s v="Domestic Shorthair"/>
    <x v="8"/>
    <s v="Female"/>
    <n v="0.9"/>
    <n v="27.5"/>
    <x v="4"/>
    <s v="2023-12-26"/>
    <s v="Confiscated"/>
    <s v="2023-12-30"/>
    <s v="Adopted"/>
    <n v="4"/>
    <x v="2"/>
    <n v="4781"/>
    <n v="5000"/>
    <x v="1"/>
    <s v="Referral"/>
    <s v="Yes"/>
    <s v="No"/>
    <s v="No"/>
    <n v="2023"/>
    <s v="December"/>
    <s v="Q4"/>
  </r>
  <r>
    <s v="A1039"/>
    <s v="Hope Animal Shelter"/>
    <x v="0"/>
    <x v="0"/>
    <s v="Maine Coon"/>
    <x v="5"/>
    <s v="Male"/>
    <n v="0.2"/>
    <n v="30.1"/>
    <x v="4"/>
    <s v="2023-04-15"/>
    <s v="Transfer from Another Shelter"/>
    <s v="2023-07-09"/>
    <s v="Returned to Owner"/>
    <n v="85"/>
    <x v="0"/>
    <n v="0"/>
    <n v="500"/>
    <x v="0"/>
    <s v="Referral"/>
    <s v="No"/>
    <s v="No"/>
    <s v="No"/>
    <n v="2023"/>
    <s v="April"/>
    <s v="Q2"/>
  </r>
  <r>
    <s v="A1040"/>
    <s v="City Animal Shelter"/>
    <x v="7"/>
    <x v="0"/>
    <s v="Persian"/>
    <x v="8"/>
    <s v="Female"/>
    <n v="3.1"/>
    <n v="23.6"/>
    <x v="0"/>
    <s v="2024-05-20"/>
    <s v="Born in Shelter"/>
    <s v="2024-08-17"/>
    <s v="Adopted"/>
    <n v="89"/>
    <x v="2"/>
    <n v="2642"/>
    <n v="0"/>
    <x v="4"/>
    <s v="Walk-in"/>
    <s v="No"/>
    <s v="No"/>
    <s v="No"/>
    <n v="2024"/>
    <s v="May"/>
    <s v="Q2"/>
  </r>
  <r>
    <s v="A1041"/>
    <s v="Second Chance Rescue"/>
    <x v="5"/>
    <x v="1"/>
    <s v="German Shepherd"/>
    <x v="5"/>
    <s v="Female"/>
    <n v="3"/>
    <n v="21.1"/>
    <x v="2"/>
    <s v="2022-02-01"/>
    <s v="Born in Shelter"/>
    <s v="2022-07-16"/>
    <s v="Euthanized"/>
    <n v="165"/>
    <x v="0"/>
    <n v="0"/>
    <n v="0"/>
    <x v="0"/>
    <s v="Referral"/>
    <s v="No"/>
    <s v="No"/>
    <s v="No"/>
    <n v="2022"/>
    <s v="February"/>
    <s v="Q1"/>
  </r>
  <r>
    <s v="A1042"/>
    <s v="Furever Home"/>
    <x v="6"/>
    <x v="1"/>
    <s v="Labrador"/>
    <x v="8"/>
    <s v="Female"/>
    <n v="10.1"/>
    <n v="4.0999999999999996"/>
    <x v="0"/>
    <s v="2023-09-19"/>
    <s v="Stray"/>
    <s v="2023-12-09"/>
    <s v="Fostered"/>
    <n v="81"/>
    <x v="0"/>
    <n v="0"/>
    <n v="0"/>
    <x v="0"/>
    <s v="Walk-in"/>
    <s v="No"/>
    <s v="No"/>
    <s v="No"/>
    <n v="2023"/>
    <s v="September"/>
    <s v="Q3"/>
  </r>
  <r>
    <s v="A1043"/>
    <s v="Paws &amp; Claws Rescue"/>
    <x v="0"/>
    <x v="1"/>
    <s v="Bulldog"/>
    <x v="3"/>
    <s v="Male"/>
    <n v="2"/>
    <n v="8.6"/>
    <x v="4"/>
    <s v="2022-09-28"/>
    <s v="Confiscated"/>
    <s v="2022-11-20"/>
    <s v="Returned to Owner"/>
    <n v="53"/>
    <x v="0"/>
    <n v="0"/>
    <n v="1000"/>
    <x v="0"/>
    <s v="Event"/>
    <s v="No"/>
    <s v="Yes"/>
    <s v="No"/>
    <n v="2022"/>
    <s v="September"/>
    <s v="Q3"/>
  </r>
  <r>
    <s v="A1044"/>
    <s v="Happy Paws Shelter"/>
    <x v="3"/>
    <x v="1"/>
    <s v="Poodle"/>
    <x v="4"/>
    <s v="Male"/>
    <n v="11.1"/>
    <n v="6.3"/>
    <x v="0"/>
    <s v="2022-12-20"/>
    <s v="Owner Surrender"/>
    <s v="2023-05-02"/>
    <s v="Adopted"/>
    <n v="133"/>
    <x v="2"/>
    <n v="7735"/>
    <n v="1000"/>
    <x v="1"/>
    <s v="Walk-in"/>
    <s v="Yes"/>
    <s v="No"/>
    <s v="No"/>
    <n v="2022"/>
    <s v="December"/>
    <s v="Q4"/>
  </r>
  <r>
    <s v="A1045"/>
    <s v="Paws &amp; Claws Rescue"/>
    <x v="5"/>
    <x v="1"/>
    <s v="Mixed Breed"/>
    <x v="2"/>
    <s v="Male"/>
    <n v="10.1"/>
    <n v="21.1"/>
    <x v="0"/>
    <s v="2024-02-17"/>
    <s v="Born in Shelter"/>
    <s v="2024-03-18"/>
    <s v="Adopted"/>
    <n v="30"/>
    <x v="5"/>
    <n v="3244"/>
    <n v="1000"/>
    <x v="4"/>
    <s v="Website"/>
    <s v="Yes"/>
    <s v="No"/>
    <s v="Yes"/>
    <n v="2024"/>
    <s v="February"/>
    <s v="Q1"/>
  </r>
  <r>
    <s v="A1046"/>
    <s v="Hope Animal Shelter"/>
    <x v="0"/>
    <x v="0"/>
    <s v="Persian"/>
    <x v="0"/>
    <s v="Male"/>
    <n v="11.1"/>
    <n v="22.9"/>
    <x v="2"/>
    <s v="2023-04-27"/>
    <s v="Transfer from Another Shelter"/>
    <s v="2023-09-16"/>
    <s v="Transferred"/>
    <n v="142"/>
    <x v="0"/>
    <n v="0"/>
    <n v="0"/>
    <x v="0"/>
    <s v="Social Media"/>
    <s v="No"/>
    <s v="No"/>
    <s v="No"/>
    <n v="2023"/>
    <s v="April"/>
    <s v="Q2"/>
  </r>
  <r>
    <s v="A1047"/>
    <s v="Happy Paws Shelter"/>
    <x v="3"/>
    <x v="1"/>
    <s v="Beagle"/>
    <x v="6"/>
    <s v="Male"/>
    <n v="10"/>
    <n v="27.8"/>
    <x v="3"/>
    <s v="2023-09-26"/>
    <s v="Transfer from Another Shelter"/>
    <s v="2024-01-09"/>
    <s v="Euthanized"/>
    <n v="105"/>
    <x v="0"/>
    <n v="0"/>
    <n v="0"/>
    <x v="0"/>
    <s v="Website"/>
    <s v="Yes"/>
    <s v="No"/>
    <s v="No"/>
    <n v="2023"/>
    <s v="September"/>
    <s v="Q3"/>
  </r>
  <r>
    <s v="A1048"/>
    <s v="Furever Home"/>
    <x v="1"/>
    <x v="3"/>
    <s v="Lionhead"/>
    <x v="2"/>
    <s v="Female"/>
    <n v="10.8"/>
    <n v="2.1"/>
    <x v="0"/>
    <s v="2024-02-16"/>
    <s v="Stray"/>
    <s v="2024-06-08"/>
    <s v="Adopted"/>
    <n v="113"/>
    <x v="5"/>
    <n v="1857"/>
    <n v="0"/>
    <x v="2"/>
    <s v="Social Media"/>
    <s v="Yes"/>
    <s v="Yes"/>
    <s v="Yes"/>
    <n v="2024"/>
    <s v="February"/>
    <s v="Q1"/>
  </r>
  <r>
    <s v="A1049"/>
    <s v="Paws &amp; Claws Rescue"/>
    <x v="7"/>
    <x v="1"/>
    <s v="Bulldog"/>
    <x v="0"/>
    <s v="Female"/>
    <n v="1.3"/>
    <n v="21.7"/>
    <x v="0"/>
    <s v="2022-01-04"/>
    <s v="Born in Shelter"/>
    <s v="2022-04-29"/>
    <s v="Euthanized"/>
    <n v="115"/>
    <x v="0"/>
    <n v="0"/>
    <n v="0"/>
    <x v="0"/>
    <s v="Event"/>
    <s v="Yes"/>
    <s v="No"/>
    <s v="No"/>
    <n v="2022"/>
    <s v="January"/>
    <s v="Q1"/>
  </r>
  <r>
    <s v="A1050"/>
    <s v="Furever Home"/>
    <x v="6"/>
    <x v="2"/>
    <s v="Lovebird"/>
    <x v="2"/>
    <s v="Female"/>
    <n v="8.6999999999999993"/>
    <n v="20"/>
    <x v="2"/>
    <s v="2023-02-19"/>
    <s v="Stray"/>
    <s v="2023-05-06"/>
    <s v="Adopted"/>
    <n v="76"/>
    <x v="3"/>
    <n v="2047"/>
    <n v="1000"/>
    <x v="3"/>
    <s v="Event"/>
    <s v="No"/>
    <s v="No"/>
    <s v="Yes"/>
    <n v="2023"/>
    <s v="February"/>
    <s v="Q1"/>
  </r>
  <r>
    <s v="A1051"/>
    <s v="Furever Home"/>
    <x v="0"/>
    <x v="1"/>
    <s v="Husky"/>
    <x v="0"/>
    <s v="Female"/>
    <n v="7.1"/>
    <n v="6.7"/>
    <x v="3"/>
    <s v="2022-05-29"/>
    <s v="Stray"/>
    <s v="2022-08-31"/>
    <s v="Adopted"/>
    <n v="94"/>
    <x v="3"/>
    <n v="6039"/>
    <n v="5000"/>
    <x v="3"/>
    <s v="Website"/>
    <s v="Yes"/>
    <s v="Yes"/>
    <s v="No"/>
    <n v="2022"/>
    <s v="May"/>
    <s v="Q2"/>
  </r>
  <r>
    <s v="A1052"/>
    <s v="Happy Paws Shelter"/>
    <x v="2"/>
    <x v="2"/>
    <s v="Canary"/>
    <x v="3"/>
    <s v="Male"/>
    <n v="3.7"/>
    <n v="3.2"/>
    <x v="2"/>
    <s v="2024-07-19"/>
    <s v="Transfer from Another Shelter"/>
    <s v="2024-12-28"/>
    <s v="Adopted"/>
    <n v="162"/>
    <x v="1"/>
    <n v="2057"/>
    <n v="0"/>
    <x v="4"/>
    <s v="Event"/>
    <s v="Yes"/>
    <s v="Yes"/>
    <s v="No"/>
    <n v="2024"/>
    <s v="July"/>
    <s v="Q3"/>
  </r>
  <r>
    <s v="A1053"/>
    <s v="Happy Paws Shelter"/>
    <x v="0"/>
    <x v="1"/>
    <s v="Husky"/>
    <x v="5"/>
    <s v="Male"/>
    <n v="4.7"/>
    <n v="6.9"/>
    <x v="0"/>
    <s v="2023-08-19"/>
    <s v="Stray"/>
    <s v="2023-09-12"/>
    <s v="Adopted"/>
    <n v="24"/>
    <x v="3"/>
    <n v="6999"/>
    <n v="0"/>
    <x v="2"/>
    <s v="Website"/>
    <s v="No"/>
    <s v="No"/>
    <s v="No"/>
    <n v="2023"/>
    <s v="August"/>
    <s v="Q3"/>
  </r>
  <r>
    <s v="A1054"/>
    <s v="City Animal Shelter"/>
    <x v="2"/>
    <x v="1"/>
    <s v="Golden Retriever"/>
    <x v="8"/>
    <s v="Male"/>
    <n v="9.8000000000000007"/>
    <n v="30.9"/>
    <x v="0"/>
    <s v="2024-09-04"/>
    <s v="Born in Shelter"/>
    <s v="2024-11-29"/>
    <s v="Adopted"/>
    <n v="86"/>
    <x v="1"/>
    <n v="6680"/>
    <n v="0"/>
    <x v="4"/>
    <s v="Social Media"/>
    <s v="No"/>
    <s v="Yes"/>
    <s v="No"/>
    <n v="2024"/>
    <s v="September"/>
    <s v="Q3"/>
  </r>
  <r>
    <s v="A1055"/>
    <s v="Happy Paws Shelter"/>
    <x v="3"/>
    <x v="2"/>
    <s v="Finch"/>
    <x v="9"/>
    <s v="Male"/>
    <n v="10.4"/>
    <n v="17.600000000000001"/>
    <x v="4"/>
    <s v="2022-09-16"/>
    <s v="Transfer from Another Shelter"/>
    <s v="2022-09-17"/>
    <s v="Adopted"/>
    <n v="1"/>
    <x v="2"/>
    <n v="1017"/>
    <n v="5000"/>
    <x v="4"/>
    <s v="Referral"/>
    <s v="Yes"/>
    <s v="Yes"/>
    <s v="No"/>
    <n v="2022"/>
    <s v="September"/>
    <s v="Q3"/>
  </r>
  <r>
    <s v="A1056"/>
    <s v="Paws &amp; Claws Rescue"/>
    <x v="2"/>
    <x v="1"/>
    <s v="Poodle"/>
    <x v="8"/>
    <s v="Male"/>
    <n v="6.1"/>
    <n v="32.200000000000003"/>
    <x v="0"/>
    <s v="2022-10-06"/>
    <s v="Stray"/>
    <s v="2022-12-17"/>
    <s v="Fostered"/>
    <n v="72"/>
    <x v="0"/>
    <n v="0"/>
    <n v="0"/>
    <x v="0"/>
    <s v="Referral"/>
    <s v="Yes"/>
    <s v="Yes"/>
    <s v="No"/>
    <n v="2022"/>
    <s v="October"/>
    <s v="Q4"/>
  </r>
  <r>
    <s v="A1057"/>
    <s v="Paws &amp; Claws Rescue"/>
    <x v="2"/>
    <x v="1"/>
    <s v="Poodle"/>
    <x v="9"/>
    <s v="Female"/>
    <n v="1"/>
    <n v="33"/>
    <x v="0"/>
    <s v="2022-07-04"/>
    <s v="Stray"/>
    <s v="2022-08-08"/>
    <s v="Still in Shelter"/>
    <n v="35"/>
    <x v="0"/>
    <n v="0"/>
    <n v="0"/>
    <x v="0"/>
    <s v="Social Media"/>
    <s v="Yes"/>
    <s v="Yes"/>
    <s v="Yes"/>
    <n v="2022"/>
    <s v="July"/>
    <s v="Q3"/>
  </r>
  <r>
    <s v="A1058"/>
    <s v="Happy Paws Shelter"/>
    <x v="2"/>
    <x v="1"/>
    <s v="Beagle"/>
    <x v="3"/>
    <s v="Female"/>
    <n v="1.4"/>
    <n v="28.7"/>
    <x v="0"/>
    <s v="2022-01-03"/>
    <s v="Confiscated"/>
    <s v="2022-06-09"/>
    <s v="Adopted"/>
    <n v="157"/>
    <x v="5"/>
    <n v="6799"/>
    <n v="5000"/>
    <x v="4"/>
    <s v="Website"/>
    <s v="No"/>
    <s v="Yes"/>
    <s v="No"/>
    <n v="2022"/>
    <s v="January"/>
    <s v="Q1"/>
  </r>
  <r>
    <s v="A1059"/>
    <s v="Furever Home"/>
    <x v="7"/>
    <x v="1"/>
    <s v="Labrador"/>
    <x v="4"/>
    <s v="Female"/>
    <n v="3.8"/>
    <n v="1"/>
    <x v="1"/>
    <s v="2022-03-09"/>
    <s v="Confiscated"/>
    <s v="2022-07-06"/>
    <s v="Adopted"/>
    <n v="119"/>
    <x v="1"/>
    <n v="6524"/>
    <n v="1000"/>
    <x v="4"/>
    <s v="Website"/>
    <s v="Yes"/>
    <s v="No"/>
    <s v="No"/>
    <n v="2022"/>
    <s v="March"/>
    <s v="Q1"/>
  </r>
  <r>
    <s v="A1060"/>
    <s v="Furever Home"/>
    <x v="0"/>
    <x v="2"/>
    <s v="Finch"/>
    <x v="2"/>
    <s v="Male"/>
    <n v="1.7"/>
    <n v="9.4"/>
    <x v="1"/>
    <s v="2023-03-13"/>
    <s v="Confiscated"/>
    <s v="2023-06-27"/>
    <s v="Euthanized"/>
    <n v="106"/>
    <x v="0"/>
    <n v="0"/>
    <n v="0"/>
    <x v="0"/>
    <s v="Event"/>
    <s v="Yes"/>
    <s v="No"/>
    <s v="No"/>
    <n v="2023"/>
    <s v="March"/>
    <s v="Q1"/>
  </r>
  <r>
    <s v="A1061"/>
    <s v="Paws &amp; Claws Rescue"/>
    <x v="1"/>
    <x v="0"/>
    <s v="Ragdoll"/>
    <x v="6"/>
    <s v="Male"/>
    <n v="4.0999999999999996"/>
    <n v="5.8"/>
    <x v="0"/>
    <s v="2022-06-19"/>
    <s v="Transfer from Another Shelter"/>
    <s v="2022-08-13"/>
    <s v="Adopted"/>
    <n v="55"/>
    <x v="1"/>
    <n v="1645"/>
    <n v="0"/>
    <x v="3"/>
    <s v="Social Media"/>
    <s v="No"/>
    <s v="No"/>
    <s v="No"/>
    <n v="2022"/>
    <s v="June"/>
    <s v="Q2"/>
  </r>
  <r>
    <s v="A1062"/>
    <s v="Happy Paws Shelter"/>
    <x v="1"/>
    <x v="3"/>
    <s v="Mini Rex"/>
    <x v="7"/>
    <s v="Male"/>
    <n v="3.3"/>
    <n v="19.3"/>
    <x v="1"/>
    <s v="2024-05-11"/>
    <s v="Born in Shelter"/>
    <s v="2024-09-24"/>
    <s v="Adopted"/>
    <n v="136"/>
    <x v="2"/>
    <n v="2161"/>
    <n v="5000"/>
    <x v="4"/>
    <s v="Social Media"/>
    <s v="Yes"/>
    <s v="No"/>
    <s v="No"/>
    <n v="2024"/>
    <s v="May"/>
    <s v="Q2"/>
  </r>
  <r>
    <s v="A1063"/>
    <s v="Happy Paws Shelter"/>
    <x v="2"/>
    <x v="1"/>
    <s v="Beagle"/>
    <x v="1"/>
    <s v="Male"/>
    <n v="4.9000000000000004"/>
    <n v="5.3"/>
    <x v="3"/>
    <s v="2023-04-12"/>
    <s v="Transfer from Another Shelter"/>
    <s v="2023-07-19"/>
    <s v="Transferred"/>
    <n v="98"/>
    <x v="0"/>
    <n v="0"/>
    <n v="0"/>
    <x v="0"/>
    <s v="Social Media"/>
    <s v="Yes"/>
    <s v="No"/>
    <s v="No"/>
    <n v="2023"/>
    <s v="April"/>
    <s v="Q2"/>
  </r>
  <r>
    <s v="A1064"/>
    <s v="Paws &amp; Claws Rescue"/>
    <x v="6"/>
    <x v="1"/>
    <s v="Beagle"/>
    <x v="9"/>
    <s v="Male"/>
    <n v="11.5"/>
    <n v="6"/>
    <x v="1"/>
    <s v="2023-12-23"/>
    <s v="Abandoned"/>
    <s v="2024-01-13"/>
    <s v="Euthanized"/>
    <n v="21"/>
    <x v="0"/>
    <n v="0"/>
    <n v="0"/>
    <x v="0"/>
    <s v="Social Media"/>
    <s v="Yes"/>
    <s v="Yes"/>
    <s v="No"/>
    <n v="2023"/>
    <s v="December"/>
    <s v="Q4"/>
  </r>
  <r>
    <s v="A1065"/>
    <s v="Furever Home"/>
    <x v="1"/>
    <x v="0"/>
    <s v="Mixed Breed"/>
    <x v="4"/>
    <s v="Male"/>
    <n v="11.4"/>
    <n v="34.9"/>
    <x v="0"/>
    <s v="2022-02-26"/>
    <s v="Abandoned"/>
    <s v="2022-08-16"/>
    <s v="Adopted"/>
    <n v="171"/>
    <x v="1"/>
    <n v="2456"/>
    <n v="0"/>
    <x v="2"/>
    <s v="Referral"/>
    <s v="Yes"/>
    <s v="No"/>
    <s v="No"/>
    <n v="2022"/>
    <s v="February"/>
    <s v="Q1"/>
  </r>
  <r>
    <s v="A1066"/>
    <s v="City Animal Shelter"/>
    <x v="0"/>
    <x v="1"/>
    <s v="Labrador"/>
    <x v="3"/>
    <s v="Male"/>
    <n v="11"/>
    <n v="11.4"/>
    <x v="0"/>
    <s v="2024-04-11"/>
    <s v="Confiscated"/>
    <s v="2024-09-17"/>
    <s v="Euthanized"/>
    <n v="159"/>
    <x v="0"/>
    <n v="0"/>
    <n v="0"/>
    <x v="0"/>
    <s v="Website"/>
    <s v="Yes"/>
    <s v="No"/>
    <s v="No"/>
    <n v="2024"/>
    <s v="April"/>
    <s v="Q2"/>
  </r>
  <r>
    <s v="A1067"/>
    <s v="Happy Paws Shelter"/>
    <x v="2"/>
    <x v="1"/>
    <s v="Beagle"/>
    <x v="4"/>
    <s v="Female"/>
    <n v="9.8000000000000007"/>
    <n v="32.200000000000003"/>
    <x v="0"/>
    <s v="2022-05-02"/>
    <s v="Confiscated"/>
    <s v="2022-05-05"/>
    <s v="Adopted"/>
    <n v="3"/>
    <x v="2"/>
    <n v="6421"/>
    <n v="5000"/>
    <x v="4"/>
    <s v="Event"/>
    <s v="Yes"/>
    <s v="No"/>
    <s v="No"/>
    <n v="2022"/>
    <s v="May"/>
    <s v="Q2"/>
  </r>
  <r>
    <s v="A1068"/>
    <s v="Second Chance Rescue"/>
    <x v="5"/>
    <x v="1"/>
    <s v="Husky"/>
    <x v="0"/>
    <s v="Male"/>
    <n v="9.1999999999999993"/>
    <n v="24.8"/>
    <x v="0"/>
    <s v="2023-08-02"/>
    <s v="Confiscated"/>
    <s v="2023-08-14"/>
    <s v="Fostered"/>
    <n v="12"/>
    <x v="0"/>
    <n v="0"/>
    <n v="0"/>
    <x v="0"/>
    <s v="Event"/>
    <s v="Yes"/>
    <s v="No"/>
    <s v="Yes"/>
    <n v="2023"/>
    <s v="August"/>
    <s v="Q3"/>
  </r>
  <r>
    <s v="A1069"/>
    <s v="Second Chance Rescue"/>
    <x v="7"/>
    <x v="1"/>
    <s v="German Shepherd"/>
    <x v="9"/>
    <s v="Male"/>
    <n v="3.5"/>
    <n v="23.9"/>
    <x v="4"/>
    <s v="2022-04-09"/>
    <s v="Born in Shelter"/>
    <s v="2022-04-12"/>
    <s v="Still in Shelter"/>
    <n v="3"/>
    <x v="0"/>
    <n v="0"/>
    <n v="0"/>
    <x v="0"/>
    <s v="Walk-in"/>
    <s v="Yes"/>
    <s v="No"/>
    <s v="No"/>
    <n v="2022"/>
    <s v="April"/>
    <s v="Q2"/>
  </r>
  <r>
    <s v="A1070"/>
    <s v="Happy Paws Shelter"/>
    <x v="0"/>
    <x v="1"/>
    <s v="Labrador"/>
    <x v="5"/>
    <s v="Female"/>
    <n v="8.4"/>
    <n v="26.7"/>
    <x v="4"/>
    <s v="2023-03-16"/>
    <s v="Born in Shelter"/>
    <s v="2023-07-04"/>
    <s v="Adopted"/>
    <n v="110"/>
    <x v="5"/>
    <n v="7149"/>
    <n v="1000"/>
    <x v="3"/>
    <s v="Social Media"/>
    <s v="Yes"/>
    <s v="No"/>
    <s v="No"/>
    <n v="2023"/>
    <s v="March"/>
    <s v="Q1"/>
  </r>
  <r>
    <s v="A1071"/>
    <s v="Happy Paws Shelter"/>
    <x v="3"/>
    <x v="3"/>
    <s v="Mini Rex"/>
    <x v="9"/>
    <s v="Female"/>
    <n v="1.8"/>
    <n v="13"/>
    <x v="3"/>
    <s v="2024-02-05"/>
    <s v="Born in Shelter"/>
    <s v="2024-07-30"/>
    <s v="Euthanized"/>
    <n v="176"/>
    <x v="0"/>
    <n v="0"/>
    <n v="0"/>
    <x v="0"/>
    <s v="Event"/>
    <s v="Yes"/>
    <s v="No"/>
    <s v="Yes"/>
    <n v="2024"/>
    <s v="February"/>
    <s v="Q1"/>
  </r>
  <r>
    <s v="A1072"/>
    <s v="City Animal Shelter"/>
    <x v="3"/>
    <x v="2"/>
    <s v="Finch"/>
    <x v="6"/>
    <s v="Female"/>
    <n v="4.7"/>
    <n v="15.7"/>
    <x v="1"/>
    <s v="2024-05-27"/>
    <s v="Abandoned"/>
    <s v="2024-10-15"/>
    <s v="Adopted"/>
    <n v="141"/>
    <x v="2"/>
    <n v="801"/>
    <n v="1000"/>
    <x v="3"/>
    <s v="Website"/>
    <s v="Yes"/>
    <s v="No"/>
    <s v="No"/>
    <n v="2024"/>
    <s v="May"/>
    <s v="Q2"/>
  </r>
  <r>
    <s v="A1073"/>
    <s v="Second Chance Rescue"/>
    <x v="2"/>
    <x v="1"/>
    <s v="Labrador"/>
    <x v="1"/>
    <s v="Male"/>
    <n v="4.5999999999999996"/>
    <n v="29.8"/>
    <x v="0"/>
    <s v="2022-01-06"/>
    <s v="Owner Surrender"/>
    <s v="2022-04-17"/>
    <s v="Fostered"/>
    <n v="101"/>
    <x v="0"/>
    <n v="0"/>
    <n v="1000"/>
    <x v="0"/>
    <s v="Social Media"/>
    <s v="Yes"/>
    <s v="Yes"/>
    <s v="No"/>
    <n v="2022"/>
    <s v="January"/>
    <s v="Q1"/>
  </r>
  <r>
    <s v="A1074"/>
    <s v="City Animal Shelter"/>
    <x v="6"/>
    <x v="1"/>
    <s v="Mixed Breed"/>
    <x v="0"/>
    <s v="Male"/>
    <n v="3.5"/>
    <n v="16.3"/>
    <x v="4"/>
    <s v="2023-10-04"/>
    <s v="Owner Surrender"/>
    <s v="2023-12-09"/>
    <s v="Adopted"/>
    <n v="66"/>
    <x v="3"/>
    <n v="6204"/>
    <n v="0"/>
    <x v="3"/>
    <s v="Website"/>
    <s v="Yes"/>
    <s v="No"/>
    <s v="No"/>
    <n v="2023"/>
    <s v="October"/>
    <s v="Q4"/>
  </r>
  <r>
    <s v="A1075"/>
    <s v="Second Chance Rescue"/>
    <x v="3"/>
    <x v="0"/>
    <s v="Persian"/>
    <x v="5"/>
    <s v="Female"/>
    <n v="10.1"/>
    <n v="2.1"/>
    <x v="1"/>
    <s v="2022-02-01"/>
    <s v="Abandoned"/>
    <s v="2022-02-10"/>
    <s v="Adopted"/>
    <n v="9"/>
    <x v="2"/>
    <n v="4134"/>
    <n v="500"/>
    <x v="1"/>
    <s v="Website"/>
    <s v="Yes"/>
    <s v="Yes"/>
    <s v="No"/>
    <n v="2022"/>
    <s v="February"/>
    <s v="Q1"/>
  </r>
  <r>
    <s v="A1076"/>
    <s v="Furever Home"/>
    <x v="2"/>
    <x v="2"/>
    <s v="Lovebird"/>
    <x v="0"/>
    <s v="Female"/>
    <n v="4.0999999999999996"/>
    <n v="34.1"/>
    <x v="0"/>
    <s v="2023-03-27"/>
    <s v="Born in Shelter"/>
    <s v="2023-05-01"/>
    <s v="Adopted"/>
    <n v="35"/>
    <x v="2"/>
    <n v="1653"/>
    <n v="2000"/>
    <x v="1"/>
    <s v="Website"/>
    <s v="No"/>
    <s v="No"/>
    <s v="No"/>
    <n v="2023"/>
    <s v="March"/>
    <s v="Q1"/>
  </r>
  <r>
    <s v="A1077"/>
    <s v="Happy Paws Shelter"/>
    <x v="6"/>
    <x v="2"/>
    <s v="Parakeet"/>
    <x v="7"/>
    <s v="Female"/>
    <n v="8.1"/>
    <n v="30.9"/>
    <x v="0"/>
    <s v="2023-04-18"/>
    <s v="Born in Shelter"/>
    <s v="2023-06-19"/>
    <s v="Still in Shelter"/>
    <n v="62"/>
    <x v="0"/>
    <n v="0"/>
    <n v="0"/>
    <x v="0"/>
    <s v="Website"/>
    <s v="Yes"/>
    <s v="No"/>
    <s v="No"/>
    <n v="2023"/>
    <s v="April"/>
    <s v="Q2"/>
  </r>
  <r>
    <s v="A1078"/>
    <s v="Second Chance Rescue"/>
    <x v="4"/>
    <x v="1"/>
    <s v="Labrador"/>
    <x v="5"/>
    <s v="Male"/>
    <n v="1.2"/>
    <n v="12.4"/>
    <x v="0"/>
    <s v="2022-09-16"/>
    <s v="Owner Surrender"/>
    <s v="2022-09-17"/>
    <s v="Fostered"/>
    <n v="1"/>
    <x v="0"/>
    <n v="0"/>
    <n v="0"/>
    <x v="0"/>
    <s v="Referral"/>
    <s v="Yes"/>
    <s v="Yes"/>
    <s v="No"/>
    <n v="2022"/>
    <s v="September"/>
    <s v="Q3"/>
  </r>
  <r>
    <s v="A1079"/>
    <s v="Furever Home"/>
    <x v="0"/>
    <x v="0"/>
    <s v="Bengal"/>
    <x v="4"/>
    <s v="Female"/>
    <n v="8.3000000000000007"/>
    <n v="20"/>
    <x v="0"/>
    <s v="2024-12-10"/>
    <s v="Born in Shelter"/>
    <s v="2024-12-31"/>
    <s v="Fostered"/>
    <n v="32"/>
    <x v="0"/>
    <n v="0"/>
    <n v="0"/>
    <x v="0"/>
    <s v="Social Media"/>
    <s v="Yes"/>
    <s v="No"/>
    <s v="Yes"/>
    <n v="2024"/>
    <s v="December"/>
    <s v="Q4"/>
  </r>
  <r>
    <s v="A1080"/>
    <s v="Paws &amp; Claws Rescue"/>
    <x v="3"/>
    <x v="1"/>
    <s v="Beagle"/>
    <x v="9"/>
    <s v="Female"/>
    <n v="8.5"/>
    <n v="3.7"/>
    <x v="0"/>
    <s v="2024-08-07"/>
    <s v="Transfer from Another Shelter"/>
    <s v="2024-12-31"/>
    <s v="Fostered"/>
    <n v="177"/>
    <x v="0"/>
    <n v="0"/>
    <n v="0"/>
    <x v="0"/>
    <s v="Event"/>
    <s v="Yes"/>
    <s v="Yes"/>
    <s v="No"/>
    <n v="2024"/>
    <s v="August"/>
    <s v="Q3"/>
  </r>
  <r>
    <s v="A1081"/>
    <s v="City Animal Shelter"/>
    <x v="3"/>
    <x v="1"/>
    <s v="Golden Retriever"/>
    <x v="4"/>
    <s v="Male"/>
    <n v="9.6999999999999993"/>
    <n v="10"/>
    <x v="0"/>
    <s v="2024-11-07"/>
    <s v="Confiscated"/>
    <s v="2024-12-31"/>
    <s v="Fostered"/>
    <n v="149"/>
    <x v="0"/>
    <n v="0"/>
    <n v="0"/>
    <x v="0"/>
    <s v="Referral"/>
    <s v="Yes"/>
    <s v="Yes"/>
    <s v="Yes"/>
    <n v="2024"/>
    <s v="November"/>
    <s v="Q4"/>
  </r>
  <r>
    <s v="A1082"/>
    <s v="City Animal Shelter"/>
    <x v="0"/>
    <x v="1"/>
    <s v="Poodle"/>
    <x v="8"/>
    <s v="Female"/>
    <n v="8"/>
    <n v="5.9"/>
    <x v="3"/>
    <s v="2023-08-27"/>
    <s v="Abandoned"/>
    <s v="2024-01-12"/>
    <s v="Adopted"/>
    <n v="138"/>
    <x v="2"/>
    <n v="4873"/>
    <n v="0"/>
    <x v="3"/>
    <s v="Event"/>
    <s v="Yes"/>
    <s v="Yes"/>
    <s v="No"/>
    <n v="2023"/>
    <s v="August"/>
    <s v="Q3"/>
  </r>
  <r>
    <s v="A1083"/>
    <s v="Happy Paws Shelter"/>
    <x v="4"/>
    <x v="3"/>
    <s v="Lionhead"/>
    <x v="9"/>
    <s v="Female"/>
    <n v="7.6"/>
    <n v="1"/>
    <x v="4"/>
    <s v="2023-02-06"/>
    <s v="Confiscated"/>
    <s v="2023-08-05"/>
    <s v="Adopted"/>
    <n v="180"/>
    <x v="2"/>
    <n v="1018"/>
    <n v="2000"/>
    <x v="3"/>
    <s v="Website"/>
    <s v="Yes"/>
    <s v="No"/>
    <s v="No"/>
    <n v="2023"/>
    <s v="February"/>
    <s v="Q1"/>
  </r>
  <r>
    <s v="A1084"/>
    <s v="Second Chance Rescue"/>
    <x v="0"/>
    <x v="1"/>
    <s v="Beagle"/>
    <x v="2"/>
    <s v="Female"/>
    <n v="8.6"/>
    <n v="1.9"/>
    <x v="0"/>
    <s v="2022-09-18"/>
    <s v="Transfer from Another Shelter"/>
    <s v="2023-03-16"/>
    <s v="Adopted"/>
    <n v="179"/>
    <x v="1"/>
    <n v="4996"/>
    <n v="0"/>
    <x v="2"/>
    <s v="Website"/>
    <s v="Yes"/>
    <s v="No"/>
    <s v="Yes"/>
    <n v="2022"/>
    <s v="September"/>
    <s v="Q3"/>
  </r>
  <r>
    <s v="A1085"/>
    <s v="Happy Paws Shelter"/>
    <x v="4"/>
    <x v="3"/>
    <s v="Lionhead"/>
    <x v="3"/>
    <s v="Male"/>
    <n v="4.3"/>
    <n v="31.7"/>
    <x v="4"/>
    <s v="2023-04-18"/>
    <s v="Stray"/>
    <s v="2023-08-09"/>
    <s v="Fostered"/>
    <n v="113"/>
    <x v="0"/>
    <n v="0"/>
    <n v="1000"/>
    <x v="0"/>
    <s v="Website"/>
    <s v="Yes"/>
    <s v="No"/>
    <s v="Yes"/>
    <n v="2023"/>
    <s v="April"/>
    <s v="Q2"/>
  </r>
  <r>
    <s v="A1086"/>
    <s v="Happy Paws Shelter"/>
    <x v="3"/>
    <x v="1"/>
    <s v="Bulldog"/>
    <x v="8"/>
    <s v="Male"/>
    <n v="9"/>
    <n v="18.8"/>
    <x v="2"/>
    <s v="2024-02-14"/>
    <s v="Confiscated"/>
    <s v="2024-07-19"/>
    <s v="Adopted"/>
    <n v="156"/>
    <x v="3"/>
    <n v="4303"/>
    <n v="1000"/>
    <x v="4"/>
    <s v="Walk-in"/>
    <s v="No"/>
    <s v="No"/>
    <s v="No"/>
    <n v="2024"/>
    <s v="February"/>
    <s v="Q1"/>
  </r>
  <r>
    <s v="A1087"/>
    <s v="City Animal Shelter"/>
    <x v="1"/>
    <x v="1"/>
    <s v="German Shepherd"/>
    <x v="5"/>
    <s v="Female"/>
    <n v="5.9"/>
    <n v="17.8"/>
    <x v="2"/>
    <s v="2023-02-20"/>
    <s v="Transfer from Another Shelter"/>
    <s v="2023-03-23"/>
    <s v="Still in Shelter"/>
    <n v="31"/>
    <x v="0"/>
    <n v="0"/>
    <n v="0"/>
    <x v="0"/>
    <s v="Referral"/>
    <s v="No"/>
    <s v="Yes"/>
    <s v="No"/>
    <n v="2023"/>
    <s v="February"/>
    <s v="Q1"/>
  </r>
  <r>
    <s v="A1088"/>
    <s v="Paws &amp; Claws Rescue"/>
    <x v="7"/>
    <x v="1"/>
    <s v="Mixed Breed"/>
    <x v="8"/>
    <s v="Female"/>
    <n v="4.4000000000000004"/>
    <n v="2.6"/>
    <x v="4"/>
    <s v="2022-11-10"/>
    <s v="Stray"/>
    <s v="2022-12-02"/>
    <s v="Still in Shelter"/>
    <n v="22"/>
    <x v="0"/>
    <n v="0"/>
    <n v="0"/>
    <x v="0"/>
    <s v="Referral"/>
    <s v="No"/>
    <s v="No"/>
    <s v="No"/>
    <n v="2022"/>
    <s v="November"/>
    <s v="Q4"/>
  </r>
  <r>
    <s v="A1089"/>
    <s v="Paws &amp; Claws Rescue"/>
    <x v="1"/>
    <x v="0"/>
    <s v="Maine Coon"/>
    <x v="3"/>
    <s v="Female"/>
    <n v="4.2"/>
    <n v="10.9"/>
    <x v="0"/>
    <s v="2023-01-22"/>
    <s v="Owner Surrender"/>
    <s v="2023-03-21"/>
    <s v="Still in Shelter"/>
    <n v="58"/>
    <x v="0"/>
    <n v="0"/>
    <n v="0"/>
    <x v="0"/>
    <s v="Website"/>
    <s v="No"/>
    <s v="Yes"/>
    <s v="No"/>
    <n v="2023"/>
    <s v="January"/>
    <s v="Q1"/>
  </r>
  <r>
    <s v="A1090"/>
    <s v="Second Chance Rescue"/>
    <x v="2"/>
    <x v="0"/>
    <s v="Persian"/>
    <x v="5"/>
    <s v="Female"/>
    <n v="2.7"/>
    <n v="14.7"/>
    <x v="0"/>
    <s v="2023-08-29"/>
    <s v="Confiscated"/>
    <s v="2023-10-06"/>
    <s v="Transferred"/>
    <n v="38"/>
    <x v="0"/>
    <n v="0"/>
    <n v="0"/>
    <x v="0"/>
    <s v="Website"/>
    <s v="Yes"/>
    <s v="No"/>
    <s v="Yes"/>
    <n v="2023"/>
    <s v="August"/>
    <s v="Q3"/>
  </r>
  <r>
    <s v="A1091"/>
    <s v="Second Chance Rescue"/>
    <x v="7"/>
    <x v="0"/>
    <s v="Mixed Breed"/>
    <x v="4"/>
    <s v="Female"/>
    <n v="11.2"/>
    <n v="5.6"/>
    <x v="0"/>
    <s v="2024-10-06"/>
    <s v="Owner Surrender"/>
    <s v="2024-12-31"/>
    <s v="Adopted"/>
    <n v="153"/>
    <x v="2"/>
    <n v="4530"/>
    <n v="1000"/>
    <x v="4"/>
    <s v="Website"/>
    <s v="Yes"/>
    <s v="No"/>
    <s v="No"/>
    <n v="2024"/>
    <s v="October"/>
    <s v="Q4"/>
  </r>
  <r>
    <s v="A1092"/>
    <s v="Second Chance Rescue"/>
    <x v="3"/>
    <x v="1"/>
    <s v="Golden Retriever"/>
    <x v="6"/>
    <s v="Male"/>
    <n v="2.9"/>
    <n v="9"/>
    <x v="0"/>
    <s v="2024-01-19"/>
    <s v="Confiscated"/>
    <s v="2024-07-08"/>
    <s v="Adopted"/>
    <n v="171"/>
    <x v="1"/>
    <n v="5987"/>
    <n v="1000"/>
    <x v="2"/>
    <s v="Referral"/>
    <s v="Yes"/>
    <s v="No"/>
    <s v="No"/>
    <n v="2024"/>
    <s v="January"/>
    <s v="Q1"/>
  </r>
  <r>
    <s v="A1093"/>
    <s v="Furever Home"/>
    <x v="7"/>
    <x v="3"/>
    <s v="Dutch"/>
    <x v="1"/>
    <s v="Male"/>
    <n v="6"/>
    <n v="28"/>
    <x v="0"/>
    <s v="2024-03-10"/>
    <s v="Owner Surrender"/>
    <s v="2024-09-03"/>
    <s v="Transferred"/>
    <n v="177"/>
    <x v="0"/>
    <n v="0"/>
    <n v="0"/>
    <x v="0"/>
    <s v="Referral"/>
    <s v="Yes"/>
    <s v="No"/>
    <s v="No"/>
    <n v="2024"/>
    <s v="March"/>
    <s v="Q1"/>
  </r>
  <r>
    <s v="A1094"/>
    <s v="Second Chance Rescue"/>
    <x v="7"/>
    <x v="0"/>
    <s v="Domestic Shorthair"/>
    <x v="3"/>
    <s v="Male"/>
    <n v="11.6"/>
    <n v="2.7"/>
    <x v="0"/>
    <s v="2024-03-02"/>
    <s v="Abandoned"/>
    <s v="2024-08-02"/>
    <s v="Still in Shelter"/>
    <n v="153"/>
    <x v="0"/>
    <n v="0"/>
    <n v="0"/>
    <x v="0"/>
    <s v="Social Media"/>
    <s v="Yes"/>
    <s v="Yes"/>
    <s v="Yes"/>
    <n v="2024"/>
    <s v="March"/>
    <s v="Q1"/>
  </r>
  <r>
    <s v="A1095"/>
    <s v="City Animal Shelter"/>
    <x v="2"/>
    <x v="1"/>
    <s v="Beagle"/>
    <x v="0"/>
    <s v="Female"/>
    <n v="9.1"/>
    <n v="21.1"/>
    <x v="3"/>
    <s v="2023-09-20"/>
    <s v="Abandoned"/>
    <s v="2024-01-29"/>
    <s v="Adopted"/>
    <n v="131"/>
    <x v="4"/>
    <n v="5799"/>
    <n v="0"/>
    <x v="3"/>
    <s v="Walk-in"/>
    <s v="Yes"/>
    <s v="Yes"/>
    <s v="No"/>
    <n v="2023"/>
    <s v="September"/>
    <s v="Q3"/>
  </r>
  <r>
    <s v="A1096"/>
    <s v="City Animal Shelter"/>
    <x v="3"/>
    <x v="0"/>
    <s v="Siamese"/>
    <x v="8"/>
    <s v="Male"/>
    <n v="4.7"/>
    <n v="32.700000000000003"/>
    <x v="0"/>
    <s v="2023-05-06"/>
    <s v="Owner Surrender"/>
    <s v="2023-08-09"/>
    <s v="Adopted"/>
    <n v="95"/>
    <x v="4"/>
    <n v="2588"/>
    <n v="0"/>
    <x v="1"/>
    <s v="Social Media"/>
    <s v="Yes"/>
    <s v="No"/>
    <s v="No"/>
    <n v="2023"/>
    <s v="May"/>
    <s v="Q2"/>
  </r>
  <r>
    <s v="A1097"/>
    <s v="Happy Paws Shelter"/>
    <x v="3"/>
    <x v="1"/>
    <s v="Husky"/>
    <x v="5"/>
    <s v="Male"/>
    <n v="1.3"/>
    <n v="31.8"/>
    <x v="3"/>
    <s v="2024-04-25"/>
    <s v="Born in Shelter"/>
    <s v="2024-06-21"/>
    <s v="Fostered"/>
    <n v="57"/>
    <x v="0"/>
    <n v="0"/>
    <n v="0"/>
    <x v="0"/>
    <s v="Social Media"/>
    <s v="Yes"/>
    <s v="Yes"/>
    <s v="Yes"/>
    <n v="2024"/>
    <s v="April"/>
    <s v="Q2"/>
  </r>
  <r>
    <s v="A1098"/>
    <s v="Hope Animal Shelter"/>
    <x v="7"/>
    <x v="0"/>
    <s v="Bengal"/>
    <x v="3"/>
    <s v="Female"/>
    <n v="3.9"/>
    <n v="7.7"/>
    <x v="1"/>
    <s v="2024-07-03"/>
    <s v="Transfer from Another Shelter"/>
    <s v="2024-07-27"/>
    <s v="Transferred"/>
    <n v="24"/>
    <x v="0"/>
    <n v="0"/>
    <n v="0"/>
    <x v="0"/>
    <s v="Social Media"/>
    <s v="Yes"/>
    <s v="No"/>
    <s v="No"/>
    <n v="2024"/>
    <s v="July"/>
    <s v="Q3"/>
  </r>
  <r>
    <s v="A1099"/>
    <s v="Hope Animal Shelter"/>
    <x v="6"/>
    <x v="1"/>
    <s v="German Shepherd"/>
    <x v="6"/>
    <s v="Female"/>
    <n v="6.4"/>
    <n v="28"/>
    <x v="3"/>
    <s v="2024-10-15"/>
    <s v="Transfer from Another Shelter"/>
    <s v="2024-12-04"/>
    <s v="Adopted"/>
    <n v="50"/>
    <x v="2"/>
    <n v="3207"/>
    <n v="2000"/>
    <x v="2"/>
    <s v="Referral"/>
    <s v="Yes"/>
    <s v="No"/>
    <s v="No"/>
    <n v="2024"/>
    <s v="October"/>
    <s v="Q4"/>
  </r>
  <r>
    <s v="A1100"/>
    <s v="Happy Paws Shelter"/>
    <x v="2"/>
    <x v="1"/>
    <s v="Husky"/>
    <x v="3"/>
    <s v="Female"/>
    <n v="10.9"/>
    <n v="22.8"/>
    <x v="1"/>
    <s v="2022-01-07"/>
    <s v="Stray"/>
    <s v="2022-02-05"/>
    <s v="Transferred"/>
    <n v="29"/>
    <x v="0"/>
    <n v="0"/>
    <n v="0"/>
    <x v="0"/>
    <s v="Walk-in"/>
    <s v="Yes"/>
    <s v="No"/>
    <s v="Yes"/>
    <n v="2022"/>
    <s v="January"/>
    <s v="Q1"/>
  </r>
  <r>
    <s v="A1101"/>
    <s v="Hope Animal Shelter"/>
    <x v="4"/>
    <x v="1"/>
    <s v="Labrador"/>
    <x v="4"/>
    <s v="Female"/>
    <n v="3.8"/>
    <n v="11.5"/>
    <x v="0"/>
    <s v="2022-11-08"/>
    <s v="Born in Shelter"/>
    <s v="2023-03-12"/>
    <s v="Adopted"/>
    <n v="124"/>
    <x v="1"/>
    <n v="4048"/>
    <n v="0"/>
    <x v="3"/>
    <s v="Event"/>
    <s v="Yes"/>
    <s v="Yes"/>
    <s v="No"/>
    <n v="2022"/>
    <s v="November"/>
    <s v="Q4"/>
  </r>
  <r>
    <s v="A1102"/>
    <s v="City Animal Shelter"/>
    <x v="2"/>
    <x v="0"/>
    <s v="Ragdoll"/>
    <x v="3"/>
    <s v="Female"/>
    <n v="1.5"/>
    <n v="13.5"/>
    <x v="0"/>
    <s v="2022-06-27"/>
    <s v="Confiscated"/>
    <s v="2022-11-01"/>
    <s v="Adopted"/>
    <n v="127"/>
    <x v="5"/>
    <n v="1643"/>
    <n v="0"/>
    <x v="3"/>
    <s v="Event"/>
    <s v="No"/>
    <s v="Yes"/>
    <s v="No"/>
    <n v="2022"/>
    <s v="June"/>
    <s v="Q2"/>
  </r>
  <r>
    <s v="A1103"/>
    <s v="Hope Animal Shelter"/>
    <x v="5"/>
    <x v="1"/>
    <s v="Beagle"/>
    <x v="6"/>
    <s v="Male"/>
    <n v="1.9"/>
    <n v="5.7"/>
    <x v="1"/>
    <s v="2023-12-23"/>
    <s v="Born in Shelter"/>
    <s v="2024-06-09"/>
    <s v="Returned to Owner"/>
    <n v="169"/>
    <x v="0"/>
    <n v="0"/>
    <n v="0"/>
    <x v="0"/>
    <s v="Event"/>
    <s v="Yes"/>
    <s v="Yes"/>
    <s v="No"/>
    <n v="2023"/>
    <s v="December"/>
    <s v="Q4"/>
  </r>
  <r>
    <s v="A1104"/>
    <s v="Paws &amp; Claws Rescue"/>
    <x v="2"/>
    <x v="3"/>
    <s v="Dutch"/>
    <x v="9"/>
    <s v="Female"/>
    <n v="2.8"/>
    <n v="15.2"/>
    <x v="3"/>
    <s v="2023-03-31"/>
    <s v="Stray"/>
    <s v="2023-06-30"/>
    <s v="Returned to Owner"/>
    <n v="91"/>
    <x v="0"/>
    <n v="0"/>
    <n v="0"/>
    <x v="0"/>
    <s v="Walk-in"/>
    <s v="No"/>
    <s v="Yes"/>
    <s v="No"/>
    <n v="2023"/>
    <s v="March"/>
    <s v="Q1"/>
  </r>
  <r>
    <s v="A1105"/>
    <s v="Happy Paws Shelter"/>
    <x v="6"/>
    <x v="2"/>
    <s v="Finch"/>
    <x v="2"/>
    <s v="Male"/>
    <n v="0.6"/>
    <n v="1"/>
    <x v="0"/>
    <s v="2024-10-16"/>
    <s v="Confiscated"/>
    <s v="2024-11-16"/>
    <s v="Adopted"/>
    <n v="31"/>
    <x v="3"/>
    <n v="1318"/>
    <n v="500"/>
    <x v="3"/>
    <s v="Event"/>
    <s v="Yes"/>
    <s v="No"/>
    <s v="Yes"/>
    <n v="2024"/>
    <s v="October"/>
    <s v="Q4"/>
  </r>
  <r>
    <s v="A1106"/>
    <s v="City Animal Shelter"/>
    <x v="5"/>
    <x v="1"/>
    <s v="Mixed Breed"/>
    <x v="8"/>
    <s v="Male"/>
    <n v="9.4"/>
    <n v="17"/>
    <x v="0"/>
    <s v="2023-06-21"/>
    <s v="Owner Surrender"/>
    <s v="2023-11-05"/>
    <s v="Transferred"/>
    <n v="137"/>
    <x v="0"/>
    <n v="0"/>
    <n v="0"/>
    <x v="0"/>
    <s v="Website"/>
    <s v="Yes"/>
    <s v="Yes"/>
    <s v="No"/>
    <n v="2023"/>
    <s v="June"/>
    <s v="Q2"/>
  </r>
  <r>
    <s v="A1107"/>
    <s v="Paws &amp; Claws Rescue"/>
    <x v="6"/>
    <x v="0"/>
    <s v="Persian"/>
    <x v="3"/>
    <s v="Male"/>
    <n v="3.1"/>
    <n v="5.8"/>
    <x v="4"/>
    <s v="2022-08-06"/>
    <s v="Abandoned"/>
    <s v="2023-01-09"/>
    <s v="Transferred"/>
    <n v="156"/>
    <x v="0"/>
    <n v="0"/>
    <n v="0"/>
    <x v="0"/>
    <s v="Referral"/>
    <s v="Yes"/>
    <s v="No"/>
    <s v="No"/>
    <n v="2022"/>
    <s v="August"/>
    <s v="Q3"/>
  </r>
  <r>
    <s v="A1108"/>
    <s v="Hope Animal Shelter"/>
    <x v="5"/>
    <x v="1"/>
    <s v="Beagle"/>
    <x v="6"/>
    <s v="Male"/>
    <n v="10"/>
    <n v="22.4"/>
    <x v="2"/>
    <s v="2023-03-09"/>
    <s v="Confiscated"/>
    <s v="2023-06-13"/>
    <s v="Adopted"/>
    <n v="96"/>
    <x v="5"/>
    <n v="6191"/>
    <n v="0"/>
    <x v="1"/>
    <s v="Social Media"/>
    <s v="No"/>
    <s v="No"/>
    <s v="No"/>
    <n v="2023"/>
    <s v="March"/>
    <s v="Q1"/>
  </r>
  <r>
    <s v="A1109"/>
    <s v="City Animal Shelter"/>
    <x v="0"/>
    <x v="0"/>
    <s v="Persian"/>
    <x v="5"/>
    <s v="Female"/>
    <n v="2.8"/>
    <n v="19.8"/>
    <x v="0"/>
    <s v="2023-04-29"/>
    <s v="Stray"/>
    <s v="2023-05-01"/>
    <s v="Fostered"/>
    <n v="2"/>
    <x v="0"/>
    <n v="0"/>
    <n v="500"/>
    <x v="0"/>
    <s v="Walk-in"/>
    <s v="Yes"/>
    <s v="No"/>
    <s v="No"/>
    <n v="2023"/>
    <s v="April"/>
    <s v="Q2"/>
  </r>
  <r>
    <s v="A1110"/>
    <s v="Furever Home"/>
    <x v="2"/>
    <x v="2"/>
    <s v="Parakeet"/>
    <x v="2"/>
    <s v="Male"/>
    <n v="2.8"/>
    <n v="29.1"/>
    <x v="0"/>
    <s v="2024-11-07"/>
    <s v="Confiscated"/>
    <s v="2024-12-31"/>
    <s v="Still in Shelter"/>
    <n v="74"/>
    <x v="0"/>
    <n v="0"/>
    <n v="0"/>
    <x v="0"/>
    <s v="Social Media"/>
    <s v="No"/>
    <s v="Yes"/>
    <s v="No"/>
    <n v="2024"/>
    <s v="November"/>
    <s v="Q4"/>
  </r>
  <r>
    <s v="A1111"/>
    <s v="Happy Paws Shelter"/>
    <x v="0"/>
    <x v="3"/>
    <s v="Flemish Giant"/>
    <x v="0"/>
    <s v="Female"/>
    <n v="5.2"/>
    <n v="25.4"/>
    <x v="0"/>
    <s v="2022-05-29"/>
    <s v="Transfer from Another Shelter"/>
    <s v="2022-07-13"/>
    <s v="Adopted"/>
    <n v="45"/>
    <x v="1"/>
    <n v="2008"/>
    <n v="0"/>
    <x v="1"/>
    <s v="Event"/>
    <s v="Yes"/>
    <s v="No"/>
    <s v="No"/>
    <n v="2022"/>
    <s v="May"/>
    <s v="Q2"/>
  </r>
  <r>
    <s v="A1112"/>
    <s v="Happy Paws Shelter"/>
    <x v="6"/>
    <x v="1"/>
    <s v="Poodle"/>
    <x v="9"/>
    <s v="Female"/>
    <n v="9.6999999999999993"/>
    <n v="2.6"/>
    <x v="0"/>
    <s v="2023-10-20"/>
    <s v="Transfer from Another Shelter"/>
    <s v="2024-02-13"/>
    <s v="Fostered"/>
    <n v="116"/>
    <x v="0"/>
    <n v="0"/>
    <n v="500"/>
    <x v="0"/>
    <s v="Website"/>
    <s v="Yes"/>
    <s v="Yes"/>
    <s v="No"/>
    <n v="2023"/>
    <s v="October"/>
    <s v="Q4"/>
  </r>
  <r>
    <s v="A1113"/>
    <s v="Second Chance Rescue"/>
    <x v="1"/>
    <x v="0"/>
    <s v="Siamese"/>
    <x v="0"/>
    <s v="Female"/>
    <n v="1"/>
    <n v="7.5"/>
    <x v="3"/>
    <s v="2022-07-03"/>
    <s v="Born in Shelter"/>
    <s v="2022-08-11"/>
    <s v="Transferred"/>
    <n v="39"/>
    <x v="0"/>
    <n v="0"/>
    <n v="0"/>
    <x v="0"/>
    <s v="Event"/>
    <s v="No"/>
    <s v="No"/>
    <s v="Yes"/>
    <n v="2022"/>
    <s v="July"/>
    <s v="Q3"/>
  </r>
  <r>
    <s v="A1114"/>
    <s v="Paws &amp; Claws Rescue"/>
    <x v="6"/>
    <x v="1"/>
    <s v="Husky"/>
    <x v="3"/>
    <s v="Female"/>
    <n v="10.7"/>
    <n v="8.5"/>
    <x v="4"/>
    <s v="2023-03-18"/>
    <s v="Transfer from Another Shelter"/>
    <s v="2023-04-06"/>
    <s v="Adopted"/>
    <n v="19"/>
    <x v="5"/>
    <n v="6492"/>
    <n v="500"/>
    <x v="2"/>
    <s v="Social Media"/>
    <s v="No"/>
    <s v="No"/>
    <s v="No"/>
    <n v="2023"/>
    <s v="March"/>
    <s v="Q1"/>
  </r>
  <r>
    <s v="A1115"/>
    <s v="Hope Animal Shelter"/>
    <x v="1"/>
    <x v="3"/>
    <s v="Mini Rex"/>
    <x v="1"/>
    <s v="Female"/>
    <n v="2.5"/>
    <n v="21.3"/>
    <x v="0"/>
    <s v="2023-03-02"/>
    <s v="Stray"/>
    <s v="2023-08-11"/>
    <s v="Transferred"/>
    <n v="162"/>
    <x v="0"/>
    <n v="0"/>
    <n v="0"/>
    <x v="0"/>
    <s v="Event"/>
    <s v="Yes"/>
    <s v="Yes"/>
    <s v="No"/>
    <n v="2023"/>
    <s v="March"/>
    <s v="Q1"/>
  </r>
  <r>
    <s v="A1116"/>
    <s v="City Animal Shelter"/>
    <x v="5"/>
    <x v="0"/>
    <s v="Siamese"/>
    <x v="2"/>
    <s v="Female"/>
    <n v="4.3"/>
    <n v="1.3"/>
    <x v="0"/>
    <s v="2022-04-04"/>
    <s v="Born in Shelter"/>
    <s v="2022-05-15"/>
    <s v="Adopted"/>
    <n v="41"/>
    <x v="4"/>
    <n v="3900"/>
    <n v="0"/>
    <x v="4"/>
    <s v="Referral"/>
    <s v="Yes"/>
    <s v="No"/>
    <s v="Yes"/>
    <n v="2022"/>
    <s v="April"/>
    <s v="Q2"/>
  </r>
  <r>
    <s v="A1117"/>
    <s v="Furever Home"/>
    <x v="5"/>
    <x v="1"/>
    <s v="Golden Retriever"/>
    <x v="2"/>
    <s v="Female"/>
    <n v="3.7"/>
    <n v="19.3"/>
    <x v="1"/>
    <s v="2024-05-11"/>
    <s v="Transfer from Another Shelter"/>
    <s v="2024-10-02"/>
    <s v="Fostered"/>
    <n v="144"/>
    <x v="0"/>
    <n v="0"/>
    <n v="1000"/>
    <x v="0"/>
    <s v="Event"/>
    <s v="No"/>
    <s v="No"/>
    <s v="Yes"/>
    <n v="2024"/>
    <s v="May"/>
    <s v="Q2"/>
  </r>
  <r>
    <s v="A1118"/>
    <s v="City Animal Shelter"/>
    <x v="3"/>
    <x v="2"/>
    <s v="Cockatiel"/>
    <x v="9"/>
    <s v="Female"/>
    <n v="8.3000000000000007"/>
    <n v="1.7"/>
    <x v="0"/>
    <s v="2024-02-29"/>
    <s v="Abandoned"/>
    <s v="2024-05-28"/>
    <s v="Still in Shelter"/>
    <n v="89"/>
    <x v="0"/>
    <n v="0"/>
    <n v="0"/>
    <x v="0"/>
    <s v="Social Media"/>
    <s v="Yes"/>
    <s v="No"/>
    <s v="No"/>
    <n v="2024"/>
    <s v="February"/>
    <s v="Q1"/>
  </r>
  <r>
    <s v="A1119"/>
    <s v="Furever Home"/>
    <x v="0"/>
    <x v="1"/>
    <s v="Mixed Breed"/>
    <x v="4"/>
    <s v="Female"/>
    <n v="7.4"/>
    <n v="33.700000000000003"/>
    <x v="0"/>
    <s v="2023-07-12"/>
    <s v="Born in Shelter"/>
    <s v="2023-12-04"/>
    <s v="Still in Shelter"/>
    <n v="145"/>
    <x v="0"/>
    <n v="0"/>
    <n v="0"/>
    <x v="0"/>
    <s v="Referral"/>
    <s v="Yes"/>
    <s v="No"/>
    <s v="No"/>
    <n v="2023"/>
    <s v="July"/>
    <s v="Q3"/>
  </r>
  <r>
    <s v="A1120"/>
    <s v="Furever Home"/>
    <x v="1"/>
    <x v="1"/>
    <s v="Beagle"/>
    <x v="6"/>
    <s v="Female"/>
    <n v="1.4"/>
    <n v="18.8"/>
    <x v="0"/>
    <s v="2024-08-12"/>
    <s v="Owner Surrender"/>
    <s v="2024-08-15"/>
    <s v="Adopted"/>
    <n v="3"/>
    <x v="5"/>
    <n v="6014"/>
    <n v="0"/>
    <x v="4"/>
    <s v="Event"/>
    <s v="Yes"/>
    <s v="No"/>
    <s v="No"/>
    <n v="2024"/>
    <s v="August"/>
    <s v="Q3"/>
  </r>
  <r>
    <s v="A1121"/>
    <s v="City Animal Shelter"/>
    <x v="7"/>
    <x v="1"/>
    <s v="Mixed Breed"/>
    <x v="8"/>
    <s v="Male"/>
    <n v="7.9"/>
    <n v="9.1"/>
    <x v="0"/>
    <s v="2023-12-16"/>
    <s v="Confiscated"/>
    <s v="2024-02-27"/>
    <s v="Still in Shelter"/>
    <n v="73"/>
    <x v="0"/>
    <n v="0"/>
    <n v="0"/>
    <x v="0"/>
    <s v="Social Media"/>
    <s v="Yes"/>
    <s v="No"/>
    <s v="Yes"/>
    <n v="2023"/>
    <s v="December"/>
    <s v="Q4"/>
  </r>
  <r>
    <s v="A1122"/>
    <s v="Second Chance Rescue"/>
    <x v="7"/>
    <x v="2"/>
    <s v="Finch"/>
    <x v="2"/>
    <s v="Female"/>
    <n v="3.4"/>
    <n v="16.100000000000001"/>
    <x v="0"/>
    <s v="2023-05-16"/>
    <s v="Born in Shelter"/>
    <s v="2023-10-19"/>
    <s v="Returned to Owner"/>
    <n v="156"/>
    <x v="0"/>
    <n v="0"/>
    <n v="500"/>
    <x v="0"/>
    <s v="Event"/>
    <s v="Yes"/>
    <s v="Yes"/>
    <s v="No"/>
    <n v="2023"/>
    <s v="May"/>
    <s v="Q2"/>
  </r>
  <r>
    <s v="A1123"/>
    <s v="Paws &amp; Claws Rescue"/>
    <x v="7"/>
    <x v="1"/>
    <s v="Beagle"/>
    <x v="4"/>
    <s v="Male"/>
    <n v="5.8"/>
    <n v="32.799999999999997"/>
    <x v="0"/>
    <s v="2024-10-22"/>
    <s v="Stray"/>
    <s v="2024-12-31"/>
    <s v="Adopted"/>
    <n v="108"/>
    <x v="5"/>
    <n v="7959"/>
    <n v="2000"/>
    <x v="2"/>
    <s v="Website"/>
    <s v="Yes"/>
    <s v="No"/>
    <s v="No"/>
    <n v="2024"/>
    <s v="October"/>
    <s v="Q4"/>
  </r>
  <r>
    <s v="A1124"/>
    <s v="City Animal Shelter"/>
    <x v="4"/>
    <x v="0"/>
    <s v="Ragdoll"/>
    <x v="8"/>
    <s v="Female"/>
    <n v="3.7"/>
    <n v="29.9"/>
    <x v="0"/>
    <s v="2024-09-07"/>
    <s v="Abandoned"/>
    <s v="2024-09-19"/>
    <s v="Fostered"/>
    <n v="12"/>
    <x v="0"/>
    <n v="0"/>
    <n v="500"/>
    <x v="0"/>
    <s v="Referral"/>
    <s v="Yes"/>
    <s v="Yes"/>
    <s v="Yes"/>
    <n v="2024"/>
    <s v="September"/>
    <s v="Q3"/>
  </r>
  <r>
    <s v="A1125"/>
    <s v="Furever Home"/>
    <x v="0"/>
    <x v="1"/>
    <s v="Labrador"/>
    <x v="3"/>
    <s v="Male"/>
    <n v="6.8"/>
    <n v="29.8"/>
    <x v="1"/>
    <s v="2022-03-29"/>
    <s v="Stray"/>
    <s v="2022-06-15"/>
    <s v="Transferred"/>
    <n v="78"/>
    <x v="0"/>
    <n v="0"/>
    <n v="0"/>
    <x v="0"/>
    <s v="Walk-in"/>
    <s v="Yes"/>
    <s v="No"/>
    <s v="No"/>
    <n v="2022"/>
    <s v="March"/>
    <s v="Q1"/>
  </r>
  <r>
    <s v="A1126"/>
    <s v="Paws &amp; Claws Rescue"/>
    <x v="1"/>
    <x v="0"/>
    <s v="Siamese"/>
    <x v="6"/>
    <s v="Female"/>
    <n v="10.3"/>
    <n v="30.3"/>
    <x v="1"/>
    <s v="2022-08-24"/>
    <s v="Abandoned"/>
    <s v="2022-10-16"/>
    <s v="Fostered"/>
    <n v="53"/>
    <x v="0"/>
    <n v="0"/>
    <n v="500"/>
    <x v="0"/>
    <s v="Referral"/>
    <s v="Yes"/>
    <s v="No"/>
    <s v="No"/>
    <n v="2022"/>
    <s v="August"/>
    <s v="Q3"/>
  </r>
  <r>
    <s v="A1127"/>
    <s v="Second Chance Rescue"/>
    <x v="7"/>
    <x v="0"/>
    <s v="Maine Coon"/>
    <x v="1"/>
    <s v="Female"/>
    <n v="8.5"/>
    <n v="19.600000000000001"/>
    <x v="3"/>
    <s v="2023-03-24"/>
    <s v="Owner Surrender"/>
    <s v="2023-04-11"/>
    <s v="Transferred"/>
    <n v="18"/>
    <x v="0"/>
    <n v="0"/>
    <n v="0"/>
    <x v="0"/>
    <s v="Walk-in"/>
    <s v="Yes"/>
    <s v="Yes"/>
    <s v="No"/>
    <n v="2023"/>
    <s v="March"/>
    <s v="Q1"/>
  </r>
  <r>
    <s v="A1128"/>
    <s v="Second Chance Rescue"/>
    <x v="3"/>
    <x v="1"/>
    <s v="Poodle"/>
    <x v="6"/>
    <s v="Male"/>
    <n v="2"/>
    <n v="23.6"/>
    <x v="0"/>
    <s v="2023-08-31"/>
    <s v="Transfer from Another Shelter"/>
    <s v="2023-10-17"/>
    <s v="Returned to Owner"/>
    <n v="47"/>
    <x v="0"/>
    <n v="0"/>
    <n v="1000"/>
    <x v="0"/>
    <s v="Social Media"/>
    <s v="Yes"/>
    <s v="No"/>
    <s v="No"/>
    <n v="2023"/>
    <s v="August"/>
    <s v="Q3"/>
  </r>
  <r>
    <s v="A1129"/>
    <s v="Hope Animal Shelter"/>
    <x v="1"/>
    <x v="1"/>
    <s v="German Shepherd"/>
    <x v="5"/>
    <s v="Male"/>
    <n v="8.6"/>
    <n v="14.8"/>
    <x v="0"/>
    <s v="2022-02-08"/>
    <s v="Born in Shelter"/>
    <s v="2022-04-27"/>
    <s v="Returned to Owner"/>
    <n v="78"/>
    <x v="0"/>
    <n v="0"/>
    <n v="1000"/>
    <x v="0"/>
    <s v="Social Media"/>
    <s v="Yes"/>
    <s v="No"/>
    <s v="No"/>
    <n v="2022"/>
    <s v="February"/>
    <s v="Q1"/>
  </r>
  <r>
    <s v="A1130"/>
    <s v="City Animal Shelter"/>
    <x v="4"/>
    <x v="2"/>
    <s v="Finch"/>
    <x v="9"/>
    <s v="Female"/>
    <n v="10.7"/>
    <n v="2.7"/>
    <x v="0"/>
    <s v="2022-04-13"/>
    <s v="Abandoned"/>
    <s v="2022-05-23"/>
    <s v="Adopted"/>
    <n v="40"/>
    <x v="5"/>
    <n v="2495"/>
    <n v="500"/>
    <x v="3"/>
    <s v="Website"/>
    <s v="Yes"/>
    <s v="Yes"/>
    <s v="No"/>
    <n v="2022"/>
    <s v="April"/>
    <s v="Q2"/>
  </r>
  <r>
    <s v="A1131"/>
    <s v="Hope Animal Shelter"/>
    <x v="6"/>
    <x v="1"/>
    <s v="Bulldog"/>
    <x v="6"/>
    <s v="Male"/>
    <n v="2.2999999999999998"/>
    <n v="26.4"/>
    <x v="0"/>
    <s v="2024-05-14"/>
    <s v="Born in Shelter"/>
    <s v="2024-08-23"/>
    <s v="Euthanized"/>
    <n v="101"/>
    <x v="0"/>
    <n v="0"/>
    <n v="0"/>
    <x v="0"/>
    <s v="Website"/>
    <s v="Yes"/>
    <s v="Yes"/>
    <s v="No"/>
    <n v="2024"/>
    <s v="May"/>
    <s v="Q2"/>
  </r>
  <r>
    <s v="A1132"/>
    <s v="Second Chance Rescue"/>
    <x v="4"/>
    <x v="1"/>
    <s v="Golden Retriever"/>
    <x v="8"/>
    <s v="Female"/>
    <n v="10.5"/>
    <n v="8.4"/>
    <x v="3"/>
    <s v="2023-11-08"/>
    <s v="Transfer from Another Shelter"/>
    <s v="2024-02-19"/>
    <s v="Adopted"/>
    <n v="103"/>
    <x v="5"/>
    <n v="4765"/>
    <n v="0"/>
    <x v="1"/>
    <s v="Referral"/>
    <s v="No"/>
    <s v="No"/>
    <s v="Yes"/>
    <n v="2023"/>
    <s v="November"/>
    <s v="Q4"/>
  </r>
  <r>
    <s v="A1133"/>
    <s v="Hope Animal Shelter"/>
    <x v="3"/>
    <x v="1"/>
    <s v="Mixed Breed"/>
    <x v="3"/>
    <s v="Female"/>
    <n v="9"/>
    <n v="11.4"/>
    <x v="4"/>
    <s v="2022-10-18"/>
    <s v="Abandoned"/>
    <s v="2023-02-18"/>
    <s v="Euthanized"/>
    <n v="123"/>
    <x v="0"/>
    <n v="0"/>
    <n v="0"/>
    <x v="0"/>
    <s v="Website"/>
    <s v="Yes"/>
    <s v="Yes"/>
    <s v="No"/>
    <n v="2022"/>
    <s v="October"/>
    <s v="Q4"/>
  </r>
  <r>
    <s v="A1134"/>
    <s v="Second Chance Rescue"/>
    <x v="3"/>
    <x v="1"/>
    <s v="Bulldog"/>
    <x v="3"/>
    <s v="Female"/>
    <n v="2.7"/>
    <n v="25.2"/>
    <x v="3"/>
    <s v="2024-09-25"/>
    <s v="Stray"/>
    <s v="2024-11-08"/>
    <s v="Returned to Owner"/>
    <n v="44"/>
    <x v="0"/>
    <n v="0"/>
    <n v="0"/>
    <x v="0"/>
    <s v="Event"/>
    <s v="Yes"/>
    <s v="Yes"/>
    <s v="No"/>
    <n v="2024"/>
    <s v="September"/>
    <s v="Q3"/>
  </r>
  <r>
    <s v="A1135"/>
    <s v="Furever Home"/>
    <x v="7"/>
    <x v="1"/>
    <s v="Golden Retriever"/>
    <x v="5"/>
    <s v="Female"/>
    <n v="5.3"/>
    <n v="30.8"/>
    <x v="4"/>
    <s v="2022-09-29"/>
    <s v="Stray"/>
    <s v="2022-12-13"/>
    <s v="Adopted"/>
    <n v="75"/>
    <x v="4"/>
    <n v="6058"/>
    <n v="0"/>
    <x v="2"/>
    <s v="Social Media"/>
    <s v="Yes"/>
    <s v="No"/>
    <s v="Yes"/>
    <n v="2022"/>
    <s v="September"/>
    <s v="Q3"/>
  </r>
  <r>
    <s v="A1136"/>
    <s v="Paws &amp; Claws Rescue"/>
    <x v="5"/>
    <x v="1"/>
    <s v="Golden Retriever"/>
    <x v="3"/>
    <s v="Female"/>
    <n v="4.4000000000000004"/>
    <n v="19.2"/>
    <x v="4"/>
    <s v="2023-06-25"/>
    <s v="Owner Surrender"/>
    <s v="2023-07-08"/>
    <s v="Still in Shelter"/>
    <n v="13"/>
    <x v="0"/>
    <n v="0"/>
    <n v="0"/>
    <x v="0"/>
    <s v="Social Media"/>
    <s v="Yes"/>
    <s v="Yes"/>
    <s v="No"/>
    <n v="2023"/>
    <s v="June"/>
    <s v="Q2"/>
  </r>
  <r>
    <s v="A1137"/>
    <s v="City Animal Shelter"/>
    <x v="7"/>
    <x v="3"/>
    <s v="Lionhead"/>
    <x v="5"/>
    <s v="Male"/>
    <n v="4.7"/>
    <n v="26.7"/>
    <x v="0"/>
    <s v="2022-03-24"/>
    <s v="Transfer from Another Shelter"/>
    <s v="2022-08-21"/>
    <s v="Euthanized"/>
    <n v="150"/>
    <x v="0"/>
    <n v="0"/>
    <n v="0"/>
    <x v="0"/>
    <s v="Website"/>
    <s v="Yes"/>
    <s v="No"/>
    <s v="Yes"/>
    <n v="2022"/>
    <s v="March"/>
    <s v="Q1"/>
  </r>
  <r>
    <s v="A1138"/>
    <s v="Happy Paws Shelter"/>
    <x v="4"/>
    <x v="1"/>
    <s v="German Shepherd"/>
    <x v="1"/>
    <s v="Female"/>
    <n v="6.4"/>
    <n v="33.799999999999997"/>
    <x v="2"/>
    <s v="2022-09-24"/>
    <s v="Confiscated"/>
    <s v="2022-10-16"/>
    <s v="Adopted"/>
    <n v="22"/>
    <x v="3"/>
    <n v="3386"/>
    <n v="0"/>
    <x v="1"/>
    <s v="Walk-in"/>
    <s v="No"/>
    <s v="Yes"/>
    <s v="No"/>
    <n v="2022"/>
    <s v="September"/>
    <s v="Q3"/>
  </r>
  <r>
    <s v="A1139"/>
    <s v="Paws &amp; Claws Rescue"/>
    <x v="7"/>
    <x v="0"/>
    <s v="Mixed Breed"/>
    <x v="1"/>
    <s v="Male"/>
    <n v="4.3"/>
    <n v="20.8"/>
    <x v="1"/>
    <s v="2022-03-15"/>
    <s v="Abandoned"/>
    <s v="2022-08-24"/>
    <s v="Returned to Owner"/>
    <n v="162"/>
    <x v="0"/>
    <n v="0"/>
    <n v="0"/>
    <x v="0"/>
    <s v="Walk-in"/>
    <s v="No"/>
    <s v="Yes"/>
    <s v="No"/>
    <n v="2022"/>
    <s v="March"/>
    <s v="Q1"/>
  </r>
  <r>
    <s v="A1140"/>
    <s v="Second Chance Rescue"/>
    <x v="6"/>
    <x v="1"/>
    <s v="Golden Retriever"/>
    <x v="9"/>
    <s v="Female"/>
    <n v="3.1"/>
    <n v="19.7"/>
    <x v="2"/>
    <s v="2024-10-05"/>
    <s v="Abandoned"/>
    <s v="2024-12-31"/>
    <s v="Transferred"/>
    <n v="100"/>
    <x v="0"/>
    <n v="0"/>
    <n v="0"/>
    <x v="0"/>
    <s v="Website"/>
    <s v="Yes"/>
    <s v="Yes"/>
    <s v="No"/>
    <n v="2024"/>
    <s v="October"/>
    <s v="Q4"/>
  </r>
  <r>
    <s v="A1141"/>
    <s v="Second Chance Rescue"/>
    <x v="4"/>
    <x v="1"/>
    <s v="Mixed Breed"/>
    <x v="9"/>
    <s v="Male"/>
    <n v="7.1"/>
    <n v="22.8"/>
    <x v="0"/>
    <s v="2023-10-19"/>
    <s v="Abandoned"/>
    <s v="2024-04-12"/>
    <s v="Transferred"/>
    <n v="176"/>
    <x v="0"/>
    <n v="0"/>
    <n v="0"/>
    <x v="0"/>
    <s v="Social Media"/>
    <s v="Yes"/>
    <s v="No"/>
    <s v="Yes"/>
    <n v="2023"/>
    <s v="October"/>
    <s v="Q4"/>
  </r>
  <r>
    <s v="A1142"/>
    <s v="Second Chance Rescue"/>
    <x v="3"/>
    <x v="0"/>
    <s v="Maine Coon"/>
    <x v="1"/>
    <s v="Female"/>
    <n v="0.2"/>
    <n v="16.5"/>
    <x v="2"/>
    <s v="2024-11-28"/>
    <s v="Born in Shelter"/>
    <s v="2024-12-31"/>
    <s v="Euthanized"/>
    <n v="128"/>
    <x v="0"/>
    <n v="0"/>
    <n v="0"/>
    <x v="0"/>
    <s v="Social Media"/>
    <s v="Yes"/>
    <s v="No"/>
    <s v="No"/>
    <n v="2024"/>
    <s v="November"/>
    <s v="Q4"/>
  </r>
  <r>
    <s v="A1143"/>
    <s v="Paws &amp; Claws Rescue"/>
    <x v="2"/>
    <x v="1"/>
    <s v="Husky"/>
    <x v="2"/>
    <s v="Male"/>
    <n v="7.7"/>
    <n v="7.7"/>
    <x v="0"/>
    <s v="2024-10-14"/>
    <s v="Owner Surrender"/>
    <s v="2024-12-19"/>
    <s v="Adopted"/>
    <n v="66"/>
    <x v="4"/>
    <n v="6254"/>
    <n v="500"/>
    <x v="2"/>
    <s v="Referral"/>
    <s v="Yes"/>
    <s v="Yes"/>
    <s v="No"/>
    <n v="2024"/>
    <s v="October"/>
    <s v="Q4"/>
  </r>
  <r>
    <s v="A1144"/>
    <s v="Paws &amp; Claws Rescue"/>
    <x v="0"/>
    <x v="3"/>
    <s v="Lionhead"/>
    <x v="3"/>
    <s v="Male"/>
    <n v="1.1000000000000001"/>
    <n v="14.3"/>
    <x v="0"/>
    <s v="2022-11-11"/>
    <s v="Confiscated"/>
    <s v="2022-11-16"/>
    <s v="Still in Shelter"/>
    <n v="5"/>
    <x v="0"/>
    <n v="0"/>
    <n v="0"/>
    <x v="0"/>
    <s v="Social Media"/>
    <s v="Yes"/>
    <s v="Yes"/>
    <s v="No"/>
    <n v="2022"/>
    <s v="November"/>
    <s v="Q4"/>
  </r>
  <r>
    <s v="A1145"/>
    <s v="Hope Animal Shelter"/>
    <x v="1"/>
    <x v="0"/>
    <s v="Persian"/>
    <x v="6"/>
    <s v="Female"/>
    <n v="1.9"/>
    <n v="11.5"/>
    <x v="0"/>
    <s v="2023-10-23"/>
    <s v="Transfer from Another Shelter"/>
    <s v="2024-02-06"/>
    <s v="Returned to Owner"/>
    <n v="106"/>
    <x v="0"/>
    <n v="0"/>
    <n v="0"/>
    <x v="0"/>
    <s v="Website"/>
    <s v="No"/>
    <s v="Yes"/>
    <s v="No"/>
    <n v="2023"/>
    <s v="October"/>
    <s v="Q4"/>
  </r>
  <r>
    <s v="A1146"/>
    <s v="Hope Animal Shelter"/>
    <x v="2"/>
    <x v="1"/>
    <s v="Labrador"/>
    <x v="4"/>
    <s v="Male"/>
    <n v="3.2"/>
    <n v="18.2"/>
    <x v="0"/>
    <s v="2024-06-02"/>
    <s v="Confiscated"/>
    <s v="2024-09-07"/>
    <s v="Adopted"/>
    <n v="97"/>
    <x v="5"/>
    <n v="5746"/>
    <n v="2000"/>
    <x v="3"/>
    <s v="Event"/>
    <s v="Yes"/>
    <s v="Yes"/>
    <s v="No"/>
    <n v="2024"/>
    <s v="June"/>
    <s v="Q2"/>
  </r>
  <r>
    <s v="A1147"/>
    <s v="Second Chance Rescue"/>
    <x v="0"/>
    <x v="1"/>
    <s v="Poodle"/>
    <x v="1"/>
    <s v="Female"/>
    <n v="1.9"/>
    <n v="33.299999999999997"/>
    <x v="1"/>
    <s v="2022-11-18"/>
    <s v="Confiscated"/>
    <s v="2022-12-05"/>
    <s v="Adopted"/>
    <n v="17"/>
    <x v="5"/>
    <n v="4448"/>
    <n v="5000"/>
    <x v="4"/>
    <s v="Event"/>
    <s v="Yes"/>
    <s v="No"/>
    <s v="No"/>
    <n v="2022"/>
    <s v="November"/>
    <s v="Q4"/>
  </r>
  <r>
    <s v="A1148"/>
    <s v="City Animal Shelter"/>
    <x v="3"/>
    <x v="0"/>
    <s v="Domestic Shorthair"/>
    <x v="2"/>
    <s v="Female"/>
    <n v="7"/>
    <n v="18.8"/>
    <x v="0"/>
    <s v="2024-04-02"/>
    <s v="Owner Surrender"/>
    <s v="2024-06-18"/>
    <s v="Adopted"/>
    <n v="77"/>
    <x v="5"/>
    <n v="1925"/>
    <n v="5000"/>
    <x v="1"/>
    <s v="Referral"/>
    <s v="Yes"/>
    <s v="No"/>
    <s v="No"/>
    <n v="2024"/>
    <s v="April"/>
    <s v="Q2"/>
  </r>
  <r>
    <s v="A1149"/>
    <s v="Hope Animal Shelter"/>
    <x v="1"/>
    <x v="1"/>
    <s v="Husky"/>
    <x v="8"/>
    <s v="Female"/>
    <n v="9.3000000000000007"/>
    <n v="33.6"/>
    <x v="4"/>
    <s v="2023-05-16"/>
    <s v="Abandoned"/>
    <s v="2023-08-05"/>
    <s v="Euthanized"/>
    <n v="81"/>
    <x v="0"/>
    <n v="0"/>
    <n v="0"/>
    <x v="0"/>
    <s v="Walk-in"/>
    <s v="No"/>
    <s v="No"/>
    <s v="No"/>
    <n v="2023"/>
    <s v="May"/>
    <s v="Q2"/>
  </r>
  <r>
    <s v="A1150"/>
    <s v="Second Chance Rescue"/>
    <x v="3"/>
    <x v="1"/>
    <s v="Bulldog"/>
    <x v="8"/>
    <s v="Male"/>
    <n v="1.8"/>
    <n v="3.1"/>
    <x v="0"/>
    <s v="2023-01-05"/>
    <s v="Abandoned"/>
    <s v="2023-02-03"/>
    <s v="Adopted"/>
    <n v="29"/>
    <x v="2"/>
    <n v="6572"/>
    <n v="5000"/>
    <x v="4"/>
    <s v="Event"/>
    <s v="Yes"/>
    <s v="Yes"/>
    <s v="No"/>
    <n v="2023"/>
    <s v="January"/>
    <s v="Q1"/>
  </r>
  <r>
    <s v="A1151"/>
    <s v="Paws &amp; Claws Rescue"/>
    <x v="7"/>
    <x v="1"/>
    <s v="German Shepherd"/>
    <x v="0"/>
    <s v="Male"/>
    <n v="9.9"/>
    <n v="14.5"/>
    <x v="4"/>
    <s v="2022-07-04"/>
    <s v="Owner Surrender"/>
    <s v="2022-11-02"/>
    <s v="Fostered"/>
    <n v="121"/>
    <x v="0"/>
    <n v="0"/>
    <n v="0"/>
    <x v="0"/>
    <s v="Event"/>
    <s v="Yes"/>
    <s v="Yes"/>
    <s v="Yes"/>
    <n v="2022"/>
    <s v="July"/>
    <s v="Q3"/>
  </r>
  <r>
    <s v="A1152"/>
    <s v="Second Chance Rescue"/>
    <x v="3"/>
    <x v="1"/>
    <s v="Poodle"/>
    <x v="9"/>
    <s v="Male"/>
    <n v="0.3"/>
    <n v="24.2"/>
    <x v="0"/>
    <s v="2024-06-03"/>
    <s v="Owner Surrender"/>
    <s v="2024-09-20"/>
    <s v="Still in Shelter"/>
    <n v="109"/>
    <x v="0"/>
    <n v="0"/>
    <n v="0"/>
    <x v="0"/>
    <s v="Website"/>
    <s v="Yes"/>
    <s v="Yes"/>
    <s v="No"/>
    <n v="2024"/>
    <s v="June"/>
    <s v="Q2"/>
  </r>
  <r>
    <s v="A1153"/>
    <s v="Paws &amp; Claws Rescue"/>
    <x v="4"/>
    <x v="1"/>
    <s v="German Shepherd"/>
    <x v="5"/>
    <s v="Male"/>
    <n v="2.2000000000000002"/>
    <n v="8.9"/>
    <x v="0"/>
    <s v="2022-01-08"/>
    <s v="Born in Shelter"/>
    <s v="2022-04-01"/>
    <s v="Adopted"/>
    <n v="83"/>
    <x v="2"/>
    <n v="5675"/>
    <n v="5000"/>
    <x v="2"/>
    <s v="Event"/>
    <s v="Yes"/>
    <s v="No"/>
    <s v="Yes"/>
    <n v="2022"/>
    <s v="January"/>
    <s v="Q1"/>
  </r>
  <r>
    <s v="A1154"/>
    <s v="Furever Home"/>
    <x v="4"/>
    <x v="1"/>
    <s v="Husky"/>
    <x v="6"/>
    <s v="Male"/>
    <n v="2.1"/>
    <n v="16.3"/>
    <x v="2"/>
    <s v="2024-03-26"/>
    <s v="Born in Shelter"/>
    <s v="2024-08-10"/>
    <s v="Still in Shelter"/>
    <n v="137"/>
    <x v="0"/>
    <n v="0"/>
    <n v="0"/>
    <x v="0"/>
    <s v="Website"/>
    <s v="No"/>
    <s v="No"/>
    <s v="No"/>
    <n v="2024"/>
    <s v="March"/>
    <s v="Q1"/>
  </r>
  <r>
    <s v="A1155"/>
    <s v="Paws &amp; Claws Rescue"/>
    <x v="1"/>
    <x v="1"/>
    <s v="Husky"/>
    <x v="3"/>
    <s v="Female"/>
    <n v="7.7"/>
    <n v="31"/>
    <x v="3"/>
    <s v="2024-04-14"/>
    <s v="Stray"/>
    <s v="2024-05-06"/>
    <s v="Euthanized"/>
    <n v="22"/>
    <x v="0"/>
    <n v="0"/>
    <n v="0"/>
    <x v="0"/>
    <s v="Website"/>
    <s v="No"/>
    <s v="No"/>
    <s v="No"/>
    <n v="2024"/>
    <s v="April"/>
    <s v="Q2"/>
  </r>
  <r>
    <s v="A1156"/>
    <s v="Second Chance Rescue"/>
    <x v="6"/>
    <x v="0"/>
    <s v="Persian"/>
    <x v="4"/>
    <s v="Male"/>
    <n v="9.5"/>
    <n v="7.4"/>
    <x v="0"/>
    <s v="2022-06-02"/>
    <s v="Owner Surrender"/>
    <s v="2022-07-21"/>
    <s v="Adopted"/>
    <n v="49"/>
    <x v="4"/>
    <n v="4219"/>
    <n v="1000"/>
    <x v="1"/>
    <s v="Event"/>
    <s v="No"/>
    <s v="No"/>
    <s v="Yes"/>
    <n v="2022"/>
    <s v="June"/>
    <s v="Q2"/>
  </r>
  <r>
    <s v="A1157"/>
    <s v="Paws &amp; Claws Rescue"/>
    <x v="6"/>
    <x v="2"/>
    <s v="Lovebird"/>
    <x v="9"/>
    <s v="Male"/>
    <n v="9.1"/>
    <n v="25.5"/>
    <x v="2"/>
    <s v="2024-10-06"/>
    <s v="Confiscated"/>
    <s v="2024-12-31"/>
    <s v="Adopted"/>
    <n v="99"/>
    <x v="1"/>
    <n v="677"/>
    <n v="500"/>
    <x v="3"/>
    <s v="Walk-in"/>
    <s v="Yes"/>
    <s v="No"/>
    <s v="No"/>
    <n v="2024"/>
    <s v="October"/>
    <s v="Q4"/>
  </r>
  <r>
    <s v="A1158"/>
    <s v="Hope Animal Shelter"/>
    <x v="4"/>
    <x v="2"/>
    <s v="Parakeet"/>
    <x v="5"/>
    <s v="Female"/>
    <n v="5.0999999999999996"/>
    <n v="29.9"/>
    <x v="0"/>
    <s v="2024-08-01"/>
    <s v="Confiscated"/>
    <s v="2024-12-08"/>
    <s v="Adopted"/>
    <n v="129"/>
    <x v="4"/>
    <n v="1943"/>
    <n v="1000"/>
    <x v="3"/>
    <s v="Walk-in"/>
    <s v="Yes"/>
    <s v="No"/>
    <s v="No"/>
    <n v="2024"/>
    <s v="August"/>
    <s v="Q3"/>
  </r>
  <r>
    <s v="A1159"/>
    <s v="City Animal Shelter"/>
    <x v="0"/>
    <x v="2"/>
    <s v="Canary"/>
    <x v="3"/>
    <s v="Female"/>
    <n v="9.1999999999999993"/>
    <n v="21.6"/>
    <x v="3"/>
    <s v="2024-03-28"/>
    <s v="Owner Surrender"/>
    <s v="2024-08-12"/>
    <s v="Still in Shelter"/>
    <n v="137"/>
    <x v="0"/>
    <n v="0"/>
    <n v="0"/>
    <x v="0"/>
    <s v="Social Media"/>
    <s v="Yes"/>
    <s v="No"/>
    <s v="No"/>
    <n v="2024"/>
    <s v="March"/>
    <s v="Q1"/>
  </r>
  <r>
    <s v="A1160"/>
    <s v="Paws &amp; Claws Rescue"/>
    <x v="3"/>
    <x v="1"/>
    <s v="Bulldog"/>
    <x v="7"/>
    <s v="Female"/>
    <n v="3.6"/>
    <n v="5.2"/>
    <x v="4"/>
    <s v="2024-06-10"/>
    <s v="Transfer from Another Shelter"/>
    <s v="2024-11-18"/>
    <s v="Adopted"/>
    <n v="161"/>
    <x v="2"/>
    <n v="6640"/>
    <n v="2000"/>
    <x v="2"/>
    <s v="Referral"/>
    <s v="Yes"/>
    <s v="Yes"/>
    <s v="No"/>
    <n v="2024"/>
    <s v="June"/>
    <s v="Q2"/>
  </r>
  <r>
    <s v="A1161"/>
    <s v="Hope Animal Shelter"/>
    <x v="5"/>
    <x v="1"/>
    <s v="Mixed Breed"/>
    <x v="8"/>
    <s v="Female"/>
    <n v="7.2"/>
    <n v="11.1"/>
    <x v="4"/>
    <s v="2024-09-19"/>
    <s v="Born in Shelter"/>
    <s v="2024-09-25"/>
    <s v="Adopted"/>
    <n v="6"/>
    <x v="3"/>
    <n v="7532"/>
    <n v="5000"/>
    <x v="4"/>
    <s v="Referral"/>
    <s v="Yes"/>
    <s v="Yes"/>
    <s v="No"/>
    <n v="2024"/>
    <s v="September"/>
    <s v="Q3"/>
  </r>
  <r>
    <s v="A1162"/>
    <s v="Hope Animal Shelter"/>
    <x v="2"/>
    <x v="1"/>
    <s v="Bulldog"/>
    <x v="6"/>
    <s v="Female"/>
    <n v="3.5"/>
    <n v="16.3"/>
    <x v="4"/>
    <s v="2022-08-19"/>
    <s v="Born in Shelter"/>
    <s v="2022-12-03"/>
    <s v="Fostered"/>
    <n v="106"/>
    <x v="0"/>
    <n v="0"/>
    <n v="0"/>
    <x v="0"/>
    <s v="Event"/>
    <s v="Yes"/>
    <s v="No"/>
    <s v="No"/>
    <n v="2022"/>
    <s v="August"/>
    <s v="Q3"/>
  </r>
  <r>
    <s v="A1163"/>
    <s v="Hope Animal Shelter"/>
    <x v="1"/>
    <x v="1"/>
    <s v="Labrador"/>
    <x v="9"/>
    <s v="Female"/>
    <n v="0.2"/>
    <n v="21.4"/>
    <x v="0"/>
    <s v="2023-06-28"/>
    <s v="Stray"/>
    <s v="2023-09-11"/>
    <s v="Euthanized"/>
    <n v="75"/>
    <x v="0"/>
    <n v="0"/>
    <n v="0"/>
    <x v="0"/>
    <s v="Walk-in"/>
    <s v="Yes"/>
    <s v="No"/>
    <s v="No"/>
    <n v="2023"/>
    <s v="June"/>
    <s v="Q2"/>
  </r>
  <r>
    <s v="A1164"/>
    <s v="Happy Paws Shelter"/>
    <x v="6"/>
    <x v="1"/>
    <s v="Labrador"/>
    <x v="8"/>
    <s v="Female"/>
    <n v="6.7"/>
    <n v="31.6"/>
    <x v="0"/>
    <s v="2024-03-23"/>
    <s v="Born in Shelter"/>
    <s v="2024-07-04"/>
    <s v="Transferred"/>
    <n v="103"/>
    <x v="0"/>
    <n v="0"/>
    <n v="0"/>
    <x v="0"/>
    <s v="Walk-in"/>
    <s v="Yes"/>
    <s v="Yes"/>
    <s v="No"/>
    <n v="2024"/>
    <s v="March"/>
    <s v="Q1"/>
  </r>
  <r>
    <s v="A1165"/>
    <s v="Happy Paws Shelter"/>
    <x v="2"/>
    <x v="1"/>
    <s v="Beagle"/>
    <x v="2"/>
    <s v="Male"/>
    <n v="3.2"/>
    <n v="30"/>
    <x v="0"/>
    <s v="2024-09-15"/>
    <s v="Owner Surrender"/>
    <s v="2024-12-03"/>
    <s v="Returned to Owner"/>
    <n v="79"/>
    <x v="0"/>
    <n v="0"/>
    <n v="1000"/>
    <x v="0"/>
    <s v="Referral"/>
    <s v="Yes"/>
    <s v="Yes"/>
    <s v="Yes"/>
    <n v="2024"/>
    <s v="September"/>
    <s v="Q3"/>
  </r>
  <r>
    <s v="A1166"/>
    <s v="Furever Home"/>
    <x v="0"/>
    <x v="1"/>
    <s v="Poodle"/>
    <x v="0"/>
    <s v="Female"/>
    <n v="8.6999999999999993"/>
    <n v="26.7"/>
    <x v="4"/>
    <s v="2022-04-05"/>
    <s v="Owner Surrender"/>
    <s v="2022-09-26"/>
    <s v="Euthanized"/>
    <n v="174"/>
    <x v="0"/>
    <n v="0"/>
    <n v="0"/>
    <x v="0"/>
    <s v="Walk-in"/>
    <s v="Yes"/>
    <s v="No"/>
    <s v="No"/>
    <n v="2022"/>
    <s v="April"/>
    <s v="Q2"/>
  </r>
  <r>
    <s v="A1167"/>
    <s v="City Animal Shelter"/>
    <x v="1"/>
    <x v="0"/>
    <s v="Maine Coon"/>
    <x v="7"/>
    <s v="Male"/>
    <n v="11.7"/>
    <n v="23.4"/>
    <x v="1"/>
    <s v="2023-06-19"/>
    <s v="Transfer from Another Shelter"/>
    <s v="2023-11-11"/>
    <s v="Returned to Owner"/>
    <n v="145"/>
    <x v="0"/>
    <n v="0"/>
    <n v="1000"/>
    <x v="0"/>
    <s v="Walk-in"/>
    <s v="Yes"/>
    <s v="No"/>
    <s v="No"/>
    <n v="2023"/>
    <s v="June"/>
    <s v="Q2"/>
  </r>
  <r>
    <s v="A1168"/>
    <s v="Happy Paws Shelter"/>
    <x v="4"/>
    <x v="1"/>
    <s v="Mixed Breed"/>
    <x v="8"/>
    <s v="Female"/>
    <n v="4.5"/>
    <n v="24.2"/>
    <x v="0"/>
    <s v="2022-03-13"/>
    <s v="Abandoned"/>
    <s v="2022-03-21"/>
    <s v="Adopted"/>
    <n v="8"/>
    <x v="2"/>
    <n v="4671"/>
    <n v="500"/>
    <x v="1"/>
    <s v="Referral"/>
    <s v="No"/>
    <s v="No"/>
    <s v="No"/>
    <n v="2022"/>
    <s v="March"/>
    <s v="Q1"/>
  </r>
  <r>
    <s v="A1169"/>
    <s v="Second Chance Rescue"/>
    <x v="0"/>
    <x v="2"/>
    <s v="Finch"/>
    <x v="1"/>
    <s v="Female"/>
    <n v="4.5999999999999996"/>
    <n v="27.7"/>
    <x v="1"/>
    <s v="2024-03-31"/>
    <s v="Born in Shelter"/>
    <s v="2024-07-05"/>
    <s v="Adopted"/>
    <n v="96"/>
    <x v="4"/>
    <n v="1732"/>
    <n v="0"/>
    <x v="2"/>
    <s v="Website"/>
    <s v="Yes"/>
    <s v="No"/>
    <s v="No"/>
    <n v="2024"/>
    <s v="March"/>
    <s v="Q1"/>
  </r>
  <r>
    <s v="A1170"/>
    <s v="Hope Animal Shelter"/>
    <x v="7"/>
    <x v="1"/>
    <s v="Golden Retriever"/>
    <x v="7"/>
    <s v="Male"/>
    <n v="2.7"/>
    <n v="22.4"/>
    <x v="0"/>
    <s v="2022-09-13"/>
    <s v="Transfer from Another Shelter"/>
    <s v="2023-02-16"/>
    <s v="Adopted"/>
    <n v="156"/>
    <x v="1"/>
    <n v="5717"/>
    <n v="0"/>
    <x v="2"/>
    <s v="Referral"/>
    <s v="Yes"/>
    <s v="No"/>
    <s v="No"/>
    <n v="2022"/>
    <s v="September"/>
    <s v="Q3"/>
  </r>
  <r>
    <s v="A1171"/>
    <s v="Second Chance Rescue"/>
    <x v="4"/>
    <x v="3"/>
    <s v="Flemish Giant"/>
    <x v="1"/>
    <s v="Male"/>
    <n v="4"/>
    <n v="3.8"/>
    <x v="3"/>
    <s v="2023-04-02"/>
    <s v="Stray"/>
    <s v="2023-09-03"/>
    <s v="Still in Shelter"/>
    <n v="154"/>
    <x v="0"/>
    <n v="0"/>
    <n v="0"/>
    <x v="0"/>
    <s v="Website"/>
    <s v="Yes"/>
    <s v="No"/>
    <s v="No"/>
    <n v="2023"/>
    <s v="April"/>
    <s v="Q2"/>
  </r>
  <r>
    <s v="A1172"/>
    <s v="Second Chance Rescue"/>
    <x v="0"/>
    <x v="1"/>
    <s v="German Shepherd"/>
    <x v="4"/>
    <s v="Female"/>
    <n v="3.1"/>
    <n v="4.9000000000000004"/>
    <x v="0"/>
    <s v="2022-12-07"/>
    <s v="Confiscated"/>
    <s v="2023-06-05"/>
    <s v="Adopted"/>
    <n v="180"/>
    <x v="2"/>
    <n v="3027"/>
    <n v="2000"/>
    <x v="2"/>
    <s v="Referral"/>
    <s v="Yes"/>
    <s v="No"/>
    <s v="No"/>
    <n v="2022"/>
    <s v="December"/>
    <s v="Q4"/>
  </r>
  <r>
    <s v="A1173"/>
    <s v="City Animal Shelter"/>
    <x v="2"/>
    <x v="0"/>
    <s v="Mixed Breed"/>
    <x v="3"/>
    <s v="Male"/>
    <n v="6.7"/>
    <n v="25.1"/>
    <x v="1"/>
    <s v="2023-05-20"/>
    <s v="Confiscated"/>
    <s v="2023-10-26"/>
    <s v="Euthanized"/>
    <n v="159"/>
    <x v="0"/>
    <n v="0"/>
    <n v="0"/>
    <x v="0"/>
    <s v="Social Media"/>
    <s v="Yes"/>
    <s v="No"/>
    <s v="No"/>
    <n v="2023"/>
    <s v="May"/>
    <s v="Q2"/>
  </r>
  <r>
    <s v="A1174"/>
    <s v="Furever Home"/>
    <x v="0"/>
    <x v="1"/>
    <s v="Beagle"/>
    <x v="9"/>
    <s v="Female"/>
    <n v="5.9"/>
    <n v="21.7"/>
    <x v="0"/>
    <s v="2022-07-27"/>
    <s v="Born in Shelter"/>
    <s v="2022-11-08"/>
    <s v="Adopted"/>
    <n v="104"/>
    <x v="5"/>
    <n v="7115"/>
    <n v="0"/>
    <x v="4"/>
    <s v="Social Media"/>
    <s v="Yes"/>
    <s v="No"/>
    <s v="No"/>
    <n v="2022"/>
    <s v="July"/>
    <s v="Q3"/>
  </r>
  <r>
    <s v="A1175"/>
    <s v="Second Chance Rescue"/>
    <x v="7"/>
    <x v="1"/>
    <s v="Bulldog"/>
    <x v="7"/>
    <s v="Female"/>
    <n v="7.7"/>
    <n v="12.8"/>
    <x v="0"/>
    <s v="2023-07-06"/>
    <s v="Transfer from Another Shelter"/>
    <s v="2023-11-04"/>
    <s v="Returned to Owner"/>
    <n v="121"/>
    <x v="0"/>
    <n v="0"/>
    <n v="500"/>
    <x v="0"/>
    <s v="Walk-in"/>
    <s v="Yes"/>
    <s v="No"/>
    <s v="No"/>
    <n v="2023"/>
    <s v="July"/>
    <s v="Q3"/>
  </r>
  <r>
    <s v="A1176"/>
    <s v="Happy Paws Shelter"/>
    <x v="2"/>
    <x v="1"/>
    <s v="Husky"/>
    <x v="6"/>
    <s v="Female"/>
    <n v="10.199999999999999"/>
    <n v="21.3"/>
    <x v="1"/>
    <s v="2023-02-13"/>
    <s v="Born in Shelter"/>
    <s v="2023-04-21"/>
    <s v="Transferred"/>
    <n v="67"/>
    <x v="0"/>
    <n v="0"/>
    <n v="0"/>
    <x v="0"/>
    <s v="Walk-in"/>
    <s v="Yes"/>
    <s v="Yes"/>
    <s v="Yes"/>
    <n v="2023"/>
    <s v="February"/>
    <s v="Q1"/>
  </r>
  <r>
    <s v="A1177"/>
    <s v="Paws &amp; Claws Rescue"/>
    <x v="6"/>
    <x v="0"/>
    <s v="Siamese"/>
    <x v="2"/>
    <s v="Male"/>
    <n v="3"/>
    <n v="22.7"/>
    <x v="1"/>
    <s v="2024-05-12"/>
    <s v="Transfer from Another Shelter"/>
    <s v="2024-06-03"/>
    <s v="Adopted"/>
    <n v="22"/>
    <x v="3"/>
    <n v="4319"/>
    <n v="0"/>
    <x v="3"/>
    <s v="Event"/>
    <s v="Yes"/>
    <s v="No"/>
    <s v="No"/>
    <n v="2024"/>
    <s v="May"/>
    <s v="Q2"/>
  </r>
  <r>
    <s v="A1178"/>
    <s v="City Animal Shelter"/>
    <x v="0"/>
    <x v="1"/>
    <s v="Husky"/>
    <x v="1"/>
    <s v="Male"/>
    <n v="9.9"/>
    <n v="15.5"/>
    <x v="0"/>
    <s v="2023-02-07"/>
    <s v="Transfer from Another Shelter"/>
    <s v="2023-02-10"/>
    <s v="Transferred"/>
    <n v="3"/>
    <x v="0"/>
    <n v="0"/>
    <n v="0"/>
    <x v="0"/>
    <s v="Social Media"/>
    <s v="No"/>
    <s v="No"/>
    <s v="No"/>
    <n v="2023"/>
    <s v="February"/>
    <s v="Q1"/>
  </r>
  <r>
    <s v="A1179"/>
    <s v="Furever Home"/>
    <x v="5"/>
    <x v="3"/>
    <s v="Mini Rex"/>
    <x v="6"/>
    <s v="Female"/>
    <n v="6.8"/>
    <n v="4.2"/>
    <x v="0"/>
    <s v="2024-09-15"/>
    <s v="Transfer from Another Shelter"/>
    <s v="2024-12-31"/>
    <s v="Adopted"/>
    <n v="132"/>
    <x v="4"/>
    <n v="915"/>
    <n v="1000"/>
    <x v="1"/>
    <s v="Referral"/>
    <s v="No"/>
    <s v="No"/>
    <s v="No"/>
    <n v="2024"/>
    <s v="September"/>
    <s v="Q3"/>
  </r>
  <r>
    <s v="A1180"/>
    <s v="Paws &amp; Claws Rescue"/>
    <x v="7"/>
    <x v="1"/>
    <s v="Mixed Breed"/>
    <x v="2"/>
    <s v="Female"/>
    <n v="9.8000000000000007"/>
    <n v="5.2"/>
    <x v="0"/>
    <s v="2022-05-14"/>
    <s v="Abandoned"/>
    <s v="2022-08-02"/>
    <s v="Returned to Owner"/>
    <n v="80"/>
    <x v="0"/>
    <n v="0"/>
    <n v="0"/>
    <x v="0"/>
    <s v="Walk-in"/>
    <s v="Yes"/>
    <s v="No"/>
    <s v="Yes"/>
    <n v="2022"/>
    <s v="May"/>
    <s v="Q2"/>
  </r>
  <r>
    <s v="A1181"/>
    <s v="Paws &amp; Claws Rescue"/>
    <x v="4"/>
    <x v="0"/>
    <s v="Persian"/>
    <x v="1"/>
    <s v="Male"/>
    <n v="5.8"/>
    <n v="20.399999999999999"/>
    <x v="0"/>
    <s v="2024-12-26"/>
    <s v="Confiscated"/>
    <s v="2024-12-31"/>
    <s v="Euthanized"/>
    <n v="153"/>
    <x v="0"/>
    <n v="0"/>
    <n v="0"/>
    <x v="0"/>
    <s v="Walk-in"/>
    <s v="No"/>
    <s v="No"/>
    <s v="No"/>
    <n v="2024"/>
    <s v="December"/>
    <s v="Q4"/>
  </r>
  <r>
    <s v="A1182"/>
    <s v="Paws &amp; Claws Rescue"/>
    <x v="7"/>
    <x v="0"/>
    <s v="Siamese"/>
    <x v="0"/>
    <s v="Female"/>
    <n v="8.9"/>
    <n v="18.3"/>
    <x v="1"/>
    <s v="2023-08-27"/>
    <s v="Abandoned"/>
    <s v="2023-12-05"/>
    <s v="Transferred"/>
    <n v="100"/>
    <x v="0"/>
    <n v="0"/>
    <n v="0"/>
    <x v="0"/>
    <s v="Referral"/>
    <s v="Yes"/>
    <s v="No"/>
    <s v="No"/>
    <n v="2023"/>
    <s v="August"/>
    <s v="Q3"/>
  </r>
  <r>
    <s v="A1183"/>
    <s v="Second Chance Rescue"/>
    <x v="6"/>
    <x v="1"/>
    <s v="Beagle"/>
    <x v="4"/>
    <s v="Female"/>
    <n v="1.4"/>
    <n v="20.9"/>
    <x v="4"/>
    <s v="2023-12-15"/>
    <s v="Born in Shelter"/>
    <s v="2024-04-27"/>
    <s v="Adopted"/>
    <n v="134"/>
    <x v="4"/>
    <n v="7246"/>
    <n v="2000"/>
    <x v="1"/>
    <s v="Website"/>
    <s v="Yes"/>
    <s v="No"/>
    <s v="No"/>
    <n v="2023"/>
    <s v="December"/>
    <s v="Q4"/>
  </r>
  <r>
    <s v="A1184"/>
    <s v="City Animal Shelter"/>
    <x v="2"/>
    <x v="1"/>
    <s v="Husky"/>
    <x v="4"/>
    <s v="Female"/>
    <n v="7"/>
    <n v="10.8"/>
    <x v="2"/>
    <s v="2022-06-17"/>
    <s v="Owner Surrender"/>
    <s v="2022-10-14"/>
    <s v="Adopted"/>
    <n v="119"/>
    <x v="4"/>
    <n v="5688"/>
    <n v="5000"/>
    <x v="2"/>
    <s v="Website"/>
    <s v="No"/>
    <s v="No"/>
    <s v="Yes"/>
    <n v="2022"/>
    <s v="June"/>
    <s v="Q2"/>
  </r>
  <r>
    <s v="A1185"/>
    <s v="Paws &amp; Claws Rescue"/>
    <x v="0"/>
    <x v="0"/>
    <s v="Siamese"/>
    <x v="4"/>
    <s v="Male"/>
    <n v="6.1"/>
    <n v="26.4"/>
    <x v="1"/>
    <s v="2023-03-22"/>
    <s v="Transfer from Another Shelter"/>
    <s v="2023-09-02"/>
    <s v="Adopted"/>
    <n v="164"/>
    <x v="3"/>
    <n v="2359"/>
    <n v="1000"/>
    <x v="1"/>
    <s v="Social Media"/>
    <s v="Yes"/>
    <s v="No"/>
    <s v="Yes"/>
    <n v="2023"/>
    <s v="March"/>
    <s v="Q1"/>
  </r>
  <r>
    <s v="A1186"/>
    <s v="Furever Home"/>
    <x v="1"/>
    <x v="1"/>
    <s v="Golden Retriever"/>
    <x v="0"/>
    <s v="Male"/>
    <n v="4.5"/>
    <n v="5.6"/>
    <x v="0"/>
    <s v="2022-08-04"/>
    <s v="Abandoned"/>
    <s v="2022-11-26"/>
    <s v="Fostered"/>
    <n v="114"/>
    <x v="0"/>
    <n v="0"/>
    <n v="0"/>
    <x v="0"/>
    <s v="Walk-in"/>
    <s v="Yes"/>
    <s v="No"/>
    <s v="Yes"/>
    <n v="2022"/>
    <s v="August"/>
    <s v="Q3"/>
  </r>
  <r>
    <s v="A1187"/>
    <s v="Paws &amp; Claws Rescue"/>
    <x v="4"/>
    <x v="1"/>
    <s v="Labrador"/>
    <x v="0"/>
    <s v="Male"/>
    <n v="9"/>
    <n v="4.7"/>
    <x v="0"/>
    <s v="2023-10-15"/>
    <s v="Owner Surrender"/>
    <s v="2023-12-04"/>
    <s v="Adopted"/>
    <n v="50"/>
    <x v="3"/>
    <n v="6232"/>
    <n v="0"/>
    <x v="3"/>
    <s v="Event"/>
    <s v="No"/>
    <s v="No"/>
    <s v="No"/>
    <n v="2023"/>
    <s v="October"/>
    <s v="Q4"/>
  </r>
  <r>
    <s v="A1188"/>
    <s v="Paws &amp; Claws Rescue"/>
    <x v="2"/>
    <x v="3"/>
    <s v="Flemish Giant"/>
    <x v="5"/>
    <s v="Male"/>
    <n v="0.6"/>
    <n v="2.5"/>
    <x v="2"/>
    <s v="2022-09-06"/>
    <s v="Born in Shelter"/>
    <s v="2022-11-08"/>
    <s v="Still in Shelter"/>
    <n v="63"/>
    <x v="0"/>
    <n v="0"/>
    <n v="0"/>
    <x v="0"/>
    <s v="Walk-in"/>
    <s v="Yes"/>
    <s v="No"/>
    <s v="No"/>
    <n v="2022"/>
    <s v="September"/>
    <s v="Q3"/>
  </r>
  <r>
    <s v="A1189"/>
    <s v="Hope Animal Shelter"/>
    <x v="5"/>
    <x v="1"/>
    <s v="Golden Retriever"/>
    <x v="6"/>
    <s v="Female"/>
    <n v="4.9000000000000004"/>
    <n v="31.7"/>
    <x v="2"/>
    <s v="2023-09-06"/>
    <s v="Transfer from Another Shelter"/>
    <s v="2023-10-31"/>
    <s v="Fostered"/>
    <n v="55"/>
    <x v="0"/>
    <n v="0"/>
    <n v="0"/>
    <x v="0"/>
    <s v="Website"/>
    <s v="No"/>
    <s v="Yes"/>
    <s v="No"/>
    <n v="2023"/>
    <s v="September"/>
    <s v="Q3"/>
  </r>
  <r>
    <s v="A1190"/>
    <s v="Happy Paws Shelter"/>
    <x v="3"/>
    <x v="3"/>
    <s v="Lionhead"/>
    <x v="1"/>
    <s v="Female"/>
    <n v="4.3"/>
    <n v="28"/>
    <x v="2"/>
    <s v="2024-04-01"/>
    <s v="Transfer from Another Shelter"/>
    <s v="2024-08-25"/>
    <s v="Returned to Owner"/>
    <n v="146"/>
    <x v="0"/>
    <n v="0"/>
    <n v="0"/>
    <x v="0"/>
    <s v="Walk-in"/>
    <s v="Yes"/>
    <s v="No"/>
    <s v="No"/>
    <n v="2024"/>
    <s v="April"/>
    <s v="Q2"/>
  </r>
  <r>
    <s v="A1191"/>
    <s v="Second Chance Rescue"/>
    <x v="5"/>
    <x v="1"/>
    <s v="Poodle"/>
    <x v="0"/>
    <s v="Male"/>
    <n v="10.3"/>
    <n v="28.8"/>
    <x v="0"/>
    <s v="2022-06-26"/>
    <s v="Abandoned"/>
    <s v="2022-12-10"/>
    <s v="Euthanized"/>
    <n v="167"/>
    <x v="0"/>
    <n v="0"/>
    <n v="0"/>
    <x v="0"/>
    <s v="Walk-in"/>
    <s v="Yes"/>
    <s v="No"/>
    <s v="No"/>
    <n v="2022"/>
    <s v="June"/>
    <s v="Q2"/>
  </r>
  <r>
    <s v="A1192"/>
    <s v="Happy Paws Shelter"/>
    <x v="6"/>
    <x v="1"/>
    <s v="Mixed Breed"/>
    <x v="5"/>
    <s v="Female"/>
    <n v="5.7"/>
    <n v="6.8"/>
    <x v="2"/>
    <s v="2022-03-29"/>
    <s v="Confiscated"/>
    <s v="2022-09-14"/>
    <s v="Adopted"/>
    <n v="169"/>
    <x v="4"/>
    <n v="7162"/>
    <n v="0"/>
    <x v="2"/>
    <s v="Walk-in"/>
    <s v="Yes"/>
    <s v="Yes"/>
    <s v="No"/>
    <n v="2022"/>
    <s v="March"/>
    <s v="Q1"/>
  </r>
  <r>
    <s v="A1193"/>
    <s v="Furever Home"/>
    <x v="0"/>
    <x v="1"/>
    <s v="German Shepherd"/>
    <x v="9"/>
    <s v="Male"/>
    <n v="0.9"/>
    <n v="24.8"/>
    <x v="1"/>
    <s v="2024-02-13"/>
    <s v="Confiscated"/>
    <s v="2024-04-19"/>
    <s v="Transferred"/>
    <n v="66"/>
    <x v="0"/>
    <n v="0"/>
    <n v="0"/>
    <x v="0"/>
    <s v="Referral"/>
    <s v="Yes"/>
    <s v="No"/>
    <s v="No"/>
    <n v="2024"/>
    <s v="February"/>
    <s v="Q1"/>
  </r>
  <r>
    <s v="A1194"/>
    <s v="Happy Paws Shelter"/>
    <x v="3"/>
    <x v="3"/>
    <s v="Lionhead"/>
    <x v="6"/>
    <s v="Male"/>
    <n v="0.6"/>
    <n v="13.4"/>
    <x v="0"/>
    <s v="2023-09-06"/>
    <s v="Transfer from Another Shelter"/>
    <s v="2023-12-20"/>
    <s v="Transferred"/>
    <n v="105"/>
    <x v="0"/>
    <n v="0"/>
    <n v="0"/>
    <x v="0"/>
    <s v="Website"/>
    <s v="Yes"/>
    <s v="No"/>
    <s v="No"/>
    <n v="2023"/>
    <s v="September"/>
    <s v="Q3"/>
  </r>
  <r>
    <s v="A1195"/>
    <s v="Hope Animal Shelter"/>
    <x v="7"/>
    <x v="1"/>
    <s v="Mixed Breed"/>
    <x v="7"/>
    <s v="Male"/>
    <n v="1.3"/>
    <n v="22.4"/>
    <x v="1"/>
    <s v="2023-03-04"/>
    <s v="Born in Shelter"/>
    <s v="2023-06-21"/>
    <s v="Adopted"/>
    <n v="109"/>
    <x v="2"/>
    <n v="7170"/>
    <n v="5000"/>
    <x v="4"/>
    <s v="Website"/>
    <s v="Yes"/>
    <s v="No"/>
    <s v="No"/>
    <n v="2023"/>
    <s v="March"/>
    <s v="Q1"/>
  </r>
  <r>
    <s v="A1196"/>
    <s v="Hope Animal Shelter"/>
    <x v="3"/>
    <x v="1"/>
    <s v="Labrador"/>
    <x v="0"/>
    <s v="Male"/>
    <n v="3.2"/>
    <n v="26.6"/>
    <x v="0"/>
    <s v="2024-05-06"/>
    <s v="Born in Shelter"/>
    <s v="2024-09-10"/>
    <s v="Still in Shelter"/>
    <n v="127"/>
    <x v="0"/>
    <n v="0"/>
    <n v="0"/>
    <x v="0"/>
    <s v="Event"/>
    <s v="Yes"/>
    <s v="No"/>
    <s v="No"/>
    <n v="2024"/>
    <s v="May"/>
    <s v="Q2"/>
  </r>
  <r>
    <s v="A1197"/>
    <s v="Paws &amp; Claws Rescue"/>
    <x v="5"/>
    <x v="0"/>
    <s v="Ragdoll"/>
    <x v="3"/>
    <s v="Female"/>
    <n v="10"/>
    <n v="27"/>
    <x v="0"/>
    <s v="2023-10-18"/>
    <s v="Transfer from Another Shelter"/>
    <s v="2024-01-16"/>
    <s v="Adopted"/>
    <n v="90"/>
    <x v="1"/>
    <n v="4395"/>
    <n v="0"/>
    <x v="3"/>
    <s v="Walk-in"/>
    <s v="No"/>
    <s v="No"/>
    <s v="Yes"/>
    <n v="2023"/>
    <s v="October"/>
    <s v="Q4"/>
  </r>
  <r>
    <s v="A1198"/>
    <s v="Paws &amp; Claws Rescue"/>
    <x v="0"/>
    <x v="0"/>
    <s v="Ragdoll"/>
    <x v="5"/>
    <s v="Female"/>
    <n v="11.4"/>
    <n v="20.9"/>
    <x v="0"/>
    <s v="2024-02-25"/>
    <s v="Born in Shelter"/>
    <s v="2024-05-05"/>
    <s v="Adopted"/>
    <n v="70"/>
    <x v="4"/>
    <n v="2331"/>
    <n v="0"/>
    <x v="2"/>
    <s v="Social Media"/>
    <s v="Yes"/>
    <s v="No"/>
    <s v="No"/>
    <n v="2024"/>
    <s v="February"/>
    <s v="Q1"/>
  </r>
  <r>
    <s v="A1199"/>
    <s v="Hope Animal Shelter"/>
    <x v="3"/>
    <x v="1"/>
    <s v="Mixed Breed"/>
    <x v="0"/>
    <s v="Male"/>
    <n v="10"/>
    <n v="3.8"/>
    <x v="1"/>
    <s v="2023-08-05"/>
    <s v="Stray"/>
    <s v="2023-12-05"/>
    <s v="Fostered"/>
    <n v="122"/>
    <x v="0"/>
    <n v="0"/>
    <n v="0"/>
    <x v="0"/>
    <s v="Social Media"/>
    <s v="Yes"/>
    <s v="No"/>
    <s v="No"/>
    <n v="2023"/>
    <s v="August"/>
    <s v="Q3"/>
  </r>
  <r>
    <s v="A1200"/>
    <s v="City Animal Shelter"/>
    <x v="0"/>
    <x v="1"/>
    <s v="Golden Retriever"/>
    <x v="3"/>
    <s v="Male"/>
    <n v="9.5"/>
    <n v="34"/>
    <x v="0"/>
    <s v="2022-09-19"/>
    <s v="Born in Shelter"/>
    <s v="2022-12-30"/>
    <s v="Adopted"/>
    <n v="102"/>
    <x v="5"/>
    <n v="5856"/>
    <n v="0"/>
    <x v="4"/>
    <s v="Referral"/>
    <s v="No"/>
    <s v="Yes"/>
    <s v="Yes"/>
    <n v="2022"/>
    <s v="September"/>
    <s v="Q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722552-025E-4CA7-86B2-A3CA0A59FBD3}"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87:B133" firstHeaderRow="1" firstDataRow="1" firstDataCol="1"/>
  <pivotFields count="26">
    <pivotField showAll="0"/>
    <pivotField showAll="0"/>
    <pivotField axis="axisRow" showAll="0">
      <items count="9">
        <item x="1"/>
        <item x="3"/>
        <item x="6"/>
        <item x="0"/>
        <item x="2"/>
        <item x="4"/>
        <item x="7"/>
        <item x="5"/>
        <item t="default"/>
      </items>
    </pivotField>
    <pivotField showAll="0">
      <items count="5">
        <item x="2"/>
        <item x="0"/>
        <item x="1"/>
        <item x="3"/>
        <item t="default"/>
      </items>
    </pivotField>
    <pivotField showAll="0"/>
    <pivotField showAll="0">
      <items count="11">
        <item x="9"/>
        <item x="1"/>
        <item x="3"/>
        <item x="5"/>
        <item x="6"/>
        <item x="8"/>
        <item x="7"/>
        <item x="0"/>
        <item x="2"/>
        <item x="4"/>
        <item t="default"/>
      </items>
    </pivotField>
    <pivotField showAll="0"/>
    <pivotField showAll="0"/>
    <pivotField showAll="0"/>
    <pivotField showAll="0">
      <items count="6">
        <item x="0"/>
        <item x="3"/>
        <item x="4"/>
        <item x="2"/>
        <item x="1"/>
        <item t="default"/>
      </items>
    </pivotField>
    <pivotField showAll="0"/>
    <pivotField showAll="0"/>
    <pivotField showAll="0"/>
    <pivotField showAll="0"/>
    <pivotField showAll="0"/>
    <pivotField showAll="0">
      <items count="7">
        <item x="3"/>
        <item x="2"/>
        <item x="5"/>
        <item x="0"/>
        <item x="1"/>
        <item x="4"/>
        <item t="default"/>
      </items>
    </pivotField>
    <pivotField showAll="0"/>
    <pivotField showAll="0"/>
    <pivotField axis="axisRow" dataField="1" showAll="0">
      <items count="6">
        <item x="2"/>
        <item x="3"/>
        <item x="1"/>
        <item x="0"/>
        <item x="4"/>
        <item t="default"/>
      </items>
    </pivotField>
    <pivotField showAll="0"/>
    <pivotField showAll="0"/>
    <pivotField showAll="0"/>
    <pivotField showAll="0"/>
    <pivotField showAll="0"/>
    <pivotField showAll="0"/>
    <pivotField showAll="0"/>
  </pivotFields>
  <rowFields count="2">
    <field x="18"/>
    <field x="2"/>
  </rowFields>
  <rowItems count="46">
    <i>
      <x/>
    </i>
    <i r="1">
      <x/>
    </i>
    <i r="1">
      <x v="1"/>
    </i>
    <i r="1">
      <x v="2"/>
    </i>
    <i r="1">
      <x v="3"/>
    </i>
    <i r="1">
      <x v="4"/>
    </i>
    <i r="1">
      <x v="5"/>
    </i>
    <i r="1">
      <x v="6"/>
    </i>
    <i r="1">
      <x v="7"/>
    </i>
    <i>
      <x v="1"/>
    </i>
    <i r="1">
      <x/>
    </i>
    <i r="1">
      <x v="1"/>
    </i>
    <i r="1">
      <x v="2"/>
    </i>
    <i r="1">
      <x v="3"/>
    </i>
    <i r="1">
      <x v="4"/>
    </i>
    <i r="1">
      <x v="5"/>
    </i>
    <i r="1">
      <x v="6"/>
    </i>
    <i r="1">
      <x v="7"/>
    </i>
    <i>
      <x v="2"/>
    </i>
    <i r="1">
      <x/>
    </i>
    <i r="1">
      <x v="1"/>
    </i>
    <i r="1">
      <x v="2"/>
    </i>
    <i r="1">
      <x v="3"/>
    </i>
    <i r="1">
      <x v="4"/>
    </i>
    <i r="1">
      <x v="5"/>
    </i>
    <i r="1">
      <x v="6"/>
    </i>
    <i r="1">
      <x v="7"/>
    </i>
    <i>
      <x v="3"/>
    </i>
    <i r="1">
      <x/>
    </i>
    <i r="1">
      <x v="1"/>
    </i>
    <i r="1">
      <x v="2"/>
    </i>
    <i r="1">
      <x v="3"/>
    </i>
    <i r="1">
      <x v="4"/>
    </i>
    <i r="1">
      <x v="5"/>
    </i>
    <i r="1">
      <x v="6"/>
    </i>
    <i r="1">
      <x v="7"/>
    </i>
    <i>
      <x v="4"/>
    </i>
    <i r="1">
      <x/>
    </i>
    <i r="1">
      <x v="1"/>
    </i>
    <i r="1">
      <x v="2"/>
    </i>
    <i r="1">
      <x v="3"/>
    </i>
    <i r="1">
      <x v="4"/>
    </i>
    <i r="1">
      <x v="5"/>
    </i>
    <i r="1">
      <x v="6"/>
    </i>
    <i r="1">
      <x v="7"/>
    </i>
    <i t="grand">
      <x/>
    </i>
  </rowItems>
  <colItems count="1">
    <i/>
  </colItems>
  <dataFields count="1">
    <dataField name="Count of Payment_Method" fld="18" subtotal="count" baseField="0" baseItem="0"/>
  </dataFields>
  <formats count="22">
    <format dxfId="1173">
      <pivotArea type="all" dataOnly="0" outline="0" fieldPosition="0"/>
    </format>
    <format dxfId="1172">
      <pivotArea outline="0" collapsedLevelsAreSubtotals="1" fieldPosition="0"/>
    </format>
    <format dxfId="1171">
      <pivotArea field="18" type="button" dataOnly="0" labelOnly="1" outline="0" axis="axisRow" fieldPosition="0"/>
    </format>
    <format dxfId="1170">
      <pivotArea dataOnly="0" labelOnly="1" fieldPosition="0">
        <references count="1">
          <reference field="18" count="0"/>
        </references>
      </pivotArea>
    </format>
    <format dxfId="1169">
      <pivotArea dataOnly="0" labelOnly="1" grandRow="1" outline="0" fieldPosition="0"/>
    </format>
    <format dxfId="1168">
      <pivotArea dataOnly="0" labelOnly="1" fieldPosition="0">
        <references count="2">
          <reference field="2" count="0"/>
          <reference field="18" count="1" selected="0">
            <x v="0"/>
          </reference>
        </references>
      </pivotArea>
    </format>
    <format dxfId="1167">
      <pivotArea dataOnly="0" labelOnly="1" fieldPosition="0">
        <references count="2">
          <reference field="2" count="0"/>
          <reference field="18" count="1" selected="0">
            <x v="1"/>
          </reference>
        </references>
      </pivotArea>
    </format>
    <format dxfId="1166">
      <pivotArea dataOnly="0" labelOnly="1" fieldPosition="0">
        <references count="2">
          <reference field="2" count="0"/>
          <reference field="18" count="1" selected="0">
            <x v="2"/>
          </reference>
        </references>
      </pivotArea>
    </format>
    <format dxfId="1165">
      <pivotArea dataOnly="0" labelOnly="1" fieldPosition="0">
        <references count="2">
          <reference field="2" count="0"/>
          <reference field="18" count="1" selected="0">
            <x v="3"/>
          </reference>
        </references>
      </pivotArea>
    </format>
    <format dxfId="1164">
      <pivotArea dataOnly="0" labelOnly="1" fieldPosition="0">
        <references count="2">
          <reference field="2" count="0"/>
          <reference field="18" count="1" selected="0">
            <x v="4"/>
          </reference>
        </references>
      </pivotArea>
    </format>
    <format dxfId="1163">
      <pivotArea dataOnly="0" labelOnly="1" outline="0" axis="axisValues" fieldPosition="0"/>
    </format>
    <format dxfId="1162">
      <pivotArea type="all" dataOnly="0" outline="0" fieldPosition="0"/>
    </format>
    <format dxfId="1161">
      <pivotArea outline="0" collapsedLevelsAreSubtotals="1" fieldPosition="0"/>
    </format>
    <format dxfId="1160">
      <pivotArea field="18" type="button" dataOnly="0" labelOnly="1" outline="0" axis="axisRow" fieldPosition="0"/>
    </format>
    <format dxfId="1159">
      <pivotArea dataOnly="0" labelOnly="1" fieldPosition="0">
        <references count="1">
          <reference field="18" count="0"/>
        </references>
      </pivotArea>
    </format>
    <format dxfId="1158">
      <pivotArea dataOnly="0" labelOnly="1" grandRow="1" outline="0" fieldPosition="0"/>
    </format>
    <format dxfId="1157">
      <pivotArea dataOnly="0" labelOnly="1" fieldPosition="0">
        <references count="2">
          <reference field="2" count="0"/>
          <reference field="18" count="1" selected="0">
            <x v="0"/>
          </reference>
        </references>
      </pivotArea>
    </format>
    <format dxfId="1156">
      <pivotArea dataOnly="0" labelOnly="1" fieldPosition="0">
        <references count="2">
          <reference field="2" count="0"/>
          <reference field="18" count="1" selected="0">
            <x v="1"/>
          </reference>
        </references>
      </pivotArea>
    </format>
    <format dxfId="1155">
      <pivotArea dataOnly="0" labelOnly="1" fieldPosition="0">
        <references count="2">
          <reference field="2" count="0"/>
          <reference field="18" count="1" selected="0">
            <x v="2"/>
          </reference>
        </references>
      </pivotArea>
    </format>
    <format dxfId="1154">
      <pivotArea dataOnly="0" labelOnly="1" fieldPosition="0">
        <references count="2">
          <reference field="2" count="0"/>
          <reference field="18" count="1" selected="0">
            <x v="3"/>
          </reference>
        </references>
      </pivotArea>
    </format>
    <format dxfId="1153">
      <pivotArea dataOnly="0" labelOnly="1" fieldPosition="0">
        <references count="2">
          <reference field="2" count="0"/>
          <reference field="18" count="1" selected="0">
            <x v="4"/>
          </reference>
        </references>
      </pivotArea>
    </format>
    <format dxfId="115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52A751-7ED6-4EC3-81FB-A7E0F15E15B6}"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74:B81" firstHeaderRow="1" firstDataRow="1" firstDataCol="1"/>
  <pivotFields count="26">
    <pivotField showAll="0"/>
    <pivotField showAll="0"/>
    <pivotField showAll="0">
      <items count="9">
        <item x="1"/>
        <item x="3"/>
        <item x="6"/>
        <item x="0"/>
        <item x="2"/>
        <item x="4"/>
        <item x="7"/>
        <item x="5"/>
        <item t="default"/>
      </items>
    </pivotField>
    <pivotField showAll="0">
      <items count="5">
        <item x="2"/>
        <item x="0"/>
        <item x="1"/>
        <item x="3"/>
        <item t="default"/>
      </items>
    </pivotField>
    <pivotField showAll="0"/>
    <pivotField showAll="0">
      <items count="11">
        <item x="9"/>
        <item x="1"/>
        <item x="3"/>
        <item x="5"/>
        <item x="6"/>
        <item x="8"/>
        <item x="7"/>
        <item x="0"/>
        <item x="2"/>
        <item x="4"/>
        <item t="default"/>
      </items>
    </pivotField>
    <pivotField showAll="0"/>
    <pivotField showAll="0"/>
    <pivotField showAll="0"/>
    <pivotField showAll="0">
      <items count="6">
        <item x="0"/>
        <item x="3"/>
        <item x="4"/>
        <item x="2"/>
        <item x="1"/>
        <item t="default"/>
      </items>
    </pivotField>
    <pivotField showAll="0"/>
    <pivotField showAll="0"/>
    <pivotField showAll="0"/>
    <pivotField showAll="0"/>
    <pivotField showAll="0"/>
    <pivotField axis="axisRow" dataField="1" showAll="0">
      <items count="7">
        <item x="3"/>
        <item x="2"/>
        <item x="5"/>
        <item x="0"/>
        <item x="1"/>
        <item x="4"/>
        <item t="default"/>
      </items>
    </pivotField>
    <pivotField showAll="0"/>
    <pivotField showAll="0"/>
    <pivotField showAll="0">
      <items count="6">
        <item x="2"/>
        <item x="3"/>
        <item x="1"/>
        <item x="0"/>
        <item x="4"/>
        <item t="default"/>
      </items>
    </pivotField>
    <pivotField showAll="0"/>
    <pivotField showAll="0"/>
    <pivotField showAll="0"/>
    <pivotField showAll="0"/>
    <pivotField showAll="0"/>
    <pivotField showAll="0"/>
    <pivotField showAll="0"/>
  </pivotFields>
  <rowFields count="1">
    <field x="15"/>
  </rowFields>
  <rowItems count="7">
    <i>
      <x/>
    </i>
    <i>
      <x v="1"/>
    </i>
    <i>
      <x v="2"/>
    </i>
    <i>
      <x v="3"/>
    </i>
    <i>
      <x v="4"/>
    </i>
    <i>
      <x v="5"/>
    </i>
    <i t="grand">
      <x/>
    </i>
  </rowItems>
  <colItems count="1">
    <i/>
  </colItems>
  <dataFields count="1">
    <dataField name="Count of Adopter_Type" fld="15" subtotal="count" baseField="0" baseItem="0"/>
  </dataFields>
  <formats count="12">
    <format dxfId="1185">
      <pivotArea type="all" dataOnly="0" outline="0" fieldPosition="0"/>
    </format>
    <format dxfId="1184">
      <pivotArea outline="0" collapsedLevelsAreSubtotals="1" fieldPosition="0"/>
    </format>
    <format dxfId="1183">
      <pivotArea field="15" type="button" dataOnly="0" labelOnly="1" outline="0" axis="axisRow" fieldPosition="0"/>
    </format>
    <format dxfId="1182">
      <pivotArea dataOnly="0" labelOnly="1" fieldPosition="0">
        <references count="1">
          <reference field="15" count="0"/>
        </references>
      </pivotArea>
    </format>
    <format dxfId="1181">
      <pivotArea dataOnly="0" labelOnly="1" grandRow="1" outline="0" fieldPosition="0"/>
    </format>
    <format dxfId="1180">
      <pivotArea dataOnly="0" labelOnly="1" outline="0" axis="axisValues" fieldPosition="0"/>
    </format>
    <format dxfId="1179">
      <pivotArea type="all" dataOnly="0" outline="0" fieldPosition="0"/>
    </format>
    <format dxfId="1178">
      <pivotArea outline="0" collapsedLevelsAreSubtotals="1" fieldPosition="0"/>
    </format>
    <format dxfId="1177">
      <pivotArea field="15" type="button" dataOnly="0" labelOnly="1" outline="0" axis="axisRow" fieldPosition="0"/>
    </format>
    <format dxfId="1176">
      <pivotArea dataOnly="0" labelOnly="1" fieldPosition="0">
        <references count="1">
          <reference field="15" count="0"/>
        </references>
      </pivotArea>
    </format>
    <format dxfId="1175">
      <pivotArea dataOnly="0" labelOnly="1" grandRow="1" outline="0" fieldPosition="0"/>
    </format>
    <format dxfId="1174">
      <pivotArea dataOnly="0" labelOnly="1" outline="0" axis="axisValues" fieldPosition="0"/>
    </format>
  </format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258212-9017-433C-A530-27242C2A4B3D}"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8:B69" firstHeaderRow="1" firstDataRow="1" firstDataCol="1"/>
  <pivotFields count="26">
    <pivotField showAll="0"/>
    <pivotField showAll="0"/>
    <pivotField showAll="0"/>
    <pivotField axis="axisRow" showAll="0">
      <items count="5">
        <item x="2"/>
        <item x="0"/>
        <item x="1"/>
        <item x="3"/>
        <item t="default"/>
      </items>
    </pivotField>
    <pivotField dataField="1" showAll="0"/>
    <pivotField axis="axisRow" showAll="0">
      <items count="11">
        <item x="9"/>
        <item x="1"/>
        <item x="3"/>
        <item x="5"/>
        <item x="6"/>
        <item x="8"/>
        <item x="7"/>
        <item x="0"/>
        <item x="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3"/>
        <item x="1"/>
        <item x="0"/>
        <item x="4"/>
        <item t="default"/>
      </items>
    </pivotField>
    <pivotField showAll="0"/>
    <pivotField showAll="0"/>
    <pivotField showAll="0"/>
    <pivotField showAll="0"/>
    <pivotField showAll="0"/>
    <pivotField showAll="0"/>
    <pivotField showAll="0"/>
  </pivotFields>
  <rowFields count="2">
    <field x="5"/>
    <field x="3"/>
  </rowFields>
  <rowItems count="51">
    <i>
      <x/>
    </i>
    <i r="1">
      <x/>
    </i>
    <i r="1">
      <x v="1"/>
    </i>
    <i r="1">
      <x v="2"/>
    </i>
    <i r="1">
      <x v="3"/>
    </i>
    <i>
      <x v="1"/>
    </i>
    <i r="1">
      <x/>
    </i>
    <i r="1">
      <x v="1"/>
    </i>
    <i r="1">
      <x v="2"/>
    </i>
    <i r="1">
      <x v="3"/>
    </i>
    <i>
      <x v="2"/>
    </i>
    <i r="1">
      <x/>
    </i>
    <i r="1">
      <x v="1"/>
    </i>
    <i r="1">
      <x v="2"/>
    </i>
    <i r="1">
      <x v="3"/>
    </i>
    <i>
      <x v="3"/>
    </i>
    <i r="1">
      <x/>
    </i>
    <i r="1">
      <x v="1"/>
    </i>
    <i r="1">
      <x v="2"/>
    </i>
    <i r="1">
      <x v="3"/>
    </i>
    <i>
      <x v="4"/>
    </i>
    <i r="1">
      <x/>
    </i>
    <i r="1">
      <x v="1"/>
    </i>
    <i r="1">
      <x v="2"/>
    </i>
    <i r="1">
      <x v="3"/>
    </i>
    <i>
      <x v="5"/>
    </i>
    <i r="1">
      <x/>
    </i>
    <i r="1">
      <x v="1"/>
    </i>
    <i r="1">
      <x v="2"/>
    </i>
    <i r="1">
      <x v="3"/>
    </i>
    <i>
      <x v="6"/>
    </i>
    <i r="1">
      <x/>
    </i>
    <i r="1">
      <x v="1"/>
    </i>
    <i r="1">
      <x v="2"/>
    </i>
    <i r="1">
      <x v="3"/>
    </i>
    <i>
      <x v="7"/>
    </i>
    <i r="1">
      <x/>
    </i>
    <i r="1">
      <x v="1"/>
    </i>
    <i r="1">
      <x v="2"/>
    </i>
    <i r="1">
      <x v="3"/>
    </i>
    <i>
      <x v="8"/>
    </i>
    <i r="1">
      <x/>
    </i>
    <i r="1">
      <x v="1"/>
    </i>
    <i r="1">
      <x v="2"/>
    </i>
    <i r="1">
      <x v="3"/>
    </i>
    <i>
      <x v="9"/>
    </i>
    <i r="1">
      <x/>
    </i>
    <i r="1">
      <x v="1"/>
    </i>
    <i r="1">
      <x v="2"/>
    </i>
    <i r="1">
      <x v="3"/>
    </i>
    <i t="grand">
      <x/>
    </i>
  </rowItems>
  <colItems count="1">
    <i/>
  </colItems>
  <dataFields count="1">
    <dataField name="Count of Breed" fld="4" subtotal="count" baseField="0" baseItem="0"/>
  </dataFields>
  <formats count="32">
    <format dxfId="1217">
      <pivotArea type="all" dataOnly="0" outline="0" fieldPosition="0"/>
    </format>
    <format dxfId="1216">
      <pivotArea outline="0" collapsedLevelsAreSubtotals="1" fieldPosition="0"/>
    </format>
    <format dxfId="1215">
      <pivotArea field="5" type="button" dataOnly="0" labelOnly="1" outline="0" axis="axisRow" fieldPosition="0"/>
    </format>
    <format dxfId="1214">
      <pivotArea dataOnly="0" labelOnly="1" fieldPosition="0">
        <references count="1">
          <reference field="5" count="0"/>
        </references>
      </pivotArea>
    </format>
    <format dxfId="1213">
      <pivotArea dataOnly="0" labelOnly="1" grandRow="1" outline="0" fieldPosition="0"/>
    </format>
    <format dxfId="1212">
      <pivotArea dataOnly="0" labelOnly="1" fieldPosition="0">
        <references count="2">
          <reference field="3" count="4">
            <x v="0"/>
            <x v="1"/>
            <x v="2"/>
            <x v="3"/>
          </reference>
          <reference field="5" count="1" selected="0">
            <x v="0"/>
          </reference>
        </references>
      </pivotArea>
    </format>
    <format dxfId="1211">
      <pivotArea dataOnly="0" labelOnly="1" fieldPosition="0">
        <references count="2">
          <reference field="3" count="4">
            <x v="0"/>
            <x v="1"/>
            <x v="2"/>
            <x v="3"/>
          </reference>
          <reference field="5" count="1" selected="0">
            <x v="1"/>
          </reference>
        </references>
      </pivotArea>
    </format>
    <format dxfId="1210">
      <pivotArea dataOnly="0" labelOnly="1" fieldPosition="0">
        <references count="2">
          <reference field="3" count="4">
            <x v="0"/>
            <x v="1"/>
            <x v="2"/>
            <x v="3"/>
          </reference>
          <reference field="5" count="1" selected="0">
            <x v="2"/>
          </reference>
        </references>
      </pivotArea>
    </format>
    <format dxfId="1209">
      <pivotArea dataOnly="0" labelOnly="1" fieldPosition="0">
        <references count="2">
          <reference field="3" count="4">
            <x v="0"/>
            <x v="1"/>
            <x v="2"/>
            <x v="3"/>
          </reference>
          <reference field="5" count="1" selected="0">
            <x v="3"/>
          </reference>
        </references>
      </pivotArea>
    </format>
    <format dxfId="1208">
      <pivotArea dataOnly="0" labelOnly="1" fieldPosition="0">
        <references count="2">
          <reference field="3" count="4">
            <x v="0"/>
            <x v="1"/>
            <x v="2"/>
            <x v="3"/>
          </reference>
          <reference field="5" count="1" selected="0">
            <x v="4"/>
          </reference>
        </references>
      </pivotArea>
    </format>
    <format dxfId="1207">
      <pivotArea dataOnly="0" labelOnly="1" fieldPosition="0">
        <references count="2">
          <reference field="3" count="4">
            <x v="0"/>
            <x v="1"/>
            <x v="2"/>
            <x v="3"/>
          </reference>
          <reference field="5" count="1" selected="0">
            <x v="5"/>
          </reference>
        </references>
      </pivotArea>
    </format>
    <format dxfId="1206">
      <pivotArea dataOnly="0" labelOnly="1" fieldPosition="0">
        <references count="2">
          <reference field="3" count="4">
            <x v="0"/>
            <x v="1"/>
            <x v="2"/>
            <x v="3"/>
          </reference>
          <reference field="5" count="1" selected="0">
            <x v="6"/>
          </reference>
        </references>
      </pivotArea>
    </format>
    <format dxfId="1205">
      <pivotArea dataOnly="0" labelOnly="1" fieldPosition="0">
        <references count="2">
          <reference field="3" count="4">
            <x v="0"/>
            <x v="1"/>
            <x v="2"/>
            <x v="3"/>
          </reference>
          <reference field="5" count="1" selected="0">
            <x v="7"/>
          </reference>
        </references>
      </pivotArea>
    </format>
    <format dxfId="1204">
      <pivotArea dataOnly="0" labelOnly="1" fieldPosition="0">
        <references count="2">
          <reference field="3" count="4">
            <x v="0"/>
            <x v="1"/>
            <x v="2"/>
            <x v="3"/>
          </reference>
          <reference field="5" count="1" selected="0">
            <x v="8"/>
          </reference>
        </references>
      </pivotArea>
    </format>
    <format dxfId="1203">
      <pivotArea dataOnly="0" labelOnly="1" fieldPosition="0">
        <references count="2">
          <reference field="3" count="4">
            <x v="0"/>
            <x v="1"/>
            <x v="2"/>
            <x v="3"/>
          </reference>
          <reference field="5" count="1" selected="0">
            <x v="9"/>
          </reference>
        </references>
      </pivotArea>
    </format>
    <format dxfId="1202">
      <pivotArea dataOnly="0" labelOnly="1" outline="0" axis="axisValues" fieldPosition="0"/>
    </format>
    <format dxfId="1201">
      <pivotArea type="all" dataOnly="0" outline="0" fieldPosition="0"/>
    </format>
    <format dxfId="1200">
      <pivotArea outline="0" collapsedLevelsAreSubtotals="1" fieldPosition="0"/>
    </format>
    <format dxfId="1199">
      <pivotArea field="5" type="button" dataOnly="0" labelOnly="1" outline="0" axis="axisRow" fieldPosition="0"/>
    </format>
    <format dxfId="1198">
      <pivotArea dataOnly="0" labelOnly="1" fieldPosition="0">
        <references count="1">
          <reference field="5" count="0"/>
        </references>
      </pivotArea>
    </format>
    <format dxfId="1197">
      <pivotArea dataOnly="0" labelOnly="1" grandRow="1" outline="0" fieldPosition="0"/>
    </format>
    <format dxfId="1196">
      <pivotArea dataOnly="0" labelOnly="1" fieldPosition="0">
        <references count="2">
          <reference field="3" count="4">
            <x v="0"/>
            <x v="1"/>
            <x v="2"/>
            <x v="3"/>
          </reference>
          <reference field="5" count="1" selected="0">
            <x v="0"/>
          </reference>
        </references>
      </pivotArea>
    </format>
    <format dxfId="1195">
      <pivotArea dataOnly="0" labelOnly="1" fieldPosition="0">
        <references count="2">
          <reference field="3" count="4">
            <x v="0"/>
            <x v="1"/>
            <x v="2"/>
            <x v="3"/>
          </reference>
          <reference field="5" count="1" selected="0">
            <x v="1"/>
          </reference>
        </references>
      </pivotArea>
    </format>
    <format dxfId="1194">
      <pivotArea dataOnly="0" labelOnly="1" fieldPosition="0">
        <references count="2">
          <reference field="3" count="4">
            <x v="0"/>
            <x v="1"/>
            <x v="2"/>
            <x v="3"/>
          </reference>
          <reference field="5" count="1" selected="0">
            <x v="2"/>
          </reference>
        </references>
      </pivotArea>
    </format>
    <format dxfId="1193">
      <pivotArea dataOnly="0" labelOnly="1" fieldPosition="0">
        <references count="2">
          <reference field="3" count="4">
            <x v="0"/>
            <x v="1"/>
            <x v="2"/>
            <x v="3"/>
          </reference>
          <reference field="5" count="1" selected="0">
            <x v="3"/>
          </reference>
        </references>
      </pivotArea>
    </format>
    <format dxfId="1192">
      <pivotArea dataOnly="0" labelOnly="1" fieldPosition="0">
        <references count="2">
          <reference field="3" count="4">
            <x v="0"/>
            <x v="1"/>
            <x v="2"/>
            <x v="3"/>
          </reference>
          <reference field="5" count="1" selected="0">
            <x v="4"/>
          </reference>
        </references>
      </pivotArea>
    </format>
    <format dxfId="1191">
      <pivotArea dataOnly="0" labelOnly="1" fieldPosition="0">
        <references count="2">
          <reference field="3" count="4">
            <x v="0"/>
            <x v="1"/>
            <x v="2"/>
            <x v="3"/>
          </reference>
          <reference field="5" count="1" selected="0">
            <x v="5"/>
          </reference>
        </references>
      </pivotArea>
    </format>
    <format dxfId="1190">
      <pivotArea dataOnly="0" labelOnly="1" fieldPosition="0">
        <references count="2">
          <reference field="3" count="4">
            <x v="0"/>
            <x v="1"/>
            <x v="2"/>
            <x v="3"/>
          </reference>
          <reference field="5" count="1" selected="0">
            <x v="6"/>
          </reference>
        </references>
      </pivotArea>
    </format>
    <format dxfId="1189">
      <pivotArea dataOnly="0" labelOnly="1" fieldPosition="0">
        <references count="2">
          <reference field="3" count="4">
            <x v="0"/>
            <x v="1"/>
            <x v="2"/>
            <x v="3"/>
          </reference>
          <reference field="5" count="1" selected="0">
            <x v="7"/>
          </reference>
        </references>
      </pivotArea>
    </format>
    <format dxfId="1188">
      <pivotArea dataOnly="0" labelOnly="1" fieldPosition="0">
        <references count="2">
          <reference field="3" count="4">
            <x v="0"/>
            <x v="1"/>
            <x v="2"/>
            <x v="3"/>
          </reference>
          <reference field="5" count="1" selected="0">
            <x v="8"/>
          </reference>
        </references>
      </pivotArea>
    </format>
    <format dxfId="1187">
      <pivotArea dataOnly="0" labelOnly="1" fieldPosition="0">
        <references count="2">
          <reference field="3" count="4">
            <x v="0"/>
            <x v="1"/>
            <x v="2"/>
            <x v="3"/>
          </reference>
          <reference field="5" count="1" selected="0">
            <x v="9"/>
          </reference>
        </references>
      </pivotArea>
    </format>
    <format dxfId="118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248B12-5BEE-43B5-94E2-09108817DEC7}"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10" firstHeaderRow="1" firstDataRow="1" firstDataCol="1"/>
  <pivotFields count="26">
    <pivotField showAll="0"/>
    <pivotField dataField="1" showAll="0"/>
    <pivotField axis="axisRow" showAll="0">
      <items count="9">
        <item x="1"/>
        <item x="3"/>
        <item x="6"/>
        <item x="0"/>
        <item x="2"/>
        <item x="4"/>
        <item x="7"/>
        <item x="5"/>
        <item t="default"/>
      </items>
    </pivotField>
    <pivotField showAll="0">
      <items count="5">
        <item x="2"/>
        <item x="0"/>
        <item x="1"/>
        <item x="3"/>
        <item t="default"/>
      </items>
    </pivotField>
    <pivotField showAll="0"/>
    <pivotField showAll="0">
      <items count="11">
        <item x="9"/>
        <item x="1"/>
        <item x="3"/>
        <item x="5"/>
        <item x="6"/>
        <item x="8"/>
        <item x="7"/>
        <item x="0"/>
        <item x="2"/>
        <item x="4"/>
        <item t="default"/>
      </items>
    </pivotField>
    <pivotField showAll="0"/>
    <pivotField showAll="0"/>
    <pivotField showAll="0"/>
    <pivotField showAll="0">
      <items count="6">
        <item x="0"/>
        <item x="3"/>
        <item x="4"/>
        <item x="2"/>
        <item x="1"/>
        <item t="default"/>
      </items>
    </pivotField>
    <pivotField showAll="0"/>
    <pivotField showAll="0"/>
    <pivotField showAll="0"/>
    <pivotField showAll="0"/>
    <pivotField showAll="0"/>
    <pivotField showAll="0">
      <items count="7">
        <item x="3"/>
        <item x="2"/>
        <item x="5"/>
        <item x="0"/>
        <item x="1"/>
        <item x="4"/>
        <item t="default"/>
      </items>
    </pivotField>
    <pivotField showAll="0"/>
    <pivotField showAll="0"/>
    <pivotField showAll="0">
      <items count="6">
        <item x="2"/>
        <item x="3"/>
        <item x="1"/>
        <item x="0"/>
        <item x="4"/>
        <item t="default"/>
      </items>
    </pivotField>
    <pivotField showAll="0"/>
    <pivotField showAll="0"/>
    <pivotField showAll="0"/>
    <pivotField showAll="0"/>
    <pivotField showAll="0"/>
    <pivotField showAll="0"/>
    <pivotField showAll="0"/>
  </pivotFields>
  <rowFields count="1">
    <field x="2"/>
  </rowFields>
  <rowItems count="9">
    <i>
      <x/>
    </i>
    <i>
      <x v="1"/>
    </i>
    <i>
      <x v="2"/>
    </i>
    <i>
      <x v="3"/>
    </i>
    <i>
      <x v="4"/>
    </i>
    <i>
      <x v="5"/>
    </i>
    <i>
      <x v="6"/>
    </i>
    <i>
      <x v="7"/>
    </i>
    <i t="grand">
      <x/>
    </i>
  </rowItems>
  <colItems count="1">
    <i/>
  </colItems>
  <dataFields count="1">
    <dataField name="Count of Shelter_Name" fld="1" subtotal="count" baseField="0" baseItem="0"/>
  </dataFields>
  <formats count="12">
    <format dxfId="1229">
      <pivotArea type="all" dataOnly="0" outline="0" fieldPosition="0"/>
    </format>
    <format dxfId="1228">
      <pivotArea outline="0" collapsedLevelsAreSubtotals="1" fieldPosition="0"/>
    </format>
    <format dxfId="1227">
      <pivotArea field="2" type="button" dataOnly="0" labelOnly="1" outline="0" axis="axisRow" fieldPosition="0"/>
    </format>
    <format dxfId="1226">
      <pivotArea dataOnly="0" labelOnly="1" fieldPosition="0">
        <references count="1">
          <reference field="2" count="0"/>
        </references>
      </pivotArea>
    </format>
    <format dxfId="1225">
      <pivotArea dataOnly="0" labelOnly="1" grandRow="1" outline="0" fieldPosition="0"/>
    </format>
    <format dxfId="1224">
      <pivotArea dataOnly="0" labelOnly="1" outline="0" axis="axisValues" fieldPosition="0"/>
    </format>
    <format dxfId="1223">
      <pivotArea type="all" dataOnly="0" outline="0" fieldPosition="0"/>
    </format>
    <format dxfId="1222">
      <pivotArea outline="0" collapsedLevelsAreSubtotals="1" fieldPosition="0"/>
    </format>
    <format dxfId="1221">
      <pivotArea field="2" type="button" dataOnly="0" labelOnly="1" outline="0" axis="axisRow" fieldPosition="0"/>
    </format>
    <format dxfId="1220">
      <pivotArea dataOnly="0" labelOnly="1" fieldPosition="0">
        <references count="1">
          <reference field="2" count="0"/>
        </references>
      </pivotArea>
    </format>
    <format dxfId="1219">
      <pivotArea dataOnly="0" labelOnly="1" grandRow="1" outline="0" fieldPosition="0"/>
    </format>
    <format dxfId="1218">
      <pivotArea dataOnly="0" labelOnly="1" outline="0" axis="axisValues" fieldPosition="0"/>
    </format>
  </formats>
  <chartFormats count="2">
    <chartFormat chart="3"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5"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14E7D89-E61A-47FA-8857-749627F114E0}" name="PivotTable1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35:B161" firstHeaderRow="1" firstDataRow="1" firstDataCol="1"/>
  <pivotFields count="26">
    <pivotField showAll="0"/>
    <pivotField showAll="0"/>
    <pivotField showAll="0"/>
    <pivotField axis="axisRow" showAll="0">
      <items count="5">
        <item x="2"/>
        <item x="0"/>
        <item x="1"/>
        <item x="3"/>
        <item t="default"/>
      </items>
    </pivotField>
    <pivotField showAll="0"/>
    <pivotField showAll="0">
      <items count="11">
        <item x="9"/>
        <item x="1"/>
        <item x="3"/>
        <item x="5"/>
        <item x="6"/>
        <item x="8"/>
        <item x="7"/>
        <item x="0"/>
        <item x="2"/>
        <item x="4"/>
        <item t="default"/>
      </items>
    </pivotField>
    <pivotField showAll="0"/>
    <pivotField showAll="0"/>
    <pivotField showAll="0"/>
    <pivotField axis="axisRow" dataField="1" showAll="0">
      <items count="6">
        <item x="0"/>
        <item x="3"/>
        <item x="4"/>
        <item x="2"/>
        <item x="1"/>
        <item t="default"/>
      </items>
    </pivotField>
    <pivotField showAll="0"/>
    <pivotField showAll="0"/>
    <pivotField showAll="0"/>
    <pivotField showAll="0"/>
    <pivotField showAll="0"/>
    <pivotField showAll="0"/>
    <pivotField showAll="0"/>
    <pivotField showAll="0"/>
    <pivotField showAll="0">
      <items count="6">
        <item x="2"/>
        <item x="3"/>
        <item x="1"/>
        <item x="0"/>
        <item x="4"/>
        <item t="default"/>
      </items>
    </pivotField>
    <pivotField showAll="0"/>
    <pivotField showAll="0"/>
    <pivotField showAll="0"/>
    <pivotField showAll="0"/>
    <pivotField showAll="0"/>
    <pivotField showAll="0"/>
    <pivotField showAll="0"/>
  </pivotFields>
  <rowFields count="2">
    <field x="9"/>
    <field x="3"/>
  </rowFields>
  <rowItems count="26">
    <i>
      <x/>
    </i>
    <i r="1">
      <x/>
    </i>
    <i r="1">
      <x v="1"/>
    </i>
    <i r="1">
      <x v="2"/>
    </i>
    <i r="1">
      <x v="3"/>
    </i>
    <i>
      <x v="1"/>
    </i>
    <i r="1">
      <x/>
    </i>
    <i r="1">
      <x v="1"/>
    </i>
    <i r="1">
      <x v="2"/>
    </i>
    <i r="1">
      <x v="3"/>
    </i>
    <i>
      <x v="2"/>
    </i>
    <i r="1">
      <x/>
    </i>
    <i r="1">
      <x v="1"/>
    </i>
    <i r="1">
      <x v="2"/>
    </i>
    <i r="1">
      <x v="3"/>
    </i>
    <i>
      <x v="3"/>
    </i>
    <i r="1">
      <x/>
    </i>
    <i r="1">
      <x v="1"/>
    </i>
    <i r="1">
      <x v="2"/>
    </i>
    <i r="1">
      <x v="3"/>
    </i>
    <i>
      <x v="4"/>
    </i>
    <i r="1">
      <x/>
    </i>
    <i r="1">
      <x v="1"/>
    </i>
    <i r="1">
      <x v="2"/>
    </i>
    <i r="1">
      <x v="3"/>
    </i>
    <i t="grand">
      <x/>
    </i>
  </rowItems>
  <colItems count="1">
    <i/>
  </colItems>
  <dataFields count="1">
    <dataField name="Count of Health_Status" fld="9" subtotal="count" baseField="0" baseItem="0"/>
  </dataFields>
  <formats count="22">
    <format dxfId="1251">
      <pivotArea type="all" dataOnly="0" outline="0" fieldPosition="0"/>
    </format>
    <format dxfId="1250">
      <pivotArea outline="0" collapsedLevelsAreSubtotals="1" fieldPosition="0"/>
    </format>
    <format dxfId="1249">
      <pivotArea field="9" type="button" dataOnly="0" labelOnly="1" outline="0" axis="axisRow" fieldPosition="0"/>
    </format>
    <format dxfId="1248">
      <pivotArea dataOnly="0" labelOnly="1" fieldPosition="0">
        <references count="1">
          <reference field="9" count="0"/>
        </references>
      </pivotArea>
    </format>
    <format dxfId="1247">
      <pivotArea dataOnly="0" labelOnly="1" grandRow="1" outline="0" fieldPosition="0"/>
    </format>
    <format dxfId="1246">
      <pivotArea dataOnly="0" labelOnly="1" fieldPosition="0">
        <references count="2">
          <reference field="3" count="0"/>
          <reference field="9" count="1" selected="0">
            <x v="0"/>
          </reference>
        </references>
      </pivotArea>
    </format>
    <format dxfId="1245">
      <pivotArea dataOnly="0" labelOnly="1" fieldPosition="0">
        <references count="2">
          <reference field="3" count="0"/>
          <reference field="9" count="1" selected="0">
            <x v="1"/>
          </reference>
        </references>
      </pivotArea>
    </format>
    <format dxfId="1244">
      <pivotArea dataOnly="0" labelOnly="1" fieldPosition="0">
        <references count="2">
          <reference field="3" count="0"/>
          <reference field="9" count="1" selected="0">
            <x v="2"/>
          </reference>
        </references>
      </pivotArea>
    </format>
    <format dxfId="1243">
      <pivotArea dataOnly="0" labelOnly="1" fieldPosition="0">
        <references count="2">
          <reference field="3" count="0"/>
          <reference field="9" count="1" selected="0">
            <x v="3"/>
          </reference>
        </references>
      </pivotArea>
    </format>
    <format dxfId="1242">
      <pivotArea dataOnly="0" labelOnly="1" fieldPosition="0">
        <references count="2">
          <reference field="3" count="0"/>
          <reference field="9" count="1" selected="0">
            <x v="4"/>
          </reference>
        </references>
      </pivotArea>
    </format>
    <format dxfId="1241">
      <pivotArea dataOnly="0" labelOnly="1" outline="0" axis="axisValues" fieldPosition="0"/>
    </format>
    <format dxfId="1240">
      <pivotArea type="all" dataOnly="0" outline="0" fieldPosition="0"/>
    </format>
    <format dxfId="1239">
      <pivotArea outline="0" collapsedLevelsAreSubtotals="1" fieldPosition="0"/>
    </format>
    <format dxfId="1238">
      <pivotArea field="9" type="button" dataOnly="0" labelOnly="1" outline="0" axis="axisRow" fieldPosition="0"/>
    </format>
    <format dxfId="1237">
      <pivotArea dataOnly="0" labelOnly="1" fieldPosition="0">
        <references count="1">
          <reference field="9" count="0"/>
        </references>
      </pivotArea>
    </format>
    <format dxfId="1236">
      <pivotArea dataOnly="0" labelOnly="1" grandRow="1" outline="0" fieldPosition="0"/>
    </format>
    <format dxfId="1235">
      <pivotArea dataOnly="0" labelOnly="1" fieldPosition="0">
        <references count="2">
          <reference field="3" count="0"/>
          <reference field="9" count="1" selected="0">
            <x v="0"/>
          </reference>
        </references>
      </pivotArea>
    </format>
    <format dxfId="1234">
      <pivotArea dataOnly="0" labelOnly="1" fieldPosition="0">
        <references count="2">
          <reference field="3" count="0"/>
          <reference field="9" count="1" selected="0">
            <x v="1"/>
          </reference>
        </references>
      </pivotArea>
    </format>
    <format dxfId="1233">
      <pivotArea dataOnly="0" labelOnly="1" fieldPosition="0">
        <references count="2">
          <reference field="3" count="0"/>
          <reference field="9" count="1" selected="0">
            <x v="2"/>
          </reference>
        </references>
      </pivotArea>
    </format>
    <format dxfId="1232">
      <pivotArea dataOnly="0" labelOnly="1" fieldPosition="0">
        <references count="2">
          <reference field="3" count="0"/>
          <reference field="9" count="1" selected="0">
            <x v="3"/>
          </reference>
        </references>
      </pivotArea>
    </format>
    <format dxfId="1231">
      <pivotArea dataOnly="0" labelOnly="1" fieldPosition="0">
        <references count="2">
          <reference field="3" count="0"/>
          <reference field="9" count="1" selected="0">
            <x v="4"/>
          </reference>
        </references>
      </pivotArea>
    </format>
    <format dxfId="123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E7B728-DF2B-4F21-99DC-DFB7786970CB}" name="PivotTable7"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65:C171" firstHeaderRow="0" firstDataRow="1" firstDataCol="1"/>
  <pivotFields count="26">
    <pivotField showAll="0"/>
    <pivotField showAll="0"/>
    <pivotField showAll="0">
      <items count="9">
        <item x="1"/>
        <item x="3"/>
        <item x="6"/>
        <item x="0"/>
        <item x="2"/>
        <item x="4"/>
        <item x="7"/>
        <item x="5"/>
        <item t="default"/>
      </items>
    </pivotField>
    <pivotField showAll="0">
      <items count="5">
        <item x="2"/>
        <item x="0"/>
        <item x="1"/>
        <item x="3"/>
        <item t="default"/>
      </items>
    </pivotField>
    <pivotField showAll="0"/>
    <pivotField showAll="0">
      <items count="11">
        <item x="9"/>
        <item x="1"/>
        <item x="3"/>
        <item x="5"/>
        <item x="6"/>
        <item x="8"/>
        <item x="7"/>
        <item x="0"/>
        <item x="2"/>
        <item x="4"/>
        <item t="default"/>
      </items>
    </pivotField>
    <pivotField showAll="0"/>
    <pivotField showAll="0"/>
    <pivotField showAll="0"/>
    <pivotField showAll="0">
      <items count="6">
        <item x="0"/>
        <item x="3"/>
        <item x="4"/>
        <item x="2"/>
        <item x="1"/>
        <item t="default"/>
      </items>
    </pivotField>
    <pivotField showAll="0"/>
    <pivotField showAll="0"/>
    <pivotField showAll="0"/>
    <pivotField showAll="0"/>
    <pivotField showAll="0"/>
    <pivotField showAll="0">
      <items count="7">
        <item x="3"/>
        <item x="2"/>
        <item x="5"/>
        <item x="0"/>
        <item x="1"/>
        <item x="4"/>
        <item t="default"/>
      </items>
    </pivotField>
    <pivotField dataField="1" showAll="0"/>
    <pivotField dataField="1" showAll="0"/>
    <pivotField axis="axisRow" showAll="0">
      <items count="6">
        <item x="2"/>
        <item x="3"/>
        <item x="1"/>
        <item x="0"/>
        <item x="4"/>
        <item t="default"/>
      </items>
    </pivotField>
    <pivotField showAll="0"/>
    <pivotField showAll="0"/>
    <pivotField showAll="0"/>
    <pivotField showAll="0"/>
    <pivotField showAll="0"/>
    <pivotField showAll="0"/>
    <pivotField showAll="0"/>
  </pivotFields>
  <rowFields count="1">
    <field x="18"/>
  </rowFields>
  <rowItems count="6">
    <i>
      <x/>
    </i>
    <i>
      <x v="1"/>
    </i>
    <i>
      <x v="2"/>
    </i>
    <i>
      <x v="3"/>
    </i>
    <i>
      <x v="4"/>
    </i>
    <i t="grand">
      <x/>
    </i>
  </rowItems>
  <colFields count="1">
    <field x="-2"/>
  </colFields>
  <colItems count="2">
    <i>
      <x/>
    </i>
    <i i="1">
      <x v="1"/>
    </i>
  </colItems>
  <dataFields count="2">
    <dataField name="Sum of Adoption_Fee_PKR" fld="16" baseField="0" baseItem="0"/>
    <dataField name="Sum of Donation_Amount_PKR" fld="17" baseField="0" baseItem="0"/>
  </dataFields>
  <formats count="12">
    <format dxfId="1263">
      <pivotArea type="all" dataOnly="0" outline="0" fieldPosition="0"/>
    </format>
    <format dxfId="1262">
      <pivotArea outline="0" collapsedLevelsAreSubtotals="1" fieldPosition="0"/>
    </format>
    <format dxfId="1261">
      <pivotArea field="18" type="button" dataOnly="0" labelOnly="1" outline="0" axis="axisRow" fieldPosition="0"/>
    </format>
    <format dxfId="1260">
      <pivotArea dataOnly="0" labelOnly="1" fieldPosition="0">
        <references count="1">
          <reference field="18" count="0"/>
        </references>
      </pivotArea>
    </format>
    <format dxfId="1259">
      <pivotArea dataOnly="0" labelOnly="1" grandRow="1" outline="0" fieldPosition="0"/>
    </format>
    <format dxfId="1258">
      <pivotArea dataOnly="0" labelOnly="1" outline="0" fieldPosition="0">
        <references count="1">
          <reference field="4294967294" count="2">
            <x v="0"/>
            <x v="1"/>
          </reference>
        </references>
      </pivotArea>
    </format>
    <format dxfId="1257">
      <pivotArea type="all" dataOnly="0" outline="0" fieldPosition="0"/>
    </format>
    <format dxfId="1256">
      <pivotArea outline="0" collapsedLevelsAreSubtotals="1" fieldPosition="0"/>
    </format>
    <format dxfId="1255">
      <pivotArea field="18" type="button" dataOnly="0" labelOnly="1" outline="0" axis="axisRow" fieldPosition="0"/>
    </format>
    <format dxfId="1254">
      <pivotArea dataOnly="0" labelOnly="1" fieldPosition="0">
        <references count="1">
          <reference field="18" count="0"/>
        </references>
      </pivotArea>
    </format>
    <format dxfId="1253">
      <pivotArea dataOnly="0" labelOnly="1" grandRow="1" outline="0" fieldPosition="0"/>
    </format>
    <format dxfId="1252">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C7603155-DC64-4455-A8CF-8D23D6FAC993}" sourceName="City">
  <pivotTables>
    <pivotTable tabId="4" name="PivotTable1"/>
    <pivotTable tabId="4" name="PivotTable3"/>
    <pivotTable tabId="4" name="PivotTable4"/>
    <pivotTable tabId="4" name="PivotTable7"/>
  </pivotTables>
  <data>
    <tabular pivotCacheId="1071287539">
      <items count="8">
        <i x="1" s="1"/>
        <i x="3" s="1"/>
        <i x="6" s="1"/>
        <i x="0" s="1"/>
        <i x="2" s="1"/>
        <i x="4" s="1"/>
        <i x="7"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ecies" xr10:uid="{C8045B57-3C4B-41D0-BE74-7BFBD802021A}" sourceName="Species">
  <pivotTables>
    <pivotTable tabId="4" name="PivotTable2"/>
    <pivotTable tabId="4" name="PivotTable7"/>
    <pivotTable tabId="4" name="PivotTable4"/>
    <pivotTable tabId="4" name="PivotTable3"/>
    <pivotTable tabId="4" name="PivotTable1"/>
    <pivotTable tabId="4" name="PivotTable11"/>
  </pivotTables>
  <data>
    <tabular pivotCacheId="1071287539">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or" xr10:uid="{FE1AB2C6-2226-4053-9317-5FD380A7A77B}" sourceName="Color">
  <pivotTables>
    <pivotTable tabId="4" name="PivotTable2"/>
    <pivotTable tabId="4" name="PivotTable1"/>
    <pivotTable tabId="4" name="PivotTable11"/>
    <pivotTable tabId="4" name="PivotTable3"/>
    <pivotTable tabId="4" name="PivotTable4"/>
    <pivotTable tabId="4" name="PivotTable7"/>
  </pivotTables>
  <data>
    <tabular pivotCacheId="1071287539">
      <items count="10">
        <i x="9" s="1"/>
        <i x="1" s="1"/>
        <i x="3" s="1"/>
        <i x="5" s="1"/>
        <i x="6" s="1"/>
        <i x="8" s="1"/>
        <i x="7" s="1"/>
        <i x="0" s="1"/>
        <i x="2"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opter_Type" xr10:uid="{455D3422-1DA3-4171-B249-97437A4FE21D}" sourceName="Adopter_Type">
  <pivotTables>
    <pivotTable tabId="4" name="PivotTable3"/>
    <pivotTable tabId="4" name="PivotTable1"/>
    <pivotTable tabId="4" name="PivotTable4"/>
    <pivotTable tabId="4" name="PivotTable7"/>
  </pivotTables>
  <data>
    <tabular pivotCacheId="1071287539">
      <items count="6">
        <i x="3" s="1"/>
        <i x="2" s="1"/>
        <i x="5" s="1"/>
        <i x="0" s="1"/>
        <i x="1"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alth_Status" xr10:uid="{A7BB9F04-3865-4C5B-B25B-825D9E0A6B84}" sourceName="Health_Status">
  <pivotTables>
    <pivotTable tabId="4" name="PivotTable11"/>
    <pivotTable tabId="4" name="PivotTable1"/>
    <pivotTable tabId="4" name="PivotTable3"/>
    <pivotTable tabId="4" name="PivotTable4"/>
    <pivotTable tabId="4" name="PivotTable7"/>
  </pivotTables>
  <data>
    <tabular pivotCacheId="1071287539">
      <items count="5">
        <i x="0" s="1"/>
        <i x="3" s="1"/>
        <i x="4" s="1"/>
        <i x="2"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64B180BB-640F-4462-B45F-EBF59D171CD3}" sourceName="Payment_Method">
  <pivotTables>
    <pivotTable tabId="4" name="PivotTable4"/>
    <pivotTable tabId="4" name="PivotTable1"/>
    <pivotTable tabId="4" name="PivotTable11"/>
    <pivotTable tabId="4" name="PivotTable2"/>
    <pivotTable tabId="4" name="PivotTable3"/>
    <pivotTable tabId="4" name="PivotTable7"/>
  </pivotTables>
  <data>
    <tabular pivotCacheId="1071287539">
      <items count="5">
        <i x="2" s="1"/>
        <i x="3" s="1"/>
        <i x="1"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128F0519-317F-4A3B-A83E-7C2C5DE7C12D}" cache="Slicer_City" caption="City" rowHeight="234950"/>
  <slicer name="Species" xr10:uid="{5C3D189D-6B1E-4112-B538-90377FEAB569}" cache="Slicer_Species" caption="Species" rowHeight="234950"/>
  <slicer name="Species 1" xr10:uid="{1D5FC6D1-2BC7-461A-9843-B0C714DB6431}" cache="Slicer_Species" caption="Species" rowHeight="234950"/>
  <slicer name="Color" xr10:uid="{9D208900-580D-416A-B24C-61473A6F9E5E}" cache="Slicer_Color" caption="Color" rowHeight="234950"/>
  <slicer name="Adopter_Type" xr10:uid="{CB53F8A8-2E46-4025-AE21-B1FCF6F67747}" cache="Slicer_Adopter_Type" caption="Adopter_Type" rowHeight="234950"/>
  <slicer name="Health_Status" xr10:uid="{28AEA2DE-6CAA-40B0-8FE8-4E5592DD067A}" cache="Slicer_Health_Status" caption="Health_Status" rowHeight="234950"/>
  <slicer name="Payment_Method" xr10:uid="{2F5D75B2-B394-4208-AEEE-813DDFEDD28A}" cache="Slicer_Payment_Method" caption="Payment_Metho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313BE2-AFEA-426A-8FD9-6BE34D7BB94A}" name="Table1" displayName="Table1" ref="A1:Z1201" totalsRowShown="0" headerRowDxfId="1" tableBorderDxfId="1292">
  <autoFilter ref="A1:Z1201" xr:uid="{70313BE2-AFEA-426A-8FD9-6BE34D7BB94A}"/>
  <tableColumns count="26">
    <tableColumn id="1" xr3:uid="{544F3CE0-DA57-4827-B28E-70387537836C}" name="Animal_ID"/>
    <tableColumn id="2" xr3:uid="{75F62F80-8F84-4F42-B1F3-2C11AB4420C6}" name="Shelter_Name"/>
    <tableColumn id="3" xr3:uid="{26A92DAD-BA09-4981-BB59-C36117B5517B}" name="City"/>
    <tableColumn id="4" xr3:uid="{1CD54380-AC84-4BD2-AB89-0867B60B64E1}" name="Species"/>
    <tableColumn id="5" xr3:uid="{6308600C-9A3F-4491-BFA5-281D581475E8}" name="Breed"/>
    <tableColumn id="6" xr3:uid="{B22CDD39-8351-4334-87A1-C41AD97A8FCB}" name="Color"/>
    <tableColumn id="7" xr3:uid="{1B5D6A38-AEAF-4E31-A416-7CC24A3312BE}" name="Gender"/>
    <tableColumn id="8" xr3:uid="{20A44C1E-235D-435C-B7EF-A4EA0EB8BB0A}" name="Age_Years"/>
    <tableColumn id="9" xr3:uid="{179A6C1B-06ED-452E-8B51-D607E2CEEB25}" name="Weight_KG"/>
    <tableColumn id="10" xr3:uid="{CCD4C7D9-8FDF-44BF-9E2E-4482AFEDD5CA}" name="Health_Status"/>
    <tableColumn id="11" xr3:uid="{86CC60B4-0E98-4FEA-9DA4-6FC0F204A9CB}" name="Intake_Date"/>
    <tableColumn id="12" xr3:uid="{FEF45FF8-EB25-4FFB-9808-0E9DD659126A}" name="Intake_Reason"/>
    <tableColumn id="13" xr3:uid="{A5EE7FC1-6FA5-455F-8BF5-4D332A533F14}" name="Outcome_Date"/>
    <tableColumn id="14" xr3:uid="{6D74F9E2-612C-4640-BF77-ABEDC39D3F21}" name="Outcome_Type"/>
    <tableColumn id="15" xr3:uid="{3E82F0E4-E7BE-4851-8EC5-6F23649B9A27}" name="Days_In_Shelter"/>
    <tableColumn id="16" xr3:uid="{C245EEF7-D5B8-4180-842D-00B34DE84E3B}" name="Adopter_Type"/>
    <tableColumn id="17" xr3:uid="{E5AC513A-66AA-409E-8DFC-5B5E40271123}" name="Adoption_Fee_PKR"/>
    <tableColumn id="18" xr3:uid="{0BFAF433-85CB-4F36-A79F-17A231DFB0AB}" name="Donation_Amount_PKR"/>
    <tableColumn id="19" xr3:uid="{BB2BC42C-5E6F-4758-891B-9BE317A204CC}" name="Payment_Method"/>
    <tableColumn id="20" xr3:uid="{652E90BA-DF4D-4457-9FC4-A8A3377BBEEB}" name="Source_of_Inquiry"/>
    <tableColumn id="21" xr3:uid="{3E83BC29-0BB2-4153-B586-33B90BB81D6E}" name="Vaccinated"/>
    <tableColumn id="22" xr3:uid="{992E3323-25C0-4B6F-AD78-6E498F347155}" name="Neutered_Spayed"/>
    <tableColumn id="23" xr3:uid="{72054E8B-0700-4F03-B12B-C67FABD120CA}" name="Microchipped"/>
    <tableColumn id="24" xr3:uid="{DDF35711-CFD4-4981-87E3-86B0DBF1D878}" name="Year"/>
    <tableColumn id="25" xr3:uid="{AAF0A9B1-A594-490E-A80B-CE664E43383E}" name="Month"/>
    <tableColumn id="26" xr3:uid="{303F594D-8ACC-480D-B80A-4C9D1F86F1A3}" name="Quarter"/>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3FA1731-DAB2-474F-85D7-A1F4B517B521}" name="Table2" displayName="Table2" ref="A1:Z1201" totalsRowShown="0" headerRowDxfId="0" dataDxfId="1291" tableBorderDxfId="1290">
  <autoFilter ref="A1:Z1201" xr:uid="{33FA1731-DAB2-474F-85D7-A1F4B517B521}"/>
  <tableColumns count="26">
    <tableColumn id="1" xr3:uid="{1FC7AC84-8D87-44A7-A6A6-ACCAC16E23FB}" name="Animal_ID" dataDxfId="1289"/>
    <tableColumn id="2" xr3:uid="{4375BBC8-76E9-4F43-AA3C-FB20D4BE2B7D}" name="Shelter_Name" dataDxfId="1288"/>
    <tableColumn id="3" xr3:uid="{327AA8E4-E8C8-4ED5-BCD8-79C0D486DF3A}" name="City" dataDxfId="1287"/>
    <tableColumn id="4" xr3:uid="{933B22E9-89B2-46D0-8E0B-D8E8A705CE78}" name="Species" dataDxfId="1286"/>
    <tableColumn id="5" xr3:uid="{72D335D4-16D4-42BC-98A5-4476CF38357D}" name="Breed" dataDxfId="1285"/>
    <tableColumn id="6" xr3:uid="{93DB06FC-F030-4EBB-AA83-D1C12D0BD2DF}" name="Color" dataDxfId="1284"/>
    <tableColumn id="7" xr3:uid="{78E55D8C-6553-4705-8F51-07F65FDC5EA2}" name="Gender" dataDxfId="1283"/>
    <tableColumn id="8" xr3:uid="{4C070BF7-12B1-4BC0-A87C-7B82083919A3}" name="Age_Years" dataDxfId="1282"/>
    <tableColumn id="9" xr3:uid="{1E69926A-A1D8-495A-BB68-8B47F162833B}" name="Weight_KG" dataDxfId="1281"/>
    <tableColumn id="10" xr3:uid="{08AF241F-5664-4AA4-982F-CD9A9CF5CCE3}" name="Health_Status" dataDxfId="1280"/>
    <tableColumn id="11" xr3:uid="{440B7970-5D05-470C-941F-E52802E1ABFD}" name="Intake_Date" dataDxfId="1279"/>
    <tableColumn id="12" xr3:uid="{C0AC6D45-A9DC-43F1-B4AD-8255363DBA50}" name="Intake_Reason" dataDxfId="1278"/>
    <tableColumn id="13" xr3:uid="{1504A0BA-68BB-4CA8-BF4A-770832BD9DE2}" name="Outcome_Date" dataDxfId="1277"/>
    <tableColumn id="14" xr3:uid="{B44A600A-26DD-4F1A-B48F-37FF7F124712}" name="Outcome_Type" dataDxfId="1276"/>
    <tableColumn id="15" xr3:uid="{460473B2-21CA-477F-8BF8-5DAA11673EBC}" name="Days_In_Shelter" dataDxfId="1275"/>
    <tableColumn id="16" xr3:uid="{5D3112C6-2F02-4B27-87CC-327E1FCED4BC}" name="Adopter_Type" dataDxfId="1274"/>
    <tableColumn id="17" xr3:uid="{E723A2A0-C6BC-4186-A290-AE7A5BC002D8}" name="Adoption_Fee_PKR" dataDxfId="1273"/>
    <tableColumn id="18" xr3:uid="{74DBE55D-D44C-460E-AD1E-0575736DB21E}" name="Donation_Amount_PKR" dataDxfId="1272"/>
    <tableColumn id="19" xr3:uid="{127102D7-C869-450A-AEBF-A95AA0B1E61C}" name="Payment_Method" dataDxfId="1271"/>
    <tableColumn id="20" xr3:uid="{000BDE92-8289-42E9-9985-076CCA0E7D8E}" name="Source_of_Inquiry" dataDxfId="1270"/>
    <tableColumn id="21" xr3:uid="{DEB4F48C-B12F-4015-A71D-24CC78FC76AB}" name="Vaccinated" dataDxfId="1269"/>
    <tableColumn id="22" xr3:uid="{28DC0355-C3C9-4B36-B5A3-8BAC949A119D}" name="Neutered_Spayed" dataDxfId="1268"/>
    <tableColumn id="23" xr3:uid="{CA7CE8CE-C3E0-49BA-8F9C-FC820543B3DF}" name="Microchipped" dataDxfId="1267"/>
    <tableColumn id="24" xr3:uid="{01E600E4-D938-4B7A-958B-87BFFEBFDA91}" name="Year" dataDxfId="1266"/>
    <tableColumn id="25" xr3:uid="{FB037A7E-1142-49FA-BF92-173F96BF8250}" name="Month" dataDxfId="1265"/>
    <tableColumn id="26" xr3:uid="{9A7DE5A6-8734-470D-8100-27825CE015CC}" name="Quarter" dataDxfId="1264"/>
  </tableColumns>
  <tableStyleInfo name="TableStyleLight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117FCD-F2E6-4338-80DA-F72F81FABC8A}" name="Table3" displayName="Table3" ref="H3:I10" totalsRowShown="0">
  <autoFilter ref="H3:I10" xr:uid="{67117FCD-F2E6-4338-80DA-F72F81FABC8A}"/>
  <sortState xmlns:xlrd2="http://schemas.microsoft.com/office/spreadsheetml/2017/richdata2" ref="H4:I10">
    <sortCondition descending="1" ref="I3:I10"/>
  </sortState>
  <tableColumns count="2">
    <tableColumn id="1" xr3:uid="{CF2AD407-3D3A-4C92-AAD0-18CEA290AD8D}" name="SUMMARY" dataDxfId="1293"/>
    <tableColumn id="2" xr3:uid="{C9B752D5-7BEC-4878-A40E-86BCECE3C741}" name=" Amounts"/>
  </tableColumns>
  <tableStyleInfo name="TableStyleMedium2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F4CF6D1-16B6-40AA-8D5A-3518DC26841E}" name="Table4" displayName="Table4" ref="A2:E19" totalsRowShown="0" headerRowDxfId="2">
  <autoFilter ref="A2:E19" xr:uid="{7F4CF6D1-16B6-40AA-8D5A-3518DC26841E}"/>
  <tableColumns count="5">
    <tableColumn id="1" xr3:uid="{29850B4B-F261-4530-9280-D4E7CEB6A2D0}" name="Enter the animal id"/>
    <tableColumn id="2" xr3:uid="{226ACF04-1ACE-4A5B-9B90-EA41AB23B4C3}" name="Breed">
      <calculatedColumnFormula>VLOOKUP(A3,'Cleaned data'!$A:$Y,5,0)</calculatedColumnFormula>
    </tableColumn>
    <tableColumn id="3" xr3:uid="{8234F8D6-2693-49B1-B343-873B2D237AA6}" name="Health status">
      <calculatedColumnFormula>VLOOKUP(A3,'Cleaned data'!$A:$Y,10,0)</calculatedColumnFormula>
    </tableColumn>
    <tableColumn id="4" xr3:uid="{4C1B35EC-5E13-4539-A176-3184534F0280}" name="Status">
      <calculatedColumnFormula>VLOOKUP(A3,'Cleaned data'!$A:$Y,10,0)</calculatedColumnFormula>
    </tableColumn>
    <tableColumn id="5" xr3:uid="{43EA629F-C9F6-4580-9830-D86B152C8E32}" name="Age">
      <calculatedColumnFormula>_xlfn.XLOOKUP(A3,'Cleaned data'!$A:$A,'Cleaned data'!$H:$H,"Not Found")</calculatedColumnFormula>
    </tableColumn>
  </tableColumns>
  <tableStyleInfo name="TableStyleMedium23"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table" Target="../tables/table4.xml"/><Relationship Id="rId3" Type="http://schemas.openxmlformats.org/officeDocument/2006/relationships/hyperlink" Target="file:///\\sum" TargetMode="External"/><Relationship Id="rId7" Type="http://schemas.openxmlformats.org/officeDocument/2006/relationships/table" Target="../tables/table3.xml"/><Relationship Id="rId2" Type="http://schemas.openxmlformats.org/officeDocument/2006/relationships/hyperlink" Target="file:///\\countif" TargetMode="External"/><Relationship Id="rId1" Type="http://schemas.openxmlformats.org/officeDocument/2006/relationships/hyperlink" Target="file:///\\countif" TargetMode="External"/><Relationship Id="rId6" Type="http://schemas.openxmlformats.org/officeDocument/2006/relationships/hyperlink" Target="file:///\\countifs" TargetMode="External"/><Relationship Id="rId5" Type="http://schemas.openxmlformats.org/officeDocument/2006/relationships/hyperlink" Target="file:///\\countifs" TargetMode="External"/><Relationship Id="rId4" Type="http://schemas.openxmlformats.org/officeDocument/2006/relationships/hyperlink" Target="file:///\\countif" TargetMode="Externa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249977111117893"/>
  </sheetPr>
  <dimension ref="A1:Z1201"/>
  <sheetViews>
    <sheetView zoomScale="61" zoomScaleNormal="100" workbookViewId="0">
      <selection activeCell="F15" sqref="F15"/>
    </sheetView>
  </sheetViews>
  <sheetFormatPr defaultColWidth="8.6640625" defaultRowHeight="14.4"/>
  <cols>
    <col min="1" max="1" width="12.77734375" customWidth="1"/>
    <col min="2" max="2" width="20.6640625" bestFit="1" customWidth="1"/>
    <col min="3" max="3" width="10.6640625" bestFit="1" customWidth="1"/>
    <col min="4" max="4" width="10.88671875" customWidth="1"/>
    <col min="5" max="5" width="17.6640625" bestFit="1" customWidth="1"/>
    <col min="6" max="6" width="13" bestFit="1" customWidth="1"/>
    <col min="7" max="7" width="10.44140625" customWidth="1"/>
    <col min="8" max="8" width="13.77734375" customWidth="1"/>
    <col min="9" max="9" width="13.6640625" customWidth="1"/>
    <col min="10" max="10" width="22.88671875" bestFit="1" customWidth="1"/>
    <col min="11" max="11" width="14.5546875" customWidth="1"/>
    <col min="12" max="12" width="26.6640625" bestFit="1" customWidth="1"/>
    <col min="13" max="13" width="17.33203125" customWidth="1"/>
    <col min="14" max="14" width="17.88671875" customWidth="1"/>
    <col min="15" max="15" width="18.77734375" customWidth="1"/>
    <col min="16" max="16" width="17" customWidth="1"/>
    <col min="17" max="17" width="21.5546875" customWidth="1"/>
    <col min="18" max="18" width="25.44140625" customWidth="1"/>
    <col min="19" max="19" width="20.21875" customWidth="1"/>
    <col min="20" max="20" width="21" customWidth="1"/>
    <col min="21" max="21" width="13.77734375" customWidth="1"/>
    <col min="22" max="22" width="20.44140625" customWidth="1"/>
    <col min="23" max="23" width="16.44140625" customWidth="1"/>
    <col min="24" max="24" width="7.5546875" customWidth="1"/>
    <col min="25" max="25" width="10.5546875" bestFit="1" customWidth="1"/>
    <col min="26" max="26" width="10.5546875" customWidth="1"/>
  </cols>
  <sheetData>
    <row r="1" spans="1:26" s="7" customFormat="1">
      <c r="A1" s="40" t="s">
        <v>0</v>
      </c>
      <c r="B1" s="40" t="s">
        <v>1</v>
      </c>
      <c r="C1" s="40" t="s">
        <v>2</v>
      </c>
      <c r="D1" s="40" t="s">
        <v>3</v>
      </c>
      <c r="E1" s="40" t="s">
        <v>4</v>
      </c>
      <c r="F1" s="40" t="s">
        <v>5</v>
      </c>
      <c r="G1" s="40" t="s">
        <v>6</v>
      </c>
      <c r="H1" s="40" t="s">
        <v>7</v>
      </c>
      <c r="I1" s="40" t="s">
        <v>8</v>
      </c>
      <c r="J1" s="40" t="s">
        <v>9</v>
      </c>
      <c r="K1" s="40" t="s">
        <v>10</v>
      </c>
      <c r="L1" s="40" t="s">
        <v>11</v>
      </c>
      <c r="M1" s="40" t="s">
        <v>12</v>
      </c>
      <c r="N1" s="40" t="s">
        <v>13</v>
      </c>
      <c r="O1" s="40" t="s">
        <v>14</v>
      </c>
      <c r="P1" s="40" t="s">
        <v>15</v>
      </c>
      <c r="Q1" s="40" t="s">
        <v>16</v>
      </c>
      <c r="R1" s="40" t="s">
        <v>17</v>
      </c>
      <c r="S1" s="40" t="s">
        <v>18</v>
      </c>
      <c r="T1" s="40" t="s">
        <v>19</v>
      </c>
      <c r="U1" s="40" t="s">
        <v>20</v>
      </c>
      <c r="V1" s="40" t="s">
        <v>21</v>
      </c>
      <c r="W1" s="40" t="s">
        <v>22</v>
      </c>
      <c r="X1" s="40" t="s">
        <v>23</v>
      </c>
      <c r="Y1" s="40" t="s">
        <v>24</v>
      </c>
      <c r="Z1" s="40" t="s">
        <v>25</v>
      </c>
    </row>
    <row r="2" spans="1:26">
      <c r="A2" t="s">
        <v>26</v>
      </c>
      <c r="B2" t="s">
        <v>27</v>
      </c>
      <c r="C2" t="s">
        <v>28</v>
      </c>
      <c r="D2" t="s">
        <v>29</v>
      </c>
      <c r="E2" t="s">
        <v>30</v>
      </c>
      <c r="F2" t="s">
        <v>31</v>
      </c>
      <c r="G2" t="s">
        <v>32</v>
      </c>
      <c r="H2">
        <v>8.9</v>
      </c>
      <c r="I2">
        <v>23.8</v>
      </c>
      <c r="J2" t="s">
        <v>33</v>
      </c>
      <c r="K2" t="s">
        <v>34</v>
      </c>
      <c r="L2" t="s">
        <v>35</v>
      </c>
      <c r="M2" t="s">
        <v>36</v>
      </c>
      <c r="N2" t="s">
        <v>37</v>
      </c>
      <c r="O2">
        <v>63</v>
      </c>
      <c r="Q2">
        <v>0</v>
      </c>
      <c r="R2">
        <v>0</v>
      </c>
      <c r="T2" t="s">
        <v>38</v>
      </c>
      <c r="U2" t="s">
        <v>39</v>
      </c>
      <c r="V2" t="s">
        <v>39</v>
      </c>
      <c r="W2" t="s">
        <v>39</v>
      </c>
      <c r="X2">
        <v>2023</v>
      </c>
      <c r="Y2" t="s">
        <v>40</v>
      </c>
      <c r="Z2" t="s">
        <v>41</v>
      </c>
    </row>
    <row r="3" spans="1:26">
      <c r="A3" t="s">
        <v>42</v>
      </c>
      <c r="B3" t="s">
        <v>43</v>
      </c>
      <c r="C3" t="s">
        <v>44</v>
      </c>
      <c r="D3" t="s">
        <v>29</v>
      </c>
      <c r="E3" t="s">
        <v>45</v>
      </c>
      <c r="F3" t="s">
        <v>46</v>
      </c>
      <c r="G3" t="s">
        <v>32</v>
      </c>
      <c r="H3">
        <v>9.6999999999999993</v>
      </c>
      <c r="I3">
        <v>0.7</v>
      </c>
      <c r="J3" t="s">
        <v>33</v>
      </c>
      <c r="K3" t="s">
        <v>47</v>
      </c>
      <c r="L3" t="s">
        <v>48</v>
      </c>
      <c r="M3" t="s">
        <v>49</v>
      </c>
      <c r="N3" t="s">
        <v>50</v>
      </c>
      <c r="O3">
        <v>57</v>
      </c>
      <c r="Q3">
        <v>0</v>
      </c>
      <c r="R3">
        <v>500</v>
      </c>
      <c r="T3" t="s">
        <v>51</v>
      </c>
      <c r="U3" t="s">
        <v>39</v>
      </c>
      <c r="V3" t="s">
        <v>39</v>
      </c>
      <c r="W3" t="s">
        <v>52</v>
      </c>
      <c r="X3">
        <v>2024</v>
      </c>
      <c r="Y3" t="s">
        <v>53</v>
      </c>
      <c r="Z3" t="s">
        <v>54</v>
      </c>
    </row>
    <row r="4" spans="1:26">
      <c r="A4" t="s">
        <v>55</v>
      </c>
      <c r="B4" t="s">
        <v>27</v>
      </c>
      <c r="C4" t="s">
        <v>28</v>
      </c>
      <c r="D4" t="s">
        <v>29</v>
      </c>
      <c r="E4" t="s">
        <v>56</v>
      </c>
      <c r="F4" t="s">
        <v>57</v>
      </c>
      <c r="G4" t="s">
        <v>58</v>
      </c>
      <c r="H4">
        <v>9.6999999999999993</v>
      </c>
      <c r="I4">
        <v>25.7</v>
      </c>
      <c r="J4" t="s">
        <v>20</v>
      </c>
      <c r="K4" t="s">
        <v>59</v>
      </c>
      <c r="L4" t="s">
        <v>60</v>
      </c>
      <c r="M4" t="s">
        <v>47</v>
      </c>
      <c r="N4" t="s">
        <v>61</v>
      </c>
      <c r="O4">
        <v>155</v>
      </c>
      <c r="Q4">
        <v>0</v>
      </c>
      <c r="R4">
        <v>0</v>
      </c>
      <c r="T4" t="s">
        <v>62</v>
      </c>
      <c r="U4" t="s">
        <v>39</v>
      </c>
      <c r="V4" t="s">
        <v>52</v>
      </c>
      <c r="W4" t="s">
        <v>52</v>
      </c>
      <c r="X4">
        <v>2023</v>
      </c>
      <c r="Y4" t="s">
        <v>63</v>
      </c>
      <c r="Z4" t="s">
        <v>64</v>
      </c>
    </row>
    <row r="5" spans="1:26">
      <c r="A5" t="s">
        <v>65</v>
      </c>
      <c r="B5" t="s">
        <v>66</v>
      </c>
      <c r="C5" t="s">
        <v>67</v>
      </c>
      <c r="D5" t="s">
        <v>29</v>
      </c>
      <c r="E5" t="s">
        <v>30</v>
      </c>
      <c r="F5" t="s">
        <v>68</v>
      </c>
      <c r="G5" t="s">
        <v>32</v>
      </c>
      <c r="H5">
        <v>1.3</v>
      </c>
      <c r="I5">
        <v>10.1</v>
      </c>
      <c r="J5" t="s">
        <v>33</v>
      </c>
      <c r="K5" t="s">
        <v>69</v>
      </c>
      <c r="L5" t="s">
        <v>48</v>
      </c>
      <c r="M5" t="s">
        <v>70</v>
      </c>
      <c r="N5" t="s">
        <v>71</v>
      </c>
      <c r="O5">
        <v>75</v>
      </c>
      <c r="P5" t="s">
        <v>72</v>
      </c>
      <c r="Q5">
        <v>2453</v>
      </c>
      <c r="R5">
        <v>5000</v>
      </c>
      <c r="S5" t="s">
        <v>73</v>
      </c>
      <c r="T5" t="s">
        <v>62</v>
      </c>
      <c r="U5" t="s">
        <v>39</v>
      </c>
      <c r="V5" t="s">
        <v>52</v>
      </c>
      <c r="W5" t="s">
        <v>52</v>
      </c>
      <c r="X5">
        <v>2023</v>
      </c>
      <c r="Y5" t="s">
        <v>74</v>
      </c>
      <c r="Z5" t="s">
        <v>54</v>
      </c>
    </row>
    <row r="6" spans="1:26">
      <c r="A6" t="s">
        <v>75</v>
      </c>
      <c r="B6" t="s">
        <v>43</v>
      </c>
      <c r="C6" t="s">
        <v>76</v>
      </c>
      <c r="D6" t="s">
        <v>77</v>
      </c>
      <c r="E6" t="s">
        <v>78</v>
      </c>
      <c r="F6" t="s">
        <v>46</v>
      </c>
      <c r="G6" t="s">
        <v>32</v>
      </c>
      <c r="H6">
        <v>10.1</v>
      </c>
      <c r="I6">
        <v>27.3</v>
      </c>
      <c r="J6" t="s">
        <v>33</v>
      </c>
      <c r="K6" t="s">
        <v>79</v>
      </c>
      <c r="L6" t="s">
        <v>35</v>
      </c>
      <c r="M6" t="s">
        <v>80</v>
      </c>
      <c r="N6" t="s">
        <v>37</v>
      </c>
      <c r="O6">
        <v>70</v>
      </c>
      <c r="Q6">
        <v>0</v>
      </c>
      <c r="R6">
        <v>500</v>
      </c>
      <c r="T6" t="s">
        <v>81</v>
      </c>
      <c r="U6" t="s">
        <v>39</v>
      </c>
      <c r="V6" t="s">
        <v>39</v>
      </c>
      <c r="W6" t="s">
        <v>52</v>
      </c>
      <c r="X6">
        <v>2024</v>
      </c>
      <c r="Y6" t="s">
        <v>82</v>
      </c>
      <c r="Z6" t="s">
        <v>83</v>
      </c>
    </row>
    <row r="7" spans="1:26">
      <c r="A7" t="s">
        <v>84</v>
      </c>
      <c r="B7" t="s">
        <v>27</v>
      </c>
      <c r="C7" t="s">
        <v>44</v>
      </c>
      <c r="D7" t="s">
        <v>85</v>
      </c>
      <c r="E7" t="s">
        <v>86</v>
      </c>
      <c r="F7" t="s">
        <v>31</v>
      </c>
      <c r="G7" t="s">
        <v>32</v>
      </c>
      <c r="H7">
        <v>6.8</v>
      </c>
      <c r="I7">
        <v>9.6</v>
      </c>
      <c r="J7" t="s">
        <v>33</v>
      </c>
      <c r="K7" t="s">
        <v>87</v>
      </c>
      <c r="L7" t="s">
        <v>48</v>
      </c>
      <c r="M7" t="s">
        <v>88</v>
      </c>
      <c r="N7" t="s">
        <v>71</v>
      </c>
      <c r="O7">
        <v>68</v>
      </c>
      <c r="P7" t="s">
        <v>89</v>
      </c>
      <c r="Q7">
        <v>1510</v>
      </c>
      <c r="R7">
        <v>2000</v>
      </c>
      <c r="S7" t="s">
        <v>90</v>
      </c>
      <c r="T7" t="s">
        <v>38</v>
      </c>
      <c r="U7" t="s">
        <v>39</v>
      </c>
      <c r="V7" t="s">
        <v>39</v>
      </c>
      <c r="W7" t="s">
        <v>52</v>
      </c>
      <c r="X7">
        <v>2022</v>
      </c>
      <c r="Y7" t="s">
        <v>91</v>
      </c>
      <c r="Z7" t="s">
        <v>64</v>
      </c>
    </row>
    <row r="8" spans="1:26">
      <c r="A8" t="s">
        <v>92</v>
      </c>
      <c r="B8" t="s">
        <v>93</v>
      </c>
      <c r="C8" t="s">
        <v>76</v>
      </c>
      <c r="D8" t="s">
        <v>77</v>
      </c>
      <c r="E8" t="s">
        <v>94</v>
      </c>
      <c r="F8" t="s">
        <v>95</v>
      </c>
      <c r="G8" t="s">
        <v>32</v>
      </c>
      <c r="H8">
        <v>7.2</v>
      </c>
      <c r="I8">
        <v>16.600000000000001</v>
      </c>
      <c r="J8" t="s">
        <v>96</v>
      </c>
      <c r="K8" t="s">
        <v>97</v>
      </c>
      <c r="L8" t="s">
        <v>98</v>
      </c>
      <c r="M8" t="s">
        <v>99</v>
      </c>
      <c r="N8" t="s">
        <v>100</v>
      </c>
      <c r="O8">
        <v>99</v>
      </c>
      <c r="Q8">
        <v>0</v>
      </c>
      <c r="R8">
        <v>0</v>
      </c>
      <c r="T8" t="s">
        <v>51</v>
      </c>
      <c r="U8" t="s">
        <v>39</v>
      </c>
      <c r="V8" t="s">
        <v>52</v>
      </c>
      <c r="W8" t="s">
        <v>52</v>
      </c>
      <c r="X8">
        <v>2022</v>
      </c>
      <c r="Y8" t="s">
        <v>53</v>
      </c>
      <c r="Z8" t="s">
        <v>54</v>
      </c>
    </row>
    <row r="9" spans="1:26">
      <c r="A9" t="s">
        <v>101</v>
      </c>
      <c r="B9" t="s">
        <v>66</v>
      </c>
      <c r="C9" t="s">
        <v>102</v>
      </c>
      <c r="D9" t="s">
        <v>77</v>
      </c>
      <c r="E9" t="s">
        <v>78</v>
      </c>
      <c r="F9" t="s">
        <v>68</v>
      </c>
      <c r="G9" t="s">
        <v>32</v>
      </c>
      <c r="H9">
        <v>10.5</v>
      </c>
      <c r="I9">
        <v>10.8</v>
      </c>
      <c r="J9" t="s">
        <v>96</v>
      </c>
      <c r="K9" t="s">
        <v>103</v>
      </c>
      <c r="L9" t="s">
        <v>48</v>
      </c>
      <c r="M9" t="s">
        <v>104</v>
      </c>
      <c r="N9" t="s">
        <v>71</v>
      </c>
      <c r="O9">
        <v>68</v>
      </c>
      <c r="P9" t="s">
        <v>105</v>
      </c>
      <c r="Q9">
        <v>7158</v>
      </c>
      <c r="R9">
        <v>0</v>
      </c>
      <c r="S9" t="s">
        <v>73</v>
      </c>
      <c r="T9" t="s">
        <v>62</v>
      </c>
      <c r="U9" t="s">
        <v>39</v>
      </c>
      <c r="V9" t="s">
        <v>52</v>
      </c>
      <c r="W9" t="s">
        <v>39</v>
      </c>
      <c r="X9">
        <v>2022</v>
      </c>
      <c r="Y9" t="s">
        <v>106</v>
      </c>
      <c r="Z9" t="s">
        <v>83</v>
      </c>
    </row>
    <row r="10" spans="1:26">
      <c r="A10" t="s">
        <v>107</v>
      </c>
      <c r="B10" t="s">
        <v>108</v>
      </c>
      <c r="C10" t="s">
        <v>28</v>
      </c>
      <c r="D10" t="s">
        <v>29</v>
      </c>
      <c r="E10" t="s">
        <v>56</v>
      </c>
      <c r="F10" t="s">
        <v>109</v>
      </c>
      <c r="G10" t="s">
        <v>58</v>
      </c>
      <c r="H10">
        <v>11.4</v>
      </c>
      <c r="I10">
        <v>3.5</v>
      </c>
      <c r="J10" t="s">
        <v>33</v>
      </c>
      <c r="K10" t="s">
        <v>110</v>
      </c>
      <c r="L10" t="s">
        <v>98</v>
      </c>
      <c r="M10" t="s">
        <v>111</v>
      </c>
      <c r="N10" t="s">
        <v>71</v>
      </c>
      <c r="O10">
        <v>62</v>
      </c>
      <c r="P10" t="s">
        <v>112</v>
      </c>
      <c r="Q10">
        <v>2486</v>
      </c>
      <c r="R10">
        <v>1000</v>
      </c>
      <c r="S10" t="s">
        <v>113</v>
      </c>
      <c r="T10" t="s">
        <v>51</v>
      </c>
      <c r="U10" t="s">
        <v>52</v>
      </c>
      <c r="V10" t="s">
        <v>39</v>
      </c>
      <c r="W10" t="s">
        <v>52</v>
      </c>
      <c r="X10">
        <v>2023</v>
      </c>
      <c r="Y10" t="s">
        <v>114</v>
      </c>
      <c r="Z10" t="s">
        <v>41</v>
      </c>
    </row>
    <row r="11" spans="1:26">
      <c r="A11" t="s">
        <v>115</v>
      </c>
      <c r="B11" t="s">
        <v>116</v>
      </c>
      <c r="C11" t="s">
        <v>102</v>
      </c>
      <c r="D11" t="s">
        <v>29</v>
      </c>
      <c r="E11" t="s">
        <v>117</v>
      </c>
      <c r="F11" t="s">
        <v>31</v>
      </c>
      <c r="G11" t="s">
        <v>58</v>
      </c>
      <c r="H11">
        <v>3.1</v>
      </c>
      <c r="I11">
        <v>2.7</v>
      </c>
      <c r="J11" t="s">
        <v>33</v>
      </c>
      <c r="K11" t="s">
        <v>118</v>
      </c>
      <c r="L11" t="s">
        <v>35</v>
      </c>
      <c r="M11" t="s">
        <v>119</v>
      </c>
      <c r="N11" t="s">
        <v>50</v>
      </c>
      <c r="O11">
        <v>113</v>
      </c>
      <c r="Q11">
        <v>0</v>
      </c>
      <c r="R11">
        <v>0</v>
      </c>
      <c r="T11" t="s">
        <v>38</v>
      </c>
      <c r="U11" t="s">
        <v>39</v>
      </c>
      <c r="V11" t="s">
        <v>39</v>
      </c>
      <c r="W11" t="s">
        <v>39</v>
      </c>
      <c r="X11">
        <v>2024</v>
      </c>
      <c r="Y11" t="s">
        <v>82</v>
      </c>
      <c r="Z11" t="s">
        <v>83</v>
      </c>
    </row>
    <row r="12" spans="1:26">
      <c r="A12" t="s">
        <v>120</v>
      </c>
      <c r="B12" t="s">
        <v>43</v>
      </c>
      <c r="C12" t="s">
        <v>121</v>
      </c>
      <c r="D12" t="s">
        <v>122</v>
      </c>
      <c r="E12" t="s">
        <v>123</v>
      </c>
      <c r="F12" t="s">
        <v>124</v>
      </c>
      <c r="G12" t="s">
        <v>32</v>
      </c>
      <c r="H12">
        <v>8.1</v>
      </c>
      <c r="I12">
        <v>7.9</v>
      </c>
      <c r="J12" t="s">
        <v>96</v>
      </c>
      <c r="K12" t="s">
        <v>125</v>
      </c>
      <c r="L12" t="s">
        <v>126</v>
      </c>
      <c r="M12" t="s">
        <v>127</v>
      </c>
      <c r="N12" t="s">
        <v>61</v>
      </c>
      <c r="O12">
        <v>61</v>
      </c>
      <c r="Q12">
        <v>0</v>
      </c>
      <c r="R12">
        <v>0</v>
      </c>
      <c r="T12" t="s">
        <v>81</v>
      </c>
      <c r="U12" t="s">
        <v>39</v>
      </c>
      <c r="V12" t="s">
        <v>39</v>
      </c>
      <c r="W12" t="s">
        <v>52</v>
      </c>
      <c r="X12">
        <v>2024</v>
      </c>
      <c r="Y12" t="s">
        <v>128</v>
      </c>
      <c r="Z12" t="s">
        <v>64</v>
      </c>
    </row>
    <row r="13" spans="1:26">
      <c r="A13" t="s">
        <v>129</v>
      </c>
      <c r="B13" t="s">
        <v>116</v>
      </c>
      <c r="C13" t="s">
        <v>102</v>
      </c>
      <c r="D13" t="s">
        <v>122</v>
      </c>
      <c r="E13" t="s">
        <v>130</v>
      </c>
      <c r="F13" t="s">
        <v>124</v>
      </c>
      <c r="G13" t="s">
        <v>58</v>
      </c>
      <c r="H13">
        <v>4.9000000000000004</v>
      </c>
      <c r="I13">
        <v>12.2</v>
      </c>
      <c r="J13" t="s">
        <v>20</v>
      </c>
      <c r="K13" t="s">
        <v>131</v>
      </c>
      <c r="L13" t="s">
        <v>126</v>
      </c>
      <c r="M13" t="s">
        <v>132</v>
      </c>
      <c r="N13" t="s">
        <v>71</v>
      </c>
      <c r="O13">
        <v>120</v>
      </c>
      <c r="P13" t="s">
        <v>89</v>
      </c>
      <c r="Q13">
        <v>903</v>
      </c>
      <c r="R13">
        <v>0</v>
      </c>
      <c r="S13" t="s">
        <v>90</v>
      </c>
      <c r="T13" t="s">
        <v>81</v>
      </c>
      <c r="U13" t="s">
        <v>39</v>
      </c>
      <c r="V13" t="s">
        <v>52</v>
      </c>
      <c r="W13" t="s">
        <v>52</v>
      </c>
      <c r="X13">
        <v>2024</v>
      </c>
      <c r="Y13" t="s">
        <v>74</v>
      </c>
      <c r="Z13" t="s">
        <v>54</v>
      </c>
    </row>
    <row r="14" spans="1:26">
      <c r="A14" t="s">
        <v>133</v>
      </c>
      <c r="B14" t="s">
        <v>108</v>
      </c>
      <c r="C14" t="s">
        <v>121</v>
      </c>
      <c r="D14" t="s">
        <v>29</v>
      </c>
      <c r="E14" t="s">
        <v>117</v>
      </c>
      <c r="F14" t="s">
        <v>124</v>
      </c>
      <c r="G14" t="s">
        <v>32</v>
      </c>
      <c r="H14">
        <v>10.199999999999999</v>
      </c>
      <c r="I14">
        <v>6.2</v>
      </c>
      <c r="J14" t="s">
        <v>33</v>
      </c>
      <c r="K14" t="s">
        <v>134</v>
      </c>
      <c r="L14" t="s">
        <v>48</v>
      </c>
      <c r="M14" t="s">
        <v>135</v>
      </c>
      <c r="N14" t="s">
        <v>71</v>
      </c>
      <c r="O14">
        <v>13</v>
      </c>
      <c r="P14" t="s">
        <v>112</v>
      </c>
      <c r="Q14">
        <v>1882</v>
      </c>
      <c r="R14">
        <v>5000</v>
      </c>
      <c r="S14" t="s">
        <v>73</v>
      </c>
      <c r="T14" t="s">
        <v>136</v>
      </c>
      <c r="U14" t="s">
        <v>39</v>
      </c>
      <c r="V14" t="s">
        <v>52</v>
      </c>
      <c r="W14" t="s">
        <v>52</v>
      </c>
      <c r="X14">
        <v>2022</v>
      </c>
      <c r="Y14" t="s">
        <v>40</v>
      </c>
      <c r="Z14" t="s">
        <v>41</v>
      </c>
    </row>
    <row r="15" spans="1:26">
      <c r="A15" t="s">
        <v>137</v>
      </c>
      <c r="B15" t="s">
        <v>66</v>
      </c>
      <c r="C15" t="s">
        <v>76</v>
      </c>
      <c r="D15" t="s">
        <v>85</v>
      </c>
      <c r="E15" t="s">
        <v>138</v>
      </c>
      <c r="F15" t="s">
        <v>46</v>
      </c>
      <c r="G15" t="s">
        <v>58</v>
      </c>
      <c r="H15">
        <v>2.7</v>
      </c>
      <c r="I15">
        <v>2.5</v>
      </c>
      <c r="J15" t="s">
        <v>33</v>
      </c>
      <c r="K15" t="s">
        <v>139</v>
      </c>
      <c r="L15" t="s">
        <v>140</v>
      </c>
      <c r="M15" t="s">
        <v>141</v>
      </c>
      <c r="N15" t="s">
        <v>37</v>
      </c>
      <c r="O15">
        <v>40</v>
      </c>
      <c r="Q15">
        <v>0</v>
      </c>
      <c r="R15">
        <v>500</v>
      </c>
      <c r="T15" t="s">
        <v>136</v>
      </c>
      <c r="U15" t="s">
        <v>39</v>
      </c>
      <c r="V15" t="s">
        <v>39</v>
      </c>
      <c r="W15" t="s">
        <v>39</v>
      </c>
      <c r="X15">
        <v>2024</v>
      </c>
      <c r="Y15" t="s">
        <v>114</v>
      </c>
      <c r="Z15" t="s">
        <v>41</v>
      </c>
    </row>
    <row r="16" spans="1:26">
      <c r="A16" t="s">
        <v>142</v>
      </c>
      <c r="B16" t="s">
        <v>43</v>
      </c>
      <c r="C16" t="s">
        <v>76</v>
      </c>
      <c r="D16" t="s">
        <v>77</v>
      </c>
      <c r="E16" t="s">
        <v>143</v>
      </c>
      <c r="F16" t="s">
        <v>31</v>
      </c>
      <c r="G16" t="s">
        <v>58</v>
      </c>
      <c r="H16">
        <v>1.5</v>
      </c>
      <c r="I16">
        <v>31.2</v>
      </c>
      <c r="J16" t="s">
        <v>144</v>
      </c>
      <c r="K16" t="s">
        <v>145</v>
      </c>
      <c r="L16" t="s">
        <v>98</v>
      </c>
      <c r="M16" t="s">
        <v>146</v>
      </c>
      <c r="N16" t="s">
        <v>37</v>
      </c>
      <c r="O16">
        <v>173</v>
      </c>
      <c r="Q16">
        <v>0</v>
      </c>
      <c r="R16">
        <v>1000</v>
      </c>
      <c r="T16" t="s">
        <v>62</v>
      </c>
      <c r="U16" t="s">
        <v>39</v>
      </c>
      <c r="V16" t="s">
        <v>52</v>
      </c>
      <c r="W16" t="s">
        <v>52</v>
      </c>
      <c r="X16">
        <v>2022</v>
      </c>
      <c r="Y16" t="s">
        <v>53</v>
      </c>
      <c r="Z16" t="s">
        <v>54</v>
      </c>
    </row>
    <row r="17" spans="1:26">
      <c r="A17" t="s">
        <v>147</v>
      </c>
      <c r="B17" t="s">
        <v>116</v>
      </c>
      <c r="C17" t="s">
        <v>76</v>
      </c>
      <c r="D17" t="s">
        <v>122</v>
      </c>
      <c r="E17" t="s">
        <v>148</v>
      </c>
      <c r="F17" t="s">
        <v>149</v>
      </c>
      <c r="G17" t="s">
        <v>58</v>
      </c>
      <c r="H17">
        <v>3.9</v>
      </c>
      <c r="I17">
        <v>26.4</v>
      </c>
      <c r="J17" t="s">
        <v>33</v>
      </c>
      <c r="K17" t="s">
        <v>150</v>
      </c>
      <c r="L17" t="s">
        <v>140</v>
      </c>
      <c r="M17" t="s">
        <v>151</v>
      </c>
      <c r="N17" t="s">
        <v>71</v>
      </c>
      <c r="O17">
        <v>102</v>
      </c>
      <c r="P17" t="s">
        <v>89</v>
      </c>
      <c r="Q17">
        <v>1728</v>
      </c>
      <c r="R17">
        <v>500</v>
      </c>
      <c r="S17" t="s">
        <v>152</v>
      </c>
      <c r="T17" t="s">
        <v>81</v>
      </c>
      <c r="U17" t="s">
        <v>39</v>
      </c>
      <c r="V17" t="s">
        <v>39</v>
      </c>
      <c r="W17" t="s">
        <v>52</v>
      </c>
      <c r="X17">
        <v>2023</v>
      </c>
      <c r="Y17" t="s">
        <v>153</v>
      </c>
      <c r="Z17" t="s">
        <v>54</v>
      </c>
    </row>
    <row r="18" spans="1:26">
      <c r="A18" t="s">
        <v>154</v>
      </c>
      <c r="B18" t="s">
        <v>66</v>
      </c>
      <c r="C18" t="s">
        <v>76</v>
      </c>
      <c r="D18" t="s">
        <v>122</v>
      </c>
      <c r="E18" t="s">
        <v>155</v>
      </c>
      <c r="F18" t="s">
        <v>109</v>
      </c>
      <c r="G18" t="s">
        <v>32</v>
      </c>
      <c r="H18">
        <v>7.4</v>
      </c>
      <c r="I18">
        <v>34.6</v>
      </c>
      <c r="J18" t="s">
        <v>156</v>
      </c>
      <c r="K18" t="s">
        <v>157</v>
      </c>
      <c r="L18" t="s">
        <v>35</v>
      </c>
      <c r="M18" t="s">
        <v>158</v>
      </c>
      <c r="N18" t="s">
        <v>61</v>
      </c>
      <c r="O18">
        <v>113</v>
      </c>
      <c r="Q18">
        <v>0</v>
      </c>
      <c r="R18">
        <v>0</v>
      </c>
      <c r="T18" t="s">
        <v>81</v>
      </c>
      <c r="U18" t="s">
        <v>39</v>
      </c>
      <c r="V18" t="s">
        <v>39</v>
      </c>
      <c r="W18" t="s">
        <v>39</v>
      </c>
      <c r="X18">
        <v>2022</v>
      </c>
      <c r="Y18" t="s">
        <v>128</v>
      </c>
      <c r="Z18" t="s">
        <v>64</v>
      </c>
    </row>
    <row r="19" spans="1:26">
      <c r="A19" t="s">
        <v>159</v>
      </c>
      <c r="B19" t="s">
        <v>93</v>
      </c>
      <c r="C19" t="s">
        <v>121</v>
      </c>
      <c r="D19" t="s">
        <v>29</v>
      </c>
      <c r="E19" t="s">
        <v>45</v>
      </c>
      <c r="F19" t="s">
        <v>160</v>
      </c>
      <c r="G19" t="s">
        <v>58</v>
      </c>
      <c r="H19">
        <v>2.5</v>
      </c>
      <c r="I19">
        <v>22.4</v>
      </c>
      <c r="J19" t="s">
        <v>33</v>
      </c>
      <c r="K19" t="s">
        <v>161</v>
      </c>
      <c r="L19" t="s">
        <v>98</v>
      </c>
      <c r="M19" t="s">
        <v>162</v>
      </c>
      <c r="N19" t="s">
        <v>37</v>
      </c>
      <c r="O19">
        <v>73</v>
      </c>
      <c r="Q19">
        <v>0</v>
      </c>
      <c r="R19">
        <v>500</v>
      </c>
      <c r="T19" t="s">
        <v>136</v>
      </c>
      <c r="U19" t="s">
        <v>39</v>
      </c>
      <c r="V19" t="s">
        <v>39</v>
      </c>
      <c r="W19" t="s">
        <v>39</v>
      </c>
      <c r="X19">
        <v>2023</v>
      </c>
      <c r="Y19" t="s">
        <v>40</v>
      </c>
      <c r="Z19" t="s">
        <v>41</v>
      </c>
    </row>
    <row r="20" spans="1:26">
      <c r="A20" t="s">
        <v>163</v>
      </c>
      <c r="B20" t="s">
        <v>66</v>
      </c>
      <c r="C20" t="s">
        <v>164</v>
      </c>
      <c r="D20" t="s">
        <v>122</v>
      </c>
      <c r="E20" t="s">
        <v>148</v>
      </c>
      <c r="F20" t="s">
        <v>109</v>
      </c>
      <c r="G20" t="s">
        <v>58</v>
      </c>
      <c r="H20">
        <v>6.8</v>
      </c>
      <c r="I20">
        <v>4.4000000000000004</v>
      </c>
      <c r="J20" t="s">
        <v>96</v>
      </c>
      <c r="K20" t="s">
        <v>165</v>
      </c>
      <c r="L20" t="s">
        <v>60</v>
      </c>
      <c r="M20" t="s">
        <v>166</v>
      </c>
      <c r="N20" t="s">
        <v>50</v>
      </c>
      <c r="O20">
        <v>42</v>
      </c>
      <c r="Q20">
        <v>0</v>
      </c>
      <c r="R20">
        <v>1000</v>
      </c>
      <c r="T20" t="s">
        <v>62</v>
      </c>
      <c r="U20" t="s">
        <v>39</v>
      </c>
      <c r="V20" t="s">
        <v>52</v>
      </c>
      <c r="W20" t="s">
        <v>52</v>
      </c>
      <c r="X20">
        <v>2023</v>
      </c>
      <c r="Y20" t="s">
        <v>153</v>
      </c>
      <c r="Z20" t="s">
        <v>54</v>
      </c>
    </row>
    <row r="21" spans="1:26">
      <c r="A21" t="s">
        <v>167</v>
      </c>
      <c r="B21" t="s">
        <v>116</v>
      </c>
      <c r="C21" t="s">
        <v>67</v>
      </c>
      <c r="D21" t="s">
        <v>77</v>
      </c>
      <c r="E21" t="s">
        <v>168</v>
      </c>
      <c r="F21" t="s">
        <v>109</v>
      </c>
      <c r="G21" t="s">
        <v>32</v>
      </c>
      <c r="H21">
        <v>2.6</v>
      </c>
      <c r="I21">
        <v>9.1</v>
      </c>
      <c r="J21" t="s">
        <v>20</v>
      </c>
      <c r="K21" t="s">
        <v>169</v>
      </c>
      <c r="L21" t="s">
        <v>98</v>
      </c>
      <c r="M21" t="s">
        <v>170</v>
      </c>
      <c r="N21" t="s">
        <v>171</v>
      </c>
      <c r="O21">
        <v>11</v>
      </c>
      <c r="Q21">
        <v>0</v>
      </c>
      <c r="R21">
        <v>0</v>
      </c>
      <c r="T21" t="s">
        <v>81</v>
      </c>
      <c r="U21" t="s">
        <v>39</v>
      </c>
      <c r="V21" t="s">
        <v>39</v>
      </c>
      <c r="W21" t="s">
        <v>52</v>
      </c>
      <c r="X21">
        <v>2024</v>
      </c>
      <c r="Y21" t="s">
        <v>106</v>
      </c>
      <c r="Z21" t="s">
        <v>83</v>
      </c>
    </row>
    <row r="22" spans="1:26">
      <c r="A22" t="s">
        <v>172</v>
      </c>
      <c r="B22" t="s">
        <v>43</v>
      </c>
      <c r="C22" t="s">
        <v>173</v>
      </c>
      <c r="D22" t="s">
        <v>85</v>
      </c>
      <c r="E22" t="s">
        <v>174</v>
      </c>
      <c r="F22" t="s">
        <v>68</v>
      </c>
      <c r="G22" t="s">
        <v>58</v>
      </c>
      <c r="H22">
        <v>9.6</v>
      </c>
      <c r="I22">
        <v>30.3</v>
      </c>
      <c r="J22" t="s">
        <v>144</v>
      </c>
      <c r="K22" t="s">
        <v>175</v>
      </c>
      <c r="L22" t="s">
        <v>35</v>
      </c>
      <c r="M22" t="s">
        <v>176</v>
      </c>
      <c r="N22" t="s">
        <v>100</v>
      </c>
      <c r="O22">
        <v>86</v>
      </c>
      <c r="Q22">
        <v>0</v>
      </c>
      <c r="R22">
        <v>0</v>
      </c>
      <c r="T22" t="s">
        <v>136</v>
      </c>
      <c r="U22" t="s">
        <v>39</v>
      </c>
      <c r="V22" t="s">
        <v>39</v>
      </c>
      <c r="W22" t="s">
        <v>52</v>
      </c>
      <c r="X22">
        <v>2023</v>
      </c>
      <c r="Y22" t="s">
        <v>106</v>
      </c>
      <c r="Z22" t="s">
        <v>83</v>
      </c>
    </row>
    <row r="23" spans="1:26">
      <c r="A23" t="s">
        <v>177</v>
      </c>
      <c r="B23" t="s">
        <v>93</v>
      </c>
      <c r="C23" t="s">
        <v>67</v>
      </c>
      <c r="D23" t="s">
        <v>122</v>
      </c>
      <c r="E23" t="s">
        <v>155</v>
      </c>
      <c r="F23" t="s">
        <v>109</v>
      </c>
      <c r="G23" t="s">
        <v>32</v>
      </c>
      <c r="H23">
        <v>4</v>
      </c>
      <c r="I23">
        <v>30.3</v>
      </c>
      <c r="J23" t="s">
        <v>156</v>
      </c>
      <c r="K23" t="s">
        <v>69</v>
      </c>
      <c r="L23" t="s">
        <v>140</v>
      </c>
      <c r="M23" t="s">
        <v>178</v>
      </c>
      <c r="N23" t="s">
        <v>71</v>
      </c>
      <c r="O23">
        <v>58</v>
      </c>
      <c r="P23" t="s">
        <v>72</v>
      </c>
      <c r="Q23">
        <v>1291</v>
      </c>
      <c r="R23">
        <v>500</v>
      </c>
      <c r="S23" t="s">
        <v>73</v>
      </c>
      <c r="T23" t="s">
        <v>38</v>
      </c>
      <c r="U23" t="s">
        <v>39</v>
      </c>
      <c r="V23" t="s">
        <v>39</v>
      </c>
      <c r="W23" t="s">
        <v>52</v>
      </c>
      <c r="X23">
        <v>2023</v>
      </c>
      <c r="Y23" t="s">
        <v>74</v>
      </c>
      <c r="Z23" t="s">
        <v>54</v>
      </c>
    </row>
    <row r="24" spans="1:26">
      <c r="A24" t="s">
        <v>179</v>
      </c>
      <c r="B24" t="s">
        <v>116</v>
      </c>
      <c r="C24" t="s">
        <v>44</v>
      </c>
      <c r="D24" t="s">
        <v>77</v>
      </c>
      <c r="E24" t="s">
        <v>143</v>
      </c>
      <c r="F24" t="s">
        <v>31</v>
      </c>
      <c r="G24" t="s">
        <v>58</v>
      </c>
      <c r="H24">
        <v>5.3</v>
      </c>
      <c r="I24">
        <v>34.5</v>
      </c>
      <c r="J24" t="s">
        <v>33</v>
      </c>
      <c r="K24" t="s">
        <v>180</v>
      </c>
      <c r="L24" t="s">
        <v>35</v>
      </c>
      <c r="M24" t="s">
        <v>181</v>
      </c>
      <c r="N24" t="s">
        <v>171</v>
      </c>
      <c r="O24">
        <v>89</v>
      </c>
      <c r="Q24">
        <v>0</v>
      </c>
      <c r="R24">
        <v>0</v>
      </c>
      <c r="T24" t="s">
        <v>136</v>
      </c>
      <c r="U24" t="s">
        <v>39</v>
      </c>
      <c r="V24" t="s">
        <v>52</v>
      </c>
      <c r="W24" t="s">
        <v>52</v>
      </c>
      <c r="X24">
        <v>2024</v>
      </c>
      <c r="Y24" t="s">
        <v>153</v>
      </c>
      <c r="Z24" t="s">
        <v>54</v>
      </c>
    </row>
    <row r="25" spans="1:26">
      <c r="A25" t="s">
        <v>182</v>
      </c>
      <c r="B25" t="s">
        <v>116</v>
      </c>
      <c r="C25" t="s">
        <v>173</v>
      </c>
      <c r="D25" t="s">
        <v>122</v>
      </c>
      <c r="E25" t="s">
        <v>130</v>
      </c>
      <c r="F25" t="s">
        <v>109</v>
      </c>
      <c r="G25" t="s">
        <v>32</v>
      </c>
      <c r="H25">
        <v>7.5</v>
      </c>
      <c r="I25">
        <v>23.4</v>
      </c>
      <c r="J25" t="s">
        <v>156</v>
      </c>
      <c r="K25" t="s">
        <v>183</v>
      </c>
      <c r="L25" t="s">
        <v>126</v>
      </c>
      <c r="M25" t="s">
        <v>184</v>
      </c>
      <c r="N25" t="s">
        <v>171</v>
      </c>
      <c r="O25">
        <v>171</v>
      </c>
      <c r="Q25">
        <v>0</v>
      </c>
      <c r="R25">
        <v>0</v>
      </c>
      <c r="T25" t="s">
        <v>51</v>
      </c>
      <c r="U25" t="s">
        <v>52</v>
      </c>
      <c r="V25" t="s">
        <v>52</v>
      </c>
      <c r="W25" t="s">
        <v>52</v>
      </c>
      <c r="X25">
        <v>2022</v>
      </c>
      <c r="Y25" t="s">
        <v>53</v>
      </c>
      <c r="Z25" t="s">
        <v>54</v>
      </c>
    </row>
    <row r="26" spans="1:26">
      <c r="A26" t="s">
        <v>185</v>
      </c>
      <c r="B26" t="s">
        <v>27</v>
      </c>
      <c r="C26" t="s">
        <v>173</v>
      </c>
      <c r="D26" t="s">
        <v>29</v>
      </c>
      <c r="E26" t="s">
        <v>45</v>
      </c>
      <c r="F26" t="s">
        <v>57</v>
      </c>
      <c r="G26" t="s">
        <v>58</v>
      </c>
      <c r="H26">
        <v>8.1999999999999993</v>
      </c>
      <c r="I26">
        <v>31.6</v>
      </c>
      <c r="J26" t="s">
        <v>33</v>
      </c>
      <c r="K26" t="s">
        <v>186</v>
      </c>
      <c r="L26" t="s">
        <v>60</v>
      </c>
      <c r="M26" t="s">
        <v>187</v>
      </c>
      <c r="N26" t="s">
        <v>100</v>
      </c>
      <c r="O26">
        <v>108</v>
      </c>
      <c r="Q26">
        <v>0</v>
      </c>
      <c r="R26">
        <v>0</v>
      </c>
      <c r="T26" t="s">
        <v>81</v>
      </c>
      <c r="U26" t="s">
        <v>52</v>
      </c>
      <c r="V26" t="s">
        <v>52</v>
      </c>
      <c r="W26" t="s">
        <v>52</v>
      </c>
      <c r="X26">
        <v>2023</v>
      </c>
      <c r="Y26" t="s">
        <v>106</v>
      </c>
      <c r="Z26" t="s">
        <v>83</v>
      </c>
    </row>
    <row r="27" spans="1:26">
      <c r="A27" t="s">
        <v>188</v>
      </c>
      <c r="B27" t="s">
        <v>66</v>
      </c>
      <c r="C27" t="s">
        <v>164</v>
      </c>
      <c r="D27" t="s">
        <v>77</v>
      </c>
      <c r="E27" t="s">
        <v>78</v>
      </c>
      <c r="F27" t="s">
        <v>95</v>
      </c>
      <c r="G27" t="s">
        <v>32</v>
      </c>
      <c r="H27">
        <v>9.5</v>
      </c>
      <c r="I27">
        <v>33.6</v>
      </c>
      <c r="J27" t="s">
        <v>20</v>
      </c>
      <c r="K27" t="s">
        <v>189</v>
      </c>
      <c r="L27" t="s">
        <v>98</v>
      </c>
      <c r="M27" t="s">
        <v>190</v>
      </c>
      <c r="N27" t="s">
        <v>37</v>
      </c>
      <c r="O27">
        <v>173</v>
      </c>
      <c r="Q27">
        <v>0</v>
      </c>
      <c r="R27">
        <v>1000</v>
      </c>
      <c r="T27" t="s">
        <v>62</v>
      </c>
      <c r="U27" t="s">
        <v>39</v>
      </c>
      <c r="V27" t="s">
        <v>39</v>
      </c>
      <c r="W27" t="s">
        <v>52</v>
      </c>
      <c r="X27">
        <v>2024</v>
      </c>
      <c r="Y27" t="s">
        <v>153</v>
      </c>
      <c r="Z27" t="s">
        <v>54</v>
      </c>
    </row>
    <row r="28" spans="1:26">
      <c r="A28" t="s">
        <v>191</v>
      </c>
      <c r="B28" t="s">
        <v>116</v>
      </c>
      <c r="C28" t="s">
        <v>121</v>
      </c>
      <c r="D28" t="s">
        <v>29</v>
      </c>
      <c r="E28" t="s">
        <v>45</v>
      </c>
      <c r="F28" t="s">
        <v>57</v>
      </c>
      <c r="G28" t="s">
        <v>58</v>
      </c>
      <c r="H28">
        <v>11.8</v>
      </c>
      <c r="I28">
        <v>21.6</v>
      </c>
      <c r="J28" t="s">
        <v>156</v>
      </c>
      <c r="K28" t="s">
        <v>192</v>
      </c>
      <c r="L28" t="s">
        <v>98</v>
      </c>
      <c r="M28" t="s">
        <v>193</v>
      </c>
      <c r="N28" t="s">
        <v>71</v>
      </c>
      <c r="O28">
        <v>38</v>
      </c>
      <c r="P28" t="s">
        <v>112</v>
      </c>
      <c r="Q28">
        <v>1689</v>
      </c>
      <c r="R28">
        <v>0</v>
      </c>
      <c r="S28" t="s">
        <v>90</v>
      </c>
      <c r="T28" t="s">
        <v>136</v>
      </c>
      <c r="U28" t="s">
        <v>39</v>
      </c>
      <c r="V28" t="s">
        <v>39</v>
      </c>
      <c r="W28" t="s">
        <v>39</v>
      </c>
      <c r="X28">
        <v>2023</v>
      </c>
      <c r="Y28" t="s">
        <v>82</v>
      </c>
      <c r="Z28" t="s">
        <v>83</v>
      </c>
    </row>
    <row r="29" spans="1:26">
      <c r="A29" t="s">
        <v>194</v>
      </c>
      <c r="B29" t="s">
        <v>43</v>
      </c>
      <c r="C29" t="s">
        <v>28</v>
      </c>
      <c r="D29" t="s">
        <v>29</v>
      </c>
      <c r="E29" t="s">
        <v>195</v>
      </c>
      <c r="F29" t="s">
        <v>149</v>
      </c>
      <c r="G29" t="s">
        <v>58</v>
      </c>
      <c r="H29">
        <v>6.3</v>
      </c>
      <c r="I29">
        <v>2.2000000000000002</v>
      </c>
      <c r="J29" t="s">
        <v>96</v>
      </c>
      <c r="K29" t="s">
        <v>196</v>
      </c>
      <c r="L29" t="s">
        <v>126</v>
      </c>
      <c r="M29" t="s">
        <v>197</v>
      </c>
      <c r="N29" t="s">
        <v>71</v>
      </c>
      <c r="O29">
        <v>57</v>
      </c>
      <c r="P29" t="s">
        <v>105</v>
      </c>
      <c r="Q29">
        <v>4793</v>
      </c>
      <c r="R29">
        <v>2000</v>
      </c>
      <c r="S29" t="s">
        <v>152</v>
      </c>
      <c r="T29" t="s">
        <v>136</v>
      </c>
      <c r="U29" t="s">
        <v>52</v>
      </c>
      <c r="V29" t="s">
        <v>52</v>
      </c>
      <c r="W29" t="s">
        <v>52</v>
      </c>
      <c r="X29">
        <v>2024</v>
      </c>
      <c r="Y29" t="s">
        <v>53</v>
      </c>
      <c r="Z29" t="s">
        <v>54</v>
      </c>
    </row>
    <row r="30" spans="1:26">
      <c r="A30" t="s">
        <v>198</v>
      </c>
      <c r="B30" t="s">
        <v>66</v>
      </c>
      <c r="C30" t="s">
        <v>102</v>
      </c>
      <c r="D30" t="s">
        <v>77</v>
      </c>
      <c r="E30" t="s">
        <v>78</v>
      </c>
      <c r="F30" t="s">
        <v>160</v>
      </c>
      <c r="G30" t="s">
        <v>32</v>
      </c>
      <c r="H30">
        <v>9.1999999999999993</v>
      </c>
      <c r="I30">
        <v>18.5</v>
      </c>
      <c r="J30" t="s">
        <v>33</v>
      </c>
      <c r="K30" t="s">
        <v>199</v>
      </c>
      <c r="L30" t="s">
        <v>98</v>
      </c>
      <c r="M30" t="s">
        <v>200</v>
      </c>
      <c r="N30" t="s">
        <v>37</v>
      </c>
      <c r="O30">
        <v>67</v>
      </c>
      <c r="Q30">
        <v>0</v>
      </c>
      <c r="R30">
        <v>500</v>
      </c>
      <c r="T30" t="s">
        <v>51</v>
      </c>
      <c r="U30" t="s">
        <v>39</v>
      </c>
      <c r="V30" t="s">
        <v>52</v>
      </c>
      <c r="W30" t="s">
        <v>52</v>
      </c>
      <c r="X30">
        <v>2024</v>
      </c>
      <c r="Y30" t="s">
        <v>40</v>
      </c>
      <c r="Z30" t="s">
        <v>41</v>
      </c>
    </row>
    <row r="31" spans="1:26">
      <c r="A31" t="s">
        <v>201</v>
      </c>
      <c r="B31" t="s">
        <v>116</v>
      </c>
      <c r="C31" t="s">
        <v>44</v>
      </c>
      <c r="D31" t="s">
        <v>122</v>
      </c>
      <c r="E31" t="s">
        <v>202</v>
      </c>
      <c r="F31" t="s">
        <v>57</v>
      </c>
      <c r="G31" t="s">
        <v>32</v>
      </c>
      <c r="H31">
        <v>8.4</v>
      </c>
      <c r="I31">
        <v>24.9</v>
      </c>
      <c r="J31" t="s">
        <v>20</v>
      </c>
      <c r="K31" t="s">
        <v>203</v>
      </c>
      <c r="L31" t="s">
        <v>126</v>
      </c>
      <c r="M31" t="s">
        <v>204</v>
      </c>
      <c r="N31" t="s">
        <v>71</v>
      </c>
      <c r="O31">
        <v>36</v>
      </c>
      <c r="P31" t="s">
        <v>112</v>
      </c>
      <c r="Q31">
        <v>1447</v>
      </c>
      <c r="R31">
        <v>500</v>
      </c>
      <c r="S31" t="s">
        <v>73</v>
      </c>
      <c r="T31" t="s">
        <v>81</v>
      </c>
      <c r="U31" t="s">
        <v>52</v>
      </c>
      <c r="V31" t="s">
        <v>52</v>
      </c>
      <c r="W31" t="s">
        <v>39</v>
      </c>
      <c r="X31">
        <v>2022</v>
      </c>
      <c r="Y31" t="s">
        <v>153</v>
      </c>
      <c r="Z31" t="s">
        <v>54</v>
      </c>
    </row>
    <row r="32" spans="1:26">
      <c r="A32" t="s">
        <v>205</v>
      </c>
      <c r="B32" t="s">
        <v>108</v>
      </c>
      <c r="C32" t="s">
        <v>102</v>
      </c>
      <c r="D32" t="s">
        <v>77</v>
      </c>
      <c r="E32" t="s">
        <v>94</v>
      </c>
      <c r="F32" t="s">
        <v>149</v>
      </c>
      <c r="G32" t="s">
        <v>58</v>
      </c>
      <c r="H32">
        <v>3.7</v>
      </c>
      <c r="I32">
        <v>14</v>
      </c>
      <c r="J32" t="s">
        <v>33</v>
      </c>
      <c r="K32" t="s">
        <v>206</v>
      </c>
      <c r="L32" t="s">
        <v>126</v>
      </c>
      <c r="M32" t="s">
        <v>181</v>
      </c>
      <c r="N32" t="s">
        <v>171</v>
      </c>
      <c r="O32">
        <v>2</v>
      </c>
      <c r="Q32">
        <v>0</v>
      </c>
      <c r="R32">
        <v>0</v>
      </c>
      <c r="T32" t="s">
        <v>136</v>
      </c>
      <c r="U32" t="s">
        <v>39</v>
      </c>
      <c r="V32" t="s">
        <v>52</v>
      </c>
      <c r="W32" t="s">
        <v>52</v>
      </c>
      <c r="X32">
        <v>2024</v>
      </c>
      <c r="Y32" t="s">
        <v>114</v>
      </c>
      <c r="Z32" t="s">
        <v>41</v>
      </c>
    </row>
    <row r="33" spans="1:26">
      <c r="A33" t="s">
        <v>207</v>
      </c>
      <c r="B33" t="s">
        <v>66</v>
      </c>
      <c r="C33" t="s">
        <v>44</v>
      </c>
      <c r="D33" t="s">
        <v>85</v>
      </c>
      <c r="E33" t="s">
        <v>208</v>
      </c>
      <c r="F33" t="s">
        <v>68</v>
      </c>
      <c r="G33" t="s">
        <v>32</v>
      </c>
      <c r="H33">
        <v>6.8</v>
      </c>
      <c r="I33">
        <v>1.4</v>
      </c>
      <c r="J33" t="s">
        <v>33</v>
      </c>
      <c r="K33" t="s">
        <v>209</v>
      </c>
      <c r="L33" t="s">
        <v>35</v>
      </c>
      <c r="M33" t="s">
        <v>210</v>
      </c>
      <c r="N33" t="s">
        <v>71</v>
      </c>
      <c r="O33">
        <v>33</v>
      </c>
      <c r="P33" t="s">
        <v>72</v>
      </c>
      <c r="Q33">
        <v>2113</v>
      </c>
      <c r="R33">
        <v>1000</v>
      </c>
      <c r="S33" t="s">
        <v>90</v>
      </c>
      <c r="T33" t="s">
        <v>51</v>
      </c>
      <c r="U33" t="s">
        <v>39</v>
      </c>
      <c r="V33" t="s">
        <v>52</v>
      </c>
      <c r="W33" t="s">
        <v>52</v>
      </c>
      <c r="X33">
        <v>2024</v>
      </c>
      <c r="Y33" t="s">
        <v>211</v>
      </c>
      <c r="Z33" t="s">
        <v>41</v>
      </c>
    </row>
    <row r="34" spans="1:26">
      <c r="A34" t="s">
        <v>212</v>
      </c>
      <c r="B34" t="s">
        <v>66</v>
      </c>
      <c r="C34" t="s">
        <v>76</v>
      </c>
      <c r="D34" t="s">
        <v>122</v>
      </c>
      <c r="E34" t="s">
        <v>130</v>
      </c>
      <c r="F34" t="s">
        <v>46</v>
      </c>
      <c r="G34" t="s">
        <v>58</v>
      </c>
      <c r="H34">
        <v>10</v>
      </c>
      <c r="I34">
        <v>16.7</v>
      </c>
      <c r="J34" t="s">
        <v>156</v>
      </c>
      <c r="K34" t="s">
        <v>213</v>
      </c>
      <c r="L34" t="s">
        <v>35</v>
      </c>
      <c r="M34" t="s">
        <v>214</v>
      </c>
      <c r="N34" t="s">
        <v>61</v>
      </c>
      <c r="O34">
        <v>108</v>
      </c>
      <c r="Q34">
        <v>0</v>
      </c>
      <c r="R34">
        <v>0</v>
      </c>
      <c r="T34" t="s">
        <v>38</v>
      </c>
      <c r="U34" t="s">
        <v>39</v>
      </c>
      <c r="V34" t="s">
        <v>39</v>
      </c>
      <c r="W34" t="s">
        <v>52</v>
      </c>
      <c r="X34">
        <v>2023</v>
      </c>
      <c r="Y34" t="s">
        <v>40</v>
      </c>
      <c r="Z34" t="s">
        <v>41</v>
      </c>
    </row>
    <row r="35" spans="1:26">
      <c r="A35" t="s">
        <v>215</v>
      </c>
      <c r="B35" t="s">
        <v>66</v>
      </c>
      <c r="C35" t="s">
        <v>173</v>
      </c>
      <c r="D35" t="s">
        <v>77</v>
      </c>
      <c r="E35" t="s">
        <v>216</v>
      </c>
      <c r="F35" t="s">
        <v>46</v>
      </c>
      <c r="G35" t="s">
        <v>58</v>
      </c>
      <c r="H35">
        <v>6.8</v>
      </c>
      <c r="I35">
        <v>8</v>
      </c>
      <c r="J35" t="s">
        <v>20</v>
      </c>
      <c r="K35" t="s">
        <v>217</v>
      </c>
      <c r="L35" t="s">
        <v>140</v>
      </c>
      <c r="M35" t="s">
        <v>218</v>
      </c>
      <c r="N35" t="s">
        <v>50</v>
      </c>
      <c r="O35">
        <v>33</v>
      </c>
      <c r="Q35">
        <v>0</v>
      </c>
      <c r="R35">
        <v>0</v>
      </c>
      <c r="T35" t="s">
        <v>38</v>
      </c>
      <c r="U35" t="s">
        <v>39</v>
      </c>
      <c r="V35" t="s">
        <v>52</v>
      </c>
      <c r="W35" t="s">
        <v>39</v>
      </c>
      <c r="X35">
        <v>2023</v>
      </c>
      <c r="Y35" t="s">
        <v>53</v>
      </c>
      <c r="Z35" t="s">
        <v>54</v>
      </c>
    </row>
    <row r="36" spans="1:26">
      <c r="A36" t="s">
        <v>219</v>
      </c>
      <c r="B36" t="s">
        <v>116</v>
      </c>
      <c r="C36" t="s">
        <v>102</v>
      </c>
      <c r="D36" t="s">
        <v>77</v>
      </c>
      <c r="E36" t="s">
        <v>220</v>
      </c>
      <c r="F36" t="s">
        <v>95</v>
      </c>
      <c r="G36" t="s">
        <v>32</v>
      </c>
      <c r="H36">
        <v>4.8</v>
      </c>
      <c r="I36">
        <v>25.2</v>
      </c>
      <c r="J36" t="s">
        <v>96</v>
      </c>
      <c r="K36" t="s">
        <v>221</v>
      </c>
      <c r="L36" t="s">
        <v>98</v>
      </c>
      <c r="M36" t="s">
        <v>222</v>
      </c>
      <c r="N36" t="s">
        <v>100</v>
      </c>
      <c r="O36">
        <v>148</v>
      </c>
      <c r="Q36">
        <v>0</v>
      </c>
      <c r="R36">
        <v>0</v>
      </c>
      <c r="T36" t="s">
        <v>62</v>
      </c>
      <c r="U36" t="s">
        <v>39</v>
      </c>
      <c r="V36" t="s">
        <v>52</v>
      </c>
      <c r="W36" t="s">
        <v>39</v>
      </c>
      <c r="X36">
        <v>2023</v>
      </c>
      <c r="Y36" t="s">
        <v>91</v>
      </c>
      <c r="Z36" t="s">
        <v>64</v>
      </c>
    </row>
    <row r="37" spans="1:26">
      <c r="A37" t="s">
        <v>223</v>
      </c>
      <c r="B37" t="s">
        <v>116</v>
      </c>
      <c r="C37" t="s">
        <v>44</v>
      </c>
      <c r="D37" t="s">
        <v>122</v>
      </c>
      <c r="E37" t="s">
        <v>202</v>
      </c>
      <c r="F37" t="s">
        <v>149</v>
      </c>
      <c r="G37" t="s">
        <v>58</v>
      </c>
      <c r="H37">
        <v>0.9</v>
      </c>
      <c r="I37">
        <v>22.8</v>
      </c>
      <c r="J37" t="s">
        <v>144</v>
      </c>
      <c r="K37" t="s">
        <v>119</v>
      </c>
      <c r="L37" t="s">
        <v>60</v>
      </c>
      <c r="M37" t="s">
        <v>224</v>
      </c>
      <c r="N37" t="s">
        <v>171</v>
      </c>
      <c r="O37">
        <v>170</v>
      </c>
      <c r="Q37">
        <v>0</v>
      </c>
      <c r="R37">
        <v>0</v>
      </c>
      <c r="T37" t="s">
        <v>136</v>
      </c>
      <c r="U37" t="s">
        <v>39</v>
      </c>
      <c r="V37" t="s">
        <v>52</v>
      </c>
      <c r="W37" t="s">
        <v>52</v>
      </c>
      <c r="X37">
        <v>2024</v>
      </c>
      <c r="Y37" t="s">
        <v>53</v>
      </c>
      <c r="Z37" t="s">
        <v>54</v>
      </c>
    </row>
    <row r="38" spans="1:26">
      <c r="A38" t="s">
        <v>225</v>
      </c>
      <c r="B38" t="s">
        <v>93</v>
      </c>
      <c r="C38" t="s">
        <v>67</v>
      </c>
      <c r="D38" t="s">
        <v>29</v>
      </c>
      <c r="E38" t="s">
        <v>94</v>
      </c>
      <c r="F38" t="s">
        <v>124</v>
      </c>
      <c r="G38" t="s">
        <v>58</v>
      </c>
      <c r="H38">
        <v>5.3</v>
      </c>
      <c r="I38">
        <v>25.7</v>
      </c>
      <c r="J38" t="s">
        <v>33</v>
      </c>
      <c r="K38" t="s">
        <v>226</v>
      </c>
      <c r="L38" t="s">
        <v>126</v>
      </c>
      <c r="M38" t="s">
        <v>227</v>
      </c>
      <c r="N38" t="s">
        <v>50</v>
      </c>
      <c r="O38">
        <v>158</v>
      </c>
      <c r="Q38">
        <v>0</v>
      </c>
      <c r="R38">
        <v>1000</v>
      </c>
      <c r="T38" t="s">
        <v>81</v>
      </c>
      <c r="U38" t="s">
        <v>52</v>
      </c>
      <c r="V38" t="s">
        <v>52</v>
      </c>
      <c r="W38" t="s">
        <v>52</v>
      </c>
      <c r="X38">
        <v>2023</v>
      </c>
      <c r="Y38" t="s">
        <v>40</v>
      </c>
      <c r="Z38" t="s">
        <v>41</v>
      </c>
    </row>
    <row r="39" spans="1:26">
      <c r="A39" t="s">
        <v>228</v>
      </c>
      <c r="B39" t="s">
        <v>93</v>
      </c>
      <c r="C39" t="s">
        <v>173</v>
      </c>
      <c r="D39" t="s">
        <v>122</v>
      </c>
      <c r="E39" t="s">
        <v>123</v>
      </c>
      <c r="F39" t="s">
        <v>109</v>
      </c>
      <c r="G39" t="s">
        <v>58</v>
      </c>
      <c r="H39">
        <v>4.3</v>
      </c>
      <c r="I39">
        <v>9.4</v>
      </c>
      <c r="J39" t="s">
        <v>20</v>
      </c>
      <c r="K39" t="s">
        <v>229</v>
      </c>
      <c r="L39" t="s">
        <v>48</v>
      </c>
      <c r="M39" t="s">
        <v>127</v>
      </c>
      <c r="N39" t="s">
        <v>71</v>
      </c>
      <c r="O39">
        <v>84</v>
      </c>
      <c r="P39" t="s">
        <v>230</v>
      </c>
      <c r="Q39">
        <v>2497</v>
      </c>
      <c r="R39">
        <v>0</v>
      </c>
      <c r="S39" t="s">
        <v>113</v>
      </c>
      <c r="T39" t="s">
        <v>136</v>
      </c>
      <c r="U39" t="s">
        <v>52</v>
      </c>
      <c r="V39" t="s">
        <v>52</v>
      </c>
      <c r="W39" t="s">
        <v>52</v>
      </c>
      <c r="X39">
        <v>2024</v>
      </c>
      <c r="Y39" t="s">
        <v>91</v>
      </c>
      <c r="Z39" t="s">
        <v>64</v>
      </c>
    </row>
    <row r="40" spans="1:26">
      <c r="A40" t="s">
        <v>231</v>
      </c>
      <c r="B40" t="s">
        <v>66</v>
      </c>
      <c r="C40" t="s">
        <v>67</v>
      </c>
      <c r="D40" t="s">
        <v>77</v>
      </c>
      <c r="E40" t="s">
        <v>78</v>
      </c>
      <c r="F40" t="s">
        <v>149</v>
      </c>
      <c r="G40" t="s">
        <v>32</v>
      </c>
      <c r="H40">
        <v>4.9000000000000004</v>
      </c>
      <c r="I40">
        <v>8.9</v>
      </c>
      <c r="J40" t="s">
        <v>144</v>
      </c>
      <c r="K40" t="s">
        <v>232</v>
      </c>
      <c r="L40" t="s">
        <v>98</v>
      </c>
      <c r="M40" t="s">
        <v>233</v>
      </c>
      <c r="N40" t="s">
        <v>71</v>
      </c>
      <c r="O40">
        <v>5</v>
      </c>
      <c r="P40" t="s">
        <v>105</v>
      </c>
      <c r="Q40">
        <v>5410</v>
      </c>
      <c r="R40">
        <v>0</v>
      </c>
      <c r="S40" t="s">
        <v>152</v>
      </c>
      <c r="T40" t="s">
        <v>51</v>
      </c>
      <c r="U40" t="s">
        <v>52</v>
      </c>
      <c r="V40" t="s">
        <v>52</v>
      </c>
      <c r="W40" t="s">
        <v>52</v>
      </c>
      <c r="X40">
        <v>2024</v>
      </c>
      <c r="Y40" t="s">
        <v>40</v>
      </c>
      <c r="Z40" t="s">
        <v>41</v>
      </c>
    </row>
    <row r="41" spans="1:26">
      <c r="A41" t="s">
        <v>234</v>
      </c>
      <c r="B41" t="s">
        <v>66</v>
      </c>
      <c r="C41" t="s">
        <v>164</v>
      </c>
      <c r="D41" t="s">
        <v>29</v>
      </c>
      <c r="E41" t="s">
        <v>45</v>
      </c>
      <c r="F41" t="s">
        <v>124</v>
      </c>
      <c r="G41" t="s">
        <v>58</v>
      </c>
      <c r="H41">
        <v>1.5</v>
      </c>
      <c r="I41">
        <v>19</v>
      </c>
      <c r="J41" t="s">
        <v>156</v>
      </c>
      <c r="K41" t="s">
        <v>235</v>
      </c>
      <c r="L41" t="s">
        <v>126</v>
      </c>
      <c r="M41" t="s">
        <v>236</v>
      </c>
      <c r="N41" t="s">
        <v>171</v>
      </c>
      <c r="O41">
        <v>50</v>
      </c>
      <c r="Q41">
        <v>0</v>
      </c>
      <c r="R41">
        <v>0</v>
      </c>
      <c r="T41" t="s">
        <v>51</v>
      </c>
      <c r="U41" t="s">
        <v>39</v>
      </c>
      <c r="V41" t="s">
        <v>39</v>
      </c>
      <c r="W41" t="s">
        <v>52</v>
      </c>
      <c r="X41">
        <v>2022</v>
      </c>
      <c r="Y41" t="s">
        <v>114</v>
      </c>
      <c r="Z41" t="s">
        <v>41</v>
      </c>
    </row>
    <row r="42" spans="1:26">
      <c r="A42" t="s">
        <v>237</v>
      </c>
      <c r="B42" t="s">
        <v>93</v>
      </c>
      <c r="C42" t="s">
        <v>76</v>
      </c>
      <c r="D42" t="s">
        <v>29</v>
      </c>
      <c r="E42" t="s">
        <v>45</v>
      </c>
      <c r="F42" t="s">
        <v>238</v>
      </c>
      <c r="G42" t="s">
        <v>32</v>
      </c>
      <c r="H42">
        <v>0.3</v>
      </c>
      <c r="I42">
        <v>18.899999999999999</v>
      </c>
      <c r="J42" t="s">
        <v>156</v>
      </c>
      <c r="K42" t="s">
        <v>239</v>
      </c>
      <c r="L42" t="s">
        <v>48</v>
      </c>
      <c r="M42" t="s">
        <v>240</v>
      </c>
      <c r="N42" t="s">
        <v>61</v>
      </c>
      <c r="O42">
        <v>46</v>
      </c>
      <c r="Q42">
        <v>0</v>
      </c>
      <c r="R42">
        <v>0</v>
      </c>
      <c r="T42" t="s">
        <v>136</v>
      </c>
      <c r="U42" t="s">
        <v>39</v>
      </c>
      <c r="V42" t="s">
        <v>39</v>
      </c>
      <c r="W42" t="s">
        <v>52</v>
      </c>
      <c r="X42">
        <v>2024</v>
      </c>
      <c r="Y42" t="s">
        <v>106</v>
      </c>
      <c r="Z42" t="s">
        <v>83</v>
      </c>
    </row>
    <row r="43" spans="1:26">
      <c r="A43" t="s">
        <v>241</v>
      </c>
      <c r="B43" t="s">
        <v>116</v>
      </c>
      <c r="C43" t="s">
        <v>44</v>
      </c>
      <c r="D43" t="s">
        <v>77</v>
      </c>
      <c r="E43" t="s">
        <v>78</v>
      </c>
      <c r="F43" t="s">
        <v>149</v>
      </c>
      <c r="G43" t="s">
        <v>58</v>
      </c>
      <c r="H43">
        <v>11.3</v>
      </c>
      <c r="I43">
        <v>17</v>
      </c>
      <c r="J43" t="s">
        <v>20</v>
      </c>
      <c r="K43" t="s">
        <v>242</v>
      </c>
      <c r="L43" t="s">
        <v>98</v>
      </c>
      <c r="M43" t="s">
        <v>210</v>
      </c>
      <c r="N43" t="s">
        <v>71</v>
      </c>
      <c r="O43">
        <v>88</v>
      </c>
      <c r="P43" t="s">
        <v>230</v>
      </c>
      <c r="Q43">
        <v>3420</v>
      </c>
      <c r="R43">
        <v>0</v>
      </c>
      <c r="S43" t="s">
        <v>113</v>
      </c>
      <c r="T43" t="s">
        <v>81</v>
      </c>
      <c r="U43" t="s">
        <v>39</v>
      </c>
      <c r="V43" t="s">
        <v>39</v>
      </c>
      <c r="W43" t="s">
        <v>52</v>
      </c>
      <c r="X43">
        <v>2024</v>
      </c>
      <c r="Y43" t="s">
        <v>153</v>
      </c>
      <c r="Z43" t="s">
        <v>54</v>
      </c>
    </row>
    <row r="44" spans="1:26">
      <c r="A44" t="s">
        <v>243</v>
      </c>
      <c r="B44" t="s">
        <v>27</v>
      </c>
      <c r="C44" t="s">
        <v>44</v>
      </c>
      <c r="D44" t="s">
        <v>29</v>
      </c>
      <c r="E44" t="s">
        <v>244</v>
      </c>
      <c r="F44" t="s">
        <v>160</v>
      </c>
      <c r="G44" t="s">
        <v>58</v>
      </c>
      <c r="H44">
        <v>5.5</v>
      </c>
      <c r="I44">
        <v>15.8</v>
      </c>
      <c r="J44" t="s">
        <v>20</v>
      </c>
      <c r="K44" t="s">
        <v>245</v>
      </c>
      <c r="L44" t="s">
        <v>98</v>
      </c>
      <c r="M44" t="s">
        <v>246</v>
      </c>
      <c r="N44" t="s">
        <v>37</v>
      </c>
      <c r="O44">
        <v>156</v>
      </c>
      <c r="Q44">
        <v>0</v>
      </c>
      <c r="R44">
        <v>1000</v>
      </c>
      <c r="T44" t="s">
        <v>38</v>
      </c>
      <c r="U44" t="s">
        <v>39</v>
      </c>
      <c r="V44" t="s">
        <v>52</v>
      </c>
      <c r="W44" t="s">
        <v>52</v>
      </c>
      <c r="X44">
        <v>2024</v>
      </c>
      <c r="Y44" t="s">
        <v>53</v>
      </c>
      <c r="Z44" t="s">
        <v>54</v>
      </c>
    </row>
    <row r="45" spans="1:26">
      <c r="A45" t="s">
        <v>247</v>
      </c>
      <c r="B45" t="s">
        <v>108</v>
      </c>
      <c r="C45" t="s">
        <v>121</v>
      </c>
      <c r="D45" t="s">
        <v>29</v>
      </c>
      <c r="E45" t="s">
        <v>94</v>
      </c>
      <c r="F45" t="s">
        <v>31</v>
      </c>
      <c r="G45" t="s">
        <v>32</v>
      </c>
      <c r="H45">
        <v>6.7</v>
      </c>
      <c r="I45">
        <v>5.9</v>
      </c>
      <c r="J45" t="s">
        <v>33</v>
      </c>
      <c r="K45" t="s">
        <v>248</v>
      </c>
      <c r="L45" t="s">
        <v>35</v>
      </c>
      <c r="M45" t="s">
        <v>249</v>
      </c>
      <c r="N45" t="s">
        <v>37</v>
      </c>
      <c r="O45">
        <v>41</v>
      </c>
      <c r="Q45">
        <v>0</v>
      </c>
      <c r="R45">
        <v>0</v>
      </c>
      <c r="T45" t="s">
        <v>81</v>
      </c>
      <c r="U45" t="s">
        <v>39</v>
      </c>
      <c r="V45" t="s">
        <v>52</v>
      </c>
      <c r="W45" t="s">
        <v>52</v>
      </c>
      <c r="X45">
        <v>2022</v>
      </c>
      <c r="Y45" t="s">
        <v>153</v>
      </c>
      <c r="Z45" t="s">
        <v>54</v>
      </c>
    </row>
    <row r="46" spans="1:26">
      <c r="A46" t="s">
        <v>250</v>
      </c>
      <c r="B46" t="s">
        <v>43</v>
      </c>
      <c r="C46" t="s">
        <v>173</v>
      </c>
      <c r="D46" t="s">
        <v>77</v>
      </c>
      <c r="E46" t="s">
        <v>143</v>
      </c>
      <c r="F46" t="s">
        <v>68</v>
      </c>
      <c r="G46" t="s">
        <v>58</v>
      </c>
      <c r="H46">
        <v>1.5</v>
      </c>
      <c r="I46">
        <v>8.3000000000000007</v>
      </c>
      <c r="J46" t="s">
        <v>33</v>
      </c>
      <c r="K46" t="s">
        <v>251</v>
      </c>
      <c r="L46" t="s">
        <v>48</v>
      </c>
      <c r="M46" t="s">
        <v>252</v>
      </c>
      <c r="N46" t="s">
        <v>37</v>
      </c>
      <c r="O46">
        <v>68</v>
      </c>
      <c r="Q46">
        <v>0</v>
      </c>
      <c r="R46">
        <v>1000</v>
      </c>
      <c r="T46" t="s">
        <v>51</v>
      </c>
      <c r="U46" t="s">
        <v>39</v>
      </c>
      <c r="V46" t="s">
        <v>52</v>
      </c>
      <c r="W46" t="s">
        <v>39</v>
      </c>
      <c r="X46">
        <v>2023</v>
      </c>
      <c r="Y46" t="s">
        <v>74</v>
      </c>
      <c r="Z46" t="s">
        <v>54</v>
      </c>
    </row>
    <row r="47" spans="1:26">
      <c r="A47" t="s">
        <v>253</v>
      </c>
      <c r="B47" t="s">
        <v>108</v>
      </c>
      <c r="C47" t="s">
        <v>67</v>
      </c>
      <c r="D47" t="s">
        <v>77</v>
      </c>
      <c r="E47" t="s">
        <v>168</v>
      </c>
      <c r="F47" t="s">
        <v>31</v>
      </c>
      <c r="G47" t="s">
        <v>32</v>
      </c>
      <c r="H47">
        <v>1.1000000000000001</v>
      </c>
      <c r="I47">
        <v>1.9</v>
      </c>
      <c r="J47" t="s">
        <v>33</v>
      </c>
      <c r="K47" t="s">
        <v>254</v>
      </c>
      <c r="L47" t="s">
        <v>35</v>
      </c>
      <c r="M47" t="s">
        <v>255</v>
      </c>
      <c r="N47" t="s">
        <v>50</v>
      </c>
      <c r="O47">
        <v>70</v>
      </c>
      <c r="Q47">
        <v>0</v>
      </c>
      <c r="R47">
        <v>1000</v>
      </c>
      <c r="T47" t="s">
        <v>81</v>
      </c>
      <c r="U47" t="s">
        <v>39</v>
      </c>
      <c r="V47" t="s">
        <v>52</v>
      </c>
      <c r="W47" t="s">
        <v>52</v>
      </c>
      <c r="X47">
        <v>2024</v>
      </c>
      <c r="Y47" t="s">
        <v>74</v>
      </c>
      <c r="Z47" t="s">
        <v>54</v>
      </c>
    </row>
    <row r="48" spans="1:26">
      <c r="A48" t="s">
        <v>256</v>
      </c>
      <c r="B48" t="s">
        <v>66</v>
      </c>
      <c r="C48" t="s">
        <v>121</v>
      </c>
      <c r="D48" t="s">
        <v>77</v>
      </c>
      <c r="E48" t="s">
        <v>220</v>
      </c>
      <c r="F48" t="s">
        <v>95</v>
      </c>
      <c r="G48" t="s">
        <v>32</v>
      </c>
      <c r="H48">
        <v>2.2999999999999998</v>
      </c>
      <c r="I48">
        <v>20.7</v>
      </c>
      <c r="J48" t="s">
        <v>33</v>
      </c>
      <c r="K48" t="s">
        <v>257</v>
      </c>
      <c r="L48" t="s">
        <v>126</v>
      </c>
      <c r="M48" t="s">
        <v>258</v>
      </c>
      <c r="N48" t="s">
        <v>50</v>
      </c>
      <c r="O48">
        <v>121</v>
      </c>
      <c r="Q48">
        <v>0</v>
      </c>
      <c r="R48">
        <v>500</v>
      </c>
      <c r="T48" t="s">
        <v>51</v>
      </c>
      <c r="U48" t="s">
        <v>39</v>
      </c>
      <c r="V48" t="s">
        <v>52</v>
      </c>
      <c r="W48" t="s">
        <v>39</v>
      </c>
      <c r="X48">
        <v>2022</v>
      </c>
      <c r="Y48" t="s">
        <v>63</v>
      </c>
      <c r="Z48" t="s">
        <v>64</v>
      </c>
    </row>
    <row r="49" spans="1:26">
      <c r="A49" t="s">
        <v>259</v>
      </c>
      <c r="B49" t="s">
        <v>27</v>
      </c>
      <c r="C49" t="s">
        <v>76</v>
      </c>
      <c r="D49" t="s">
        <v>77</v>
      </c>
      <c r="E49" t="s">
        <v>260</v>
      </c>
      <c r="F49" t="s">
        <v>149</v>
      </c>
      <c r="G49" t="s">
        <v>58</v>
      </c>
      <c r="H49">
        <v>8</v>
      </c>
      <c r="I49">
        <v>14.3</v>
      </c>
      <c r="J49" t="s">
        <v>33</v>
      </c>
      <c r="K49" t="s">
        <v>261</v>
      </c>
      <c r="L49" t="s">
        <v>60</v>
      </c>
      <c r="M49" t="s">
        <v>262</v>
      </c>
      <c r="N49" t="s">
        <v>50</v>
      </c>
      <c r="O49">
        <v>178</v>
      </c>
      <c r="Q49">
        <v>0</v>
      </c>
      <c r="R49">
        <v>500</v>
      </c>
      <c r="T49" t="s">
        <v>51</v>
      </c>
      <c r="U49" t="s">
        <v>39</v>
      </c>
      <c r="V49" t="s">
        <v>52</v>
      </c>
      <c r="W49" t="s">
        <v>39</v>
      </c>
      <c r="X49">
        <v>2024</v>
      </c>
      <c r="Y49" t="s">
        <v>74</v>
      </c>
      <c r="Z49" t="s">
        <v>54</v>
      </c>
    </row>
    <row r="50" spans="1:26">
      <c r="A50" t="s">
        <v>263</v>
      </c>
      <c r="B50" t="s">
        <v>108</v>
      </c>
      <c r="C50" t="s">
        <v>76</v>
      </c>
      <c r="D50" t="s">
        <v>29</v>
      </c>
      <c r="E50" t="s">
        <v>117</v>
      </c>
      <c r="F50" t="s">
        <v>124</v>
      </c>
      <c r="G50" t="s">
        <v>32</v>
      </c>
      <c r="H50">
        <v>7.5</v>
      </c>
      <c r="I50">
        <v>17.7</v>
      </c>
      <c r="J50" t="s">
        <v>20</v>
      </c>
      <c r="K50" t="s">
        <v>264</v>
      </c>
      <c r="L50" t="s">
        <v>48</v>
      </c>
      <c r="M50" t="s">
        <v>265</v>
      </c>
      <c r="N50" t="s">
        <v>37</v>
      </c>
      <c r="O50">
        <v>14</v>
      </c>
      <c r="Q50">
        <v>0</v>
      </c>
      <c r="R50">
        <v>500</v>
      </c>
      <c r="T50" t="s">
        <v>51</v>
      </c>
      <c r="U50" t="s">
        <v>52</v>
      </c>
      <c r="V50" t="s">
        <v>52</v>
      </c>
      <c r="W50" t="s">
        <v>52</v>
      </c>
      <c r="X50">
        <v>2024</v>
      </c>
      <c r="Y50" t="s">
        <v>74</v>
      </c>
      <c r="Z50" t="s">
        <v>54</v>
      </c>
    </row>
    <row r="51" spans="1:26">
      <c r="A51" t="s">
        <v>266</v>
      </c>
      <c r="B51" t="s">
        <v>116</v>
      </c>
      <c r="C51" t="s">
        <v>102</v>
      </c>
      <c r="D51" t="s">
        <v>29</v>
      </c>
      <c r="E51" t="s">
        <v>30</v>
      </c>
      <c r="F51" t="s">
        <v>95</v>
      </c>
      <c r="G51" t="s">
        <v>32</v>
      </c>
      <c r="H51">
        <v>6.7</v>
      </c>
      <c r="I51">
        <v>19.600000000000001</v>
      </c>
      <c r="J51" t="s">
        <v>33</v>
      </c>
      <c r="K51" t="s">
        <v>267</v>
      </c>
      <c r="L51" t="s">
        <v>98</v>
      </c>
      <c r="M51" t="s">
        <v>268</v>
      </c>
      <c r="N51" t="s">
        <v>61</v>
      </c>
      <c r="O51">
        <v>41</v>
      </c>
      <c r="Q51">
        <v>0</v>
      </c>
      <c r="R51">
        <v>0</v>
      </c>
      <c r="T51" t="s">
        <v>81</v>
      </c>
      <c r="U51" t="s">
        <v>52</v>
      </c>
      <c r="V51" t="s">
        <v>52</v>
      </c>
      <c r="W51" t="s">
        <v>52</v>
      </c>
      <c r="X51">
        <v>2023</v>
      </c>
      <c r="Y51" t="s">
        <v>53</v>
      </c>
      <c r="Z51" t="s">
        <v>54</v>
      </c>
    </row>
    <row r="52" spans="1:26">
      <c r="A52" t="s">
        <v>269</v>
      </c>
      <c r="B52" t="s">
        <v>108</v>
      </c>
      <c r="C52" t="s">
        <v>102</v>
      </c>
      <c r="D52" t="s">
        <v>29</v>
      </c>
      <c r="E52" t="s">
        <v>94</v>
      </c>
      <c r="F52" t="s">
        <v>31</v>
      </c>
      <c r="G52" t="s">
        <v>58</v>
      </c>
      <c r="H52">
        <v>3</v>
      </c>
      <c r="I52">
        <v>19.5</v>
      </c>
      <c r="J52" t="s">
        <v>96</v>
      </c>
      <c r="K52" t="s">
        <v>270</v>
      </c>
      <c r="L52" t="s">
        <v>35</v>
      </c>
      <c r="M52" t="s">
        <v>271</v>
      </c>
      <c r="N52" t="s">
        <v>50</v>
      </c>
      <c r="O52">
        <v>107</v>
      </c>
      <c r="Q52">
        <v>0</v>
      </c>
      <c r="R52">
        <v>1000</v>
      </c>
      <c r="T52" t="s">
        <v>51</v>
      </c>
      <c r="U52" t="s">
        <v>52</v>
      </c>
      <c r="V52" t="s">
        <v>52</v>
      </c>
      <c r="W52" t="s">
        <v>52</v>
      </c>
      <c r="X52">
        <v>2023</v>
      </c>
      <c r="Y52" t="s">
        <v>40</v>
      </c>
      <c r="Z52" t="s">
        <v>41</v>
      </c>
    </row>
    <row r="53" spans="1:26">
      <c r="A53" t="s">
        <v>272</v>
      </c>
      <c r="B53" t="s">
        <v>93</v>
      </c>
      <c r="C53" t="s">
        <v>44</v>
      </c>
      <c r="D53" t="s">
        <v>77</v>
      </c>
      <c r="E53" t="s">
        <v>168</v>
      </c>
      <c r="F53" t="s">
        <v>149</v>
      </c>
      <c r="G53" t="s">
        <v>32</v>
      </c>
      <c r="H53">
        <v>5.4</v>
      </c>
      <c r="I53">
        <v>17.2</v>
      </c>
      <c r="J53" t="s">
        <v>96</v>
      </c>
      <c r="K53" t="s">
        <v>273</v>
      </c>
      <c r="L53" t="s">
        <v>48</v>
      </c>
      <c r="M53" t="s">
        <v>274</v>
      </c>
      <c r="N53" t="s">
        <v>50</v>
      </c>
      <c r="O53">
        <v>151</v>
      </c>
      <c r="Q53">
        <v>0</v>
      </c>
      <c r="R53">
        <v>0</v>
      </c>
      <c r="T53" t="s">
        <v>81</v>
      </c>
      <c r="U53" t="s">
        <v>52</v>
      </c>
      <c r="V53" t="s">
        <v>39</v>
      </c>
      <c r="W53" t="s">
        <v>52</v>
      </c>
      <c r="X53">
        <v>2023</v>
      </c>
      <c r="Y53" t="s">
        <v>114</v>
      </c>
      <c r="Z53" t="s">
        <v>41</v>
      </c>
    </row>
    <row r="54" spans="1:26">
      <c r="A54" t="s">
        <v>275</v>
      </c>
      <c r="B54" t="s">
        <v>66</v>
      </c>
      <c r="C54" t="s">
        <v>164</v>
      </c>
      <c r="D54" t="s">
        <v>77</v>
      </c>
      <c r="E54" t="s">
        <v>260</v>
      </c>
      <c r="F54" t="s">
        <v>149</v>
      </c>
      <c r="G54" t="s">
        <v>58</v>
      </c>
      <c r="H54">
        <v>11.9</v>
      </c>
      <c r="I54">
        <v>27.8</v>
      </c>
      <c r="J54" t="s">
        <v>33</v>
      </c>
      <c r="K54" t="s">
        <v>276</v>
      </c>
      <c r="L54" t="s">
        <v>140</v>
      </c>
      <c r="M54" t="s">
        <v>277</v>
      </c>
      <c r="N54" t="s">
        <v>100</v>
      </c>
      <c r="O54">
        <v>98</v>
      </c>
      <c r="Q54">
        <v>0</v>
      </c>
      <c r="R54">
        <v>0</v>
      </c>
      <c r="T54" t="s">
        <v>62</v>
      </c>
      <c r="U54" t="s">
        <v>39</v>
      </c>
      <c r="V54" t="s">
        <v>39</v>
      </c>
      <c r="W54" t="s">
        <v>52</v>
      </c>
      <c r="X54">
        <v>2024</v>
      </c>
      <c r="Y54" t="s">
        <v>211</v>
      </c>
      <c r="Z54" t="s">
        <v>41</v>
      </c>
    </row>
    <row r="55" spans="1:26">
      <c r="A55" t="s">
        <v>278</v>
      </c>
      <c r="B55" t="s">
        <v>108</v>
      </c>
      <c r="C55" t="s">
        <v>173</v>
      </c>
      <c r="D55" t="s">
        <v>29</v>
      </c>
      <c r="E55" t="s">
        <v>244</v>
      </c>
      <c r="F55" t="s">
        <v>46</v>
      </c>
      <c r="G55" t="s">
        <v>32</v>
      </c>
      <c r="H55">
        <v>7.9</v>
      </c>
      <c r="I55">
        <v>5.8</v>
      </c>
      <c r="J55" t="s">
        <v>156</v>
      </c>
      <c r="K55" t="s">
        <v>279</v>
      </c>
      <c r="L55" t="s">
        <v>35</v>
      </c>
      <c r="M55" t="s">
        <v>280</v>
      </c>
      <c r="N55" t="s">
        <v>71</v>
      </c>
      <c r="O55">
        <v>4</v>
      </c>
      <c r="P55" t="s">
        <v>72</v>
      </c>
      <c r="Q55">
        <v>3179</v>
      </c>
      <c r="R55">
        <v>5000</v>
      </c>
      <c r="S55" t="s">
        <v>90</v>
      </c>
      <c r="T55" t="s">
        <v>51</v>
      </c>
      <c r="U55" t="s">
        <v>52</v>
      </c>
      <c r="V55" t="s">
        <v>52</v>
      </c>
      <c r="W55" t="s">
        <v>39</v>
      </c>
      <c r="X55">
        <v>2024</v>
      </c>
      <c r="Y55" t="s">
        <v>40</v>
      </c>
      <c r="Z55" t="s">
        <v>41</v>
      </c>
    </row>
    <row r="56" spans="1:26">
      <c r="A56" t="s">
        <v>281</v>
      </c>
      <c r="B56" t="s">
        <v>108</v>
      </c>
      <c r="C56" t="s">
        <v>28</v>
      </c>
      <c r="D56" t="s">
        <v>77</v>
      </c>
      <c r="E56" t="s">
        <v>143</v>
      </c>
      <c r="F56" t="s">
        <v>95</v>
      </c>
      <c r="G56" t="s">
        <v>32</v>
      </c>
      <c r="H56">
        <v>12</v>
      </c>
      <c r="I56">
        <v>26.3</v>
      </c>
      <c r="J56" t="s">
        <v>33</v>
      </c>
      <c r="K56" t="s">
        <v>282</v>
      </c>
      <c r="L56" t="s">
        <v>98</v>
      </c>
      <c r="M56" t="s">
        <v>283</v>
      </c>
      <c r="N56" t="s">
        <v>61</v>
      </c>
      <c r="O56">
        <v>162</v>
      </c>
      <c r="Q56">
        <v>0</v>
      </c>
      <c r="R56">
        <v>0</v>
      </c>
      <c r="T56" t="s">
        <v>51</v>
      </c>
      <c r="U56" t="s">
        <v>39</v>
      </c>
      <c r="V56" t="s">
        <v>39</v>
      </c>
      <c r="W56" t="s">
        <v>52</v>
      </c>
      <c r="X56">
        <v>2023</v>
      </c>
      <c r="Y56" t="s">
        <v>74</v>
      </c>
      <c r="Z56" t="s">
        <v>54</v>
      </c>
    </row>
    <row r="57" spans="1:26">
      <c r="A57" t="s">
        <v>284</v>
      </c>
      <c r="B57" t="s">
        <v>27</v>
      </c>
      <c r="C57" t="s">
        <v>164</v>
      </c>
      <c r="D57" t="s">
        <v>77</v>
      </c>
      <c r="E57" t="s">
        <v>168</v>
      </c>
      <c r="F57" t="s">
        <v>68</v>
      </c>
      <c r="G57" t="s">
        <v>58</v>
      </c>
      <c r="H57">
        <v>1.8</v>
      </c>
      <c r="I57">
        <v>18.8</v>
      </c>
      <c r="J57" t="s">
        <v>33</v>
      </c>
      <c r="K57" t="s">
        <v>285</v>
      </c>
      <c r="L57" t="s">
        <v>140</v>
      </c>
      <c r="M57" t="s">
        <v>286</v>
      </c>
      <c r="N57" t="s">
        <v>100</v>
      </c>
      <c r="O57">
        <v>96</v>
      </c>
      <c r="Q57">
        <v>0</v>
      </c>
      <c r="R57">
        <v>0</v>
      </c>
      <c r="T57" t="s">
        <v>136</v>
      </c>
      <c r="U57" t="s">
        <v>39</v>
      </c>
      <c r="V57" t="s">
        <v>52</v>
      </c>
      <c r="W57" t="s">
        <v>52</v>
      </c>
      <c r="X57">
        <v>2024</v>
      </c>
      <c r="Y57" t="s">
        <v>106</v>
      </c>
      <c r="Z57" t="s">
        <v>83</v>
      </c>
    </row>
    <row r="58" spans="1:26">
      <c r="A58" t="s">
        <v>287</v>
      </c>
      <c r="B58" t="s">
        <v>108</v>
      </c>
      <c r="C58" t="s">
        <v>173</v>
      </c>
      <c r="D58" t="s">
        <v>77</v>
      </c>
      <c r="E58" t="s">
        <v>78</v>
      </c>
      <c r="F58" t="s">
        <v>109</v>
      </c>
      <c r="G58" t="s">
        <v>58</v>
      </c>
      <c r="H58">
        <v>8</v>
      </c>
      <c r="I58">
        <v>31.5</v>
      </c>
      <c r="J58" t="s">
        <v>33</v>
      </c>
      <c r="K58" t="s">
        <v>288</v>
      </c>
      <c r="L58" t="s">
        <v>126</v>
      </c>
      <c r="M58" t="s">
        <v>221</v>
      </c>
      <c r="N58" t="s">
        <v>61</v>
      </c>
      <c r="O58">
        <v>118</v>
      </c>
      <c r="Q58">
        <v>0</v>
      </c>
      <c r="R58">
        <v>0</v>
      </c>
      <c r="T58" t="s">
        <v>51</v>
      </c>
      <c r="U58" t="s">
        <v>39</v>
      </c>
      <c r="V58" t="s">
        <v>52</v>
      </c>
      <c r="W58" t="s">
        <v>52</v>
      </c>
      <c r="X58">
        <v>2023</v>
      </c>
      <c r="Y58" t="s">
        <v>153</v>
      </c>
      <c r="Z58" t="s">
        <v>54</v>
      </c>
    </row>
    <row r="59" spans="1:26">
      <c r="A59" t="s">
        <v>289</v>
      </c>
      <c r="B59" t="s">
        <v>108</v>
      </c>
      <c r="C59" t="s">
        <v>67</v>
      </c>
      <c r="D59" t="s">
        <v>29</v>
      </c>
      <c r="E59" t="s">
        <v>117</v>
      </c>
      <c r="F59" t="s">
        <v>31</v>
      </c>
      <c r="G59" t="s">
        <v>32</v>
      </c>
      <c r="H59">
        <v>10.3</v>
      </c>
      <c r="I59">
        <v>4.2</v>
      </c>
      <c r="J59" t="s">
        <v>156</v>
      </c>
      <c r="K59" t="s">
        <v>290</v>
      </c>
      <c r="L59" t="s">
        <v>60</v>
      </c>
      <c r="M59" t="s">
        <v>291</v>
      </c>
      <c r="N59" t="s">
        <v>100</v>
      </c>
      <c r="O59">
        <v>51</v>
      </c>
      <c r="Q59">
        <v>0</v>
      </c>
      <c r="R59">
        <v>0</v>
      </c>
      <c r="T59" t="s">
        <v>38</v>
      </c>
      <c r="U59" t="s">
        <v>52</v>
      </c>
      <c r="V59" t="s">
        <v>52</v>
      </c>
      <c r="W59" t="s">
        <v>39</v>
      </c>
      <c r="X59">
        <v>2023</v>
      </c>
      <c r="Y59" t="s">
        <v>114</v>
      </c>
      <c r="Z59" t="s">
        <v>41</v>
      </c>
    </row>
    <row r="60" spans="1:26">
      <c r="A60" t="s">
        <v>292</v>
      </c>
      <c r="B60" t="s">
        <v>93</v>
      </c>
      <c r="C60" t="s">
        <v>164</v>
      </c>
      <c r="D60" t="s">
        <v>77</v>
      </c>
      <c r="E60" t="s">
        <v>220</v>
      </c>
      <c r="F60" t="s">
        <v>95</v>
      </c>
      <c r="G60" t="s">
        <v>58</v>
      </c>
      <c r="H60">
        <v>2.7</v>
      </c>
      <c r="I60">
        <v>7.1</v>
      </c>
      <c r="J60" t="s">
        <v>33</v>
      </c>
      <c r="K60" t="s">
        <v>293</v>
      </c>
      <c r="L60" t="s">
        <v>126</v>
      </c>
      <c r="M60" t="s">
        <v>294</v>
      </c>
      <c r="N60" t="s">
        <v>37</v>
      </c>
      <c r="O60">
        <v>74</v>
      </c>
      <c r="Q60">
        <v>0</v>
      </c>
      <c r="R60">
        <v>500</v>
      </c>
      <c r="T60" t="s">
        <v>38</v>
      </c>
      <c r="U60" t="s">
        <v>39</v>
      </c>
      <c r="V60" t="s">
        <v>52</v>
      </c>
      <c r="W60" t="s">
        <v>52</v>
      </c>
      <c r="X60">
        <v>2024</v>
      </c>
      <c r="Y60" t="s">
        <v>91</v>
      </c>
      <c r="Z60" t="s">
        <v>64</v>
      </c>
    </row>
    <row r="61" spans="1:26">
      <c r="A61" t="s">
        <v>295</v>
      </c>
      <c r="B61" t="s">
        <v>93</v>
      </c>
      <c r="C61" t="s">
        <v>173</v>
      </c>
      <c r="D61" t="s">
        <v>29</v>
      </c>
      <c r="E61" t="s">
        <v>56</v>
      </c>
      <c r="F61" t="s">
        <v>68</v>
      </c>
      <c r="G61" t="s">
        <v>32</v>
      </c>
      <c r="H61">
        <v>9.5</v>
      </c>
      <c r="I61">
        <v>30.7</v>
      </c>
      <c r="J61" t="s">
        <v>96</v>
      </c>
      <c r="K61" t="s">
        <v>291</v>
      </c>
      <c r="L61" t="s">
        <v>126</v>
      </c>
      <c r="M61" t="s">
        <v>296</v>
      </c>
      <c r="N61" t="s">
        <v>71</v>
      </c>
      <c r="O61">
        <v>107</v>
      </c>
      <c r="P61" t="s">
        <v>72</v>
      </c>
      <c r="Q61">
        <v>2322</v>
      </c>
      <c r="R61">
        <v>0</v>
      </c>
      <c r="S61" t="s">
        <v>152</v>
      </c>
      <c r="T61" t="s">
        <v>38</v>
      </c>
      <c r="U61" t="s">
        <v>52</v>
      </c>
      <c r="V61" t="s">
        <v>39</v>
      </c>
      <c r="W61" t="s">
        <v>52</v>
      </c>
      <c r="X61">
        <v>2023</v>
      </c>
      <c r="Y61" t="s">
        <v>128</v>
      </c>
      <c r="Z61" t="s">
        <v>64</v>
      </c>
    </row>
    <row r="62" spans="1:26">
      <c r="A62" t="s">
        <v>297</v>
      </c>
      <c r="B62" t="s">
        <v>108</v>
      </c>
      <c r="C62" t="s">
        <v>67</v>
      </c>
      <c r="D62" t="s">
        <v>77</v>
      </c>
      <c r="E62" t="s">
        <v>94</v>
      </c>
      <c r="F62" t="s">
        <v>160</v>
      </c>
      <c r="G62" t="s">
        <v>32</v>
      </c>
      <c r="H62">
        <v>0.3</v>
      </c>
      <c r="I62">
        <v>19</v>
      </c>
      <c r="J62" t="s">
        <v>96</v>
      </c>
      <c r="K62" t="s">
        <v>298</v>
      </c>
      <c r="L62" t="s">
        <v>98</v>
      </c>
      <c r="M62" t="s">
        <v>299</v>
      </c>
      <c r="N62" t="s">
        <v>100</v>
      </c>
      <c r="O62">
        <v>24</v>
      </c>
      <c r="Q62">
        <v>0</v>
      </c>
      <c r="R62">
        <v>0</v>
      </c>
      <c r="T62" t="s">
        <v>51</v>
      </c>
      <c r="U62" t="s">
        <v>39</v>
      </c>
      <c r="V62" t="s">
        <v>52</v>
      </c>
      <c r="W62" t="s">
        <v>52</v>
      </c>
      <c r="X62">
        <v>2024</v>
      </c>
      <c r="Y62" t="s">
        <v>106</v>
      </c>
      <c r="Z62" t="s">
        <v>83</v>
      </c>
    </row>
    <row r="63" spans="1:26">
      <c r="A63" t="s">
        <v>300</v>
      </c>
      <c r="B63" t="s">
        <v>66</v>
      </c>
      <c r="C63" t="s">
        <v>173</v>
      </c>
      <c r="D63" t="s">
        <v>77</v>
      </c>
      <c r="E63" t="s">
        <v>220</v>
      </c>
      <c r="F63" t="s">
        <v>57</v>
      </c>
      <c r="G63" t="s">
        <v>58</v>
      </c>
      <c r="H63">
        <v>7.7</v>
      </c>
      <c r="I63">
        <v>16.5</v>
      </c>
      <c r="J63" t="s">
        <v>33</v>
      </c>
      <c r="K63" t="s">
        <v>301</v>
      </c>
      <c r="L63" t="s">
        <v>35</v>
      </c>
      <c r="M63" t="s">
        <v>302</v>
      </c>
      <c r="N63" t="s">
        <v>37</v>
      </c>
      <c r="O63">
        <v>157</v>
      </c>
      <c r="Q63">
        <v>0</v>
      </c>
      <c r="R63">
        <v>0</v>
      </c>
      <c r="T63" t="s">
        <v>38</v>
      </c>
      <c r="U63" t="s">
        <v>39</v>
      </c>
      <c r="V63" t="s">
        <v>52</v>
      </c>
      <c r="W63" t="s">
        <v>39</v>
      </c>
      <c r="X63">
        <v>2023</v>
      </c>
      <c r="Y63" t="s">
        <v>128</v>
      </c>
      <c r="Z63" t="s">
        <v>64</v>
      </c>
    </row>
    <row r="64" spans="1:26">
      <c r="A64" t="s">
        <v>303</v>
      </c>
      <c r="B64" t="s">
        <v>27</v>
      </c>
      <c r="C64" t="s">
        <v>44</v>
      </c>
      <c r="D64" t="s">
        <v>29</v>
      </c>
      <c r="E64" t="s">
        <v>45</v>
      </c>
      <c r="F64" t="s">
        <v>31</v>
      </c>
      <c r="G64" t="s">
        <v>58</v>
      </c>
      <c r="H64">
        <v>8.1</v>
      </c>
      <c r="I64">
        <v>26.1</v>
      </c>
      <c r="J64" t="s">
        <v>144</v>
      </c>
      <c r="K64" t="s">
        <v>304</v>
      </c>
      <c r="L64" t="s">
        <v>98</v>
      </c>
      <c r="M64" t="s">
        <v>305</v>
      </c>
      <c r="N64" t="s">
        <v>50</v>
      </c>
      <c r="O64">
        <v>100</v>
      </c>
      <c r="Q64">
        <v>0</v>
      </c>
      <c r="R64">
        <v>500</v>
      </c>
      <c r="T64" t="s">
        <v>38</v>
      </c>
      <c r="U64" t="s">
        <v>52</v>
      </c>
      <c r="V64" t="s">
        <v>52</v>
      </c>
      <c r="W64" t="s">
        <v>52</v>
      </c>
      <c r="X64">
        <v>2022</v>
      </c>
      <c r="Y64" t="s">
        <v>91</v>
      </c>
      <c r="Z64" t="s">
        <v>64</v>
      </c>
    </row>
    <row r="65" spans="1:26">
      <c r="A65" t="s">
        <v>306</v>
      </c>
      <c r="B65" t="s">
        <v>116</v>
      </c>
      <c r="C65" t="s">
        <v>67</v>
      </c>
      <c r="D65" t="s">
        <v>29</v>
      </c>
      <c r="E65" t="s">
        <v>30</v>
      </c>
      <c r="F65" t="s">
        <v>109</v>
      </c>
      <c r="G65" t="s">
        <v>32</v>
      </c>
      <c r="H65">
        <v>11.4</v>
      </c>
      <c r="I65">
        <v>30</v>
      </c>
      <c r="J65" t="s">
        <v>33</v>
      </c>
      <c r="K65" t="s">
        <v>307</v>
      </c>
      <c r="L65" t="s">
        <v>126</v>
      </c>
      <c r="M65" t="s">
        <v>308</v>
      </c>
      <c r="N65" t="s">
        <v>50</v>
      </c>
      <c r="O65">
        <v>56</v>
      </c>
      <c r="Q65">
        <v>0</v>
      </c>
      <c r="R65">
        <v>1000</v>
      </c>
      <c r="T65" t="s">
        <v>51</v>
      </c>
      <c r="U65" t="s">
        <v>39</v>
      </c>
      <c r="V65" t="s">
        <v>39</v>
      </c>
      <c r="W65" t="s">
        <v>52</v>
      </c>
      <c r="X65">
        <v>2024</v>
      </c>
      <c r="Y65" t="s">
        <v>106</v>
      </c>
      <c r="Z65" t="s">
        <v>83</v>
      </c>
    </row>
    <row r="66" spans="1:26">
      <c r="A66" t="s">
        <v>309</v>
      </c>
      <c r="B66" t="s">
        <v>27</v>
      </c>
      <c r="C66" t="s">
        <v>102</v>
      </c>
      <c r="D66" t="s">
        <v>29</v>
      </c>
      <c r="E66" t="s">
        <v>94</v>
      </c>
      <c r="F66" t="s">
        <v>95</v>
      </c>
      <c r="G66" t="s">
        <v>58</v>
      </c>
      <c r="H66">
        <v>4.0999999999999996</v>
      </c>
      <c r="I66">
        <v>34.6</v>
      </c>
      <c r="J66" t="s">
        <v>20</v>
      </c>
      <c r="K66" t="s">
        <v>310</v>
      </c>
      <c r="L66" t="s">
        <v>48</v>
      </c>
      <c r="M66" t="s">
        <v>311</v>
      </c>
      <c r="N66" t="s">
        <v>71</v>
      </c>
      <c r="O66">
        <v>165</v>
      </c>
      <c r="P66" t="s">
        <v>89</v>
      </c>
      <c r="Q66">
        <v>1707</v>
      </c>
      <c r="R66">
        <v>5000</v>
      </c>
      <c r="S66" t="s">
        <v>152</v>
      </c>
      <c r="T66" t="s">
        <v>81</v>
      </c>
      <c r="U66" t="s">
        <v>39</v>
      </c>
      <c r="V66" t="s">
        <v>52</v>
      </c>
      <c r="W66" t="s">
        <v>52</v>
      </c>
      <c r="X66">
        <v>2023</v>
      </c>
      <c r="Y66" t="s">
        <v>312</v>
      </c>
      <c r="Z66" t="s">
        <v>83</v>
      </c>
    </row>
    <row r="67" spans="1:26">
      <c r="A67" t="s">
        <v>313</v>
      </c>
      <c r="B67" t="s">
        <v>27</v>
      </c>
      <c r="C67" t="s">
        <v>67</v>
      </c>
      <c r="D67" t="s">
        <v>77</v>
      </c>
      <c r="E67" t="s">
        <v>168</v>
      </c>
      <c r="F67" t="s">
        <v>238</v>
      </c>
      <c r="G67" t="s">
        <v>58</v>
      </c>
      <c r="H67">
        <v>4.4000000000000004</v>
      </c>
      <c r="I67">
        <v>27.7</v>
      </c>
      <c r="J67" t="s">
        <v>33</v>
      </c>
      <c r="K67" t="s">
        <v>314</v>
      </c>
      <c r="L67" t="s">
        <v>35</v>
      </c>
      <c r="M67" t="s">
        <v>315</v>
      </c>
      <c r="N67" t="s">
        <v>71</v>
      </c>
      <c r="O67">
        <v>29</v>
      </c>
      <c r="P67" t="s">
        <v>89</v>
      </c>
      <c r="Q67">
        <v>4079</v>
      </c>
      <c r="R67">
        <v>0</v>
      </c>
      <c r="S67" t="s">
        <v>90</v>
      </c>
      <c r="T67" t="s">
        <v>62</v>
      </c>
      <c r="U67" t="s">
        <v>39</v>
      </c>
      <c r="V67" t="s">
        <v>52</v>
      </c>
      <c r="W67" t="s">
        <v>39</v>
      </c>
      <c r="X67">
        <v>2022</v>
      </c>
      <c r="Y67" t="s">
        <v>63</v>
      </c>
      <c r="Z67" t="s">
        <v>64</v>
      </c>
    </row>
    <row r="68" spans="1:26">
      <c r="A68" t="s">
        <v>316</v>
      </c>
      <c r="B68" t="s">
        <v>66</v>
      </c>
      <c r="C68" t="s">
        <v>173</v>
      </c>
      <c r="D68" t="s">
        <v>77</v>
      </c>
      <c r="E68" t="s">
        <v>78</v>
      </c>
      <c r="F68" t="s">
        <v>149</v>
      </c>
      <c r="G68" t="s">
        <v>58</v>
      </c>
      <c r="H68">
        <v>2.7</v>
      </c>
      <c r="I68">
        <v>21.7</v>
      </c>
      <c r="J68" t="s">
        <v>33</v>
      </c>
      <c r="K68" t="s">
        <v>317</v>
      </c>
      <c r="L68" t="s">
        <v>126</v>
      </c>
      <c r="M68" t="s">
        <v>318</v>
      </c>
      <c r="N68" t="s">
        <v>71</v>
      </c>
      <c r="O68">
        <v>132</v>
      </c>
      <c r="P68" t="s">
        <v>112</v>
      </c>
      <c r="Q68">
        <v>6702</v>
      </c>
      <c r="R68">
        <v>1000</v>
      </c>
      <c r="S68" t="s">
        <v>90</v>
      </c>
      <c r="T68" t="s">
        <v>38</v>
      </c>
      <c r="U68" t="s">
        <v>52</v>
      </c>
      <c r="V68" t="s">
        <v>52</v>
      </c>
      <c r="W68" t="s">
        <v>52</v>
      </c>
      <c r="X68">
        <v>2024</v>
      </c>
      <c r="Y68" t="s">
        <v>106</v>
      </c>
      <c r="Z68" t="s">
        <v>83</v>
      </c>
    </row>
    <row r="69" spans="1:26">
      <c r="A69" t="s">
        <v>319</v>
      </c>
      <c r="B69" t="s">
        <v>27</v>
      </c>
      <c r="C69" t="s">
        <v>67</v>
      </c>
      <c r="D69" t="s">
        <v>29</v>
      </c>
      <c r="E69" t="s">
        <v>30</v>
      </c>
      <c r="F69" t="s">
        <v>57</v>
      </c>
      <c r="G69" t="s">
        <v>32</v>
      </c>
      <c r="H69">
        <v>3.4</v>
      </c>
      <c r="I69">
        <v>22.3</v>
      </c>
      <c r="J69" t="s">
        <v>144</v>
      </c>
      <c r="K69" t="s">
        <v>320</v>
      </c>
      <c r="L69" t="s">
        <v>140</v>
      </c>
      <c r="M69" t="s">
        <v>321</v>
      </c>
      <c r="N69" t="s">
        <v>71</v>
      </c>
      <c r="O69">
        <v>156</v>
      </c>
      <c r="P69" t="s">
        <v>105</v>
      </c>
      <c r="Q69">
        <v>1769</v>
      </c>
      <c r="R69">
        <v>0</v>
      </c>
      <c r="S69" t="s">
        <v>90</v>
      </c>
      <c r="T69" t="s">
        <v>38</v>
      </c>
      <c r="U69" t="s">
        <v>39</v>
      </c>
      <c r="V69" t="s">
        <v>52</v>
      </c>
      <c r="W69" t="s">
        <v>52</v>
      </c>
      <c r="X69">
        <v>2023</v>
      </c>
      <c r="Y69" t="s">
        <v>91</v>
      </c>
      <c r="Z69" t="s">
        <v>64</v>
      </c>
    </row>
    <row r="70" spans="1:26">
      <c r="A70" t="s">
        <v>322</v>
      </c>
      <c r="B70" t="s">
        <v>66</v>
      </c>
      <c r="C70" t="s">
        <v>28</v>
      </c>
      <c r="D70" t="s">
        <v>85</v>
      </c>
      <c r="E70" t="s">
        <v>86</v>
      </c>
      <c r="F70" t="s">
        <v>46</v>
      </c>
      <c r="G70" t="s">
        <v>32</v>
      </c>
      <c r="H70">
        <v>9.9</v>
      </c>
      <c r="I70">
        <v>14.3</v>
      </c>
      <c r="J70" t="s">
        <v>33</v>
      </c>
      <c r="K70" t="s">
        <v>323</v>
      </c>
      <c r="L70" t="s">
        <v>98</v>
      </c>
      <c r="M70" t="s">
        <v>324</v>
      </c>
      <c r="N70" t="s">
        <v>171</v>
      </c>
      <c r="O70">
        <v>106</v>
      </c>
      <c r="Q70">
        <v>0</v>
      </c>
      <c r="R70">
        <v>0</v>
      </c>
      <c r="T70" t="s">
        <v>51</v>
      </c>
      <c r="U70" t="s">
        <v>39</v>
      </c>
      <c r="V70" t="s">
        <v>39</v>
      </c>
      <c r="W70" t="s">
        <v>52</v>
      </c>
      <c r="X70">
        <v>2023</v>
      </c>
      <c r="Y70" t="s">
        <v>74</v>
      </c>
      <c r="Z70" t="s">
        <v>54</v>
      </c>
    </row>
    <row r="71" spans="1:26">
      <c r="A71" t="s">
        <v>325</v>
      </c>
      <c r="B71" t="s">
        <v>43</v>
      </c>
      <c r="C71" t="s">
        <v>76</v>
      </c>
      <c r="D71" t="s">
        <v>29</v>
      </c>
      <c r="E71" t="s">
        <v>30</v>
      </c>
      <c r="F71" t="s">
        <v>31</v>
      </c>
      <c r="G71" t="s">
        <v>32</v>
      </c>
      <c r="H71">
        <v>1.2</v>
      </c>
      <c r="I71">
        <v>26</v>
      </c>
      <c r="J71" t="s">
        <v>156</v>
      </c>
      <c r="K71" t="s">
        <v>326</v>
      </c>
      <c r="L71" t="s">
        <v>35</v>
      </c>
      <c r="M71" t="s">
        <v>327</v>
      </c>
      <c r="N71" t="s">
        <v>100</v>
      </c>
      <c r="O71">
        <v>24</v>
      </c>
      <c r="Q71">
        <v>0</v>
      </c>
      <c r="R71">
        <v>0</v>
      </c>
      <c r="T71" t="s">
        <v>136</v>
      </c>
      <c r="U71" t="s">
        <v>39</v>
      </c>
      <c r="V71" t="s">
        <v>52</v>
      </c>
      <c r="W71" t="s">
        <v>52</v>
      </c>
      <c r="X71">
        <v>2022</v>
      </c>
      <c r="Y71" t="s">
        <v>153</v>
      </c>
      <c r="Z71" t="s">
        <v>54</v>
      </c>
    </row>
    <row r="72" spans="1:26">
      <c r="A72" t="s">
        <v>328</v>
      </c>
      <c r="B72" t="s">
        <v>43</v>
      </c>
      <c r="C72" t="s">
        <v>28</v>
      </c>
      <c r="D72" t="s">
        <v>77</v>
      </c>
      <c r="E72" t="s">
        <v>168</v>
      </c>
      <c r="F72" t="s">
        <v>46</v>
      </c>
      <c r="G72" t="s">
        <v>32</v>
      </c>
      <c r="H72">
        <v>2.6</v>
      </c>
      <c r="I72">
        <v>23.2</v>
      </c>
      <c r="J72" t="s">
        <v>33</v>
      </c>
      <c r="K72" t="s">
        <v>329</v>
      </c>
      <c r="L72" t="s">
        <v>60</v>
      </c>
      <c r="M72" t="s">
        <v>330</v>
      </c>
      <c r="N72" t="s">
        <v>71</v>
      </c>
      <c r="O72">
        <v>91</v>
      </c>
      <c r="P72" t="s">
        <v>105</v>
      </c>
      <c r="Q72">
        <v>7734</v>
      </c>
      <c r="R72">
        <v>1000</v>
      </c>
      <c r="S72" t="s">
        <v>113</v>
      </c>
      <c r="T72" t="s">
        <v>136</v>
      </c>
      <c r="U72" t="s">
        <v>39</v>
      </c>
      <c r="V72" t="s">
        <v>52</v>
      </c>
      <c r="W72" t="s">
        <v>52</v>
      </c>
      <c r="X72">
        <v>2023</v>
      </c>
      <c r="Y72" t="s">
        <v>91</v>
      </c>
      <c r="Z72" t="s">
        <v>64</v>
      </c>
    </row>
    <row r="73" spans="1:26">
      <c r="A73" t="s">
        <v>331</v>
      </c>
      <c r="B73" t="s">
        <v>43</v>
      </c>
      <c r="C73" t="s">
        <v>164</v>
      </c>
      <c r="D73" t="s">
        <v>77</v>
      </c>
      <c r="E73" t="s">
        <v>216</v>
      </c>
      <c r="F73" t="s">
        <v>31</v>
      </c>
      <c r="G73" t="s">
        <v>32</v>
      </c>
      <c r="H73">
        <v>11.1</v>
      </c>
      <c r="I73">
        <v>12.6</v>
      </c>
      <c r="J73" t="s">
        <v>33</v>
      </c>
      <c r="K73" t="s">
        <v>270</v>
      </c>
      <c r="L73" t="s">
        <v>48</v>
      </c>
      <c r="M73" t="s">
        <v>239</v>
      </c>
      <c r="N73" t="s">
        <v>61</v>
      </c>
      <c r="O73">
        <v>180</v>
      </c>
      <c r="Q73">
        <v>0</v>
      </c>
      <c r="R73">
        <v>0</v>
      </c>
      <c r="T73" t="s">
        <v>38</v>
      </c>
      <c r="U73" t="s">
        <v>39</v>
      </c>
      <c r="V73" t="s">
        <v>52</v>
      </c>
      <c r="W73" t="s">
        <v>52</v>
      </c>
      <c r="X73">
        <v>2023</v>
      </c>
      <c r="Y73" t="s">
        <v>40</v>
      </c>
      <c r="Z73" t="s">
        <v>41</v>
      </c>
    </row>
    <row r="74" spans="1:26">
      <c r="A74" t="s">
        <v>332</v>
      </c>
      <c r="B74" t="s">
        <v>27</v>
      </c>
      <c r="C74" t="s">
        <v>28</v>
      </c>
      <c r="D74" t="s">
        <v>85</v>
      </c>
      <c r="E74" t="s">
        <v>86</v>
      </c>
      <c r="F74" t="s">
        <v>238</v>
      </c>
      <c r="G74" t="s">
        <v>58</v>
      </c>
      <c r="H74">
        <v>8.6999999999999993</v>
      </c>
      <c r="I74">
        <v>27.3</v>
      </c>
      <c r="J74" t="s">
        <v>33</v>
      </c>
      <c r="K74" t="s">
        <v>333</v>
      </c>
      <c r="L74" t="s">
        <v>140</v>
      </c>
      <c r="M74" t="s">
        <v>293</v>
      </c>
      <c r="N74" t="s">
        <v>71</v>
      </c>
      <c r="O74">
        <v>88</v>
      </c>
      <c r="P74" t="s">
        <v>230</v>
      </c>
      <c r="Q74">
        <v>2015</v>
      </c>
      <c r="R74">
        <v>0</v>
      </c>
      <c r="S74" t="s">
        <v>73</v>
      </c>
      <c r="T74" t="s">
        <v>51</v>
      </c>
      <c r="U74" t="s">
        <v>52</v>
      </c>
      <c r="V74" t="s">
        <v>52</v>
      </c>
      <c r="W74" t="s">
        <v>52</v>
      </c>
      <c r="X74">
        <v>2024</v>
      </c>
      <c r="Y74" t="s">
        <v>40</v>
      </c>
      <c r="Z74" t="s">
        <v>41</v>
      </c>
    </row>
    <row r="75" spans="1:26">
      <c r="A75" t="s">
        <v>334</v>
      </c>
      <c r="B75" t="s">
        <v>66</v>
      </c>
      <c r="C75" t="s">
        <v>121</v>
      </c>
      <c r="D75" t="s">
        <v>77</v>
      </c>
      <c r="E75" t="s">
        <v>78</v>
      </c>
      <c r="F75" t="s">
        <v>109</v>
      </c>
      <c r="G75" t="s">
        <v>32</v>
      </c>
      <c r="H75">
        <v>4.2</v>
      </c>
      <c r="I75">
        <v>4.3</v>
      </c>
      <c r="J75" t="s">
        <v>33</v>
      </c>
      <c r="K75" t="s">
        <v>335</v>
      </c>
      <c r="L75" t="s">
        <v>48</v>
      </c>
      <c r="M75" t="s">
        <v>336</v>
      </c>
      <c r="N75" t="s">
        <v>37</v>
      </c>
      <c r="O75">
        <v>70</v>
      </c>
      <c r="Q75">
        <v>0</v>
      </c>
      <c r="R75">
        <v>0</v>
      </c>
      <c r="T75" t="s">
        <v>136</v>
      </c>
      <c r="U75" t="s">
        <v>39</v>
      </c>
      <c r="V75" t="s">
        <v>39</v>
      </c>
      <c r="W75" t="s">
        <v>52</v>
      </c>
      <c r="X75">
        <v>2024</v>
      </c>
      <c r="Y75" t="s">
        <v>74</v>
      </c>
      <c r="Z75" t="s">
        <v>54</v>
      </c>
    </row>
    <row r="76" spans="1:26">
      <c r="A76" t="s">
        <v>337</v>
      </c>
      <c r="B76" t="s">
        <v>66</v>
      </c>
      <c r="C76" t="s">
        <v>44</v>
      </c>
      <c r="D76" t="s">
        <v>29</v>
      </c>
      <c r="E76" t="s">
        <v>45</v>
      </c>
      <c r="F76" t="s">
        <v>68</v>
      </c>
      <c r="G76" t="s">
        <v>58</v>
      </c>
      <c r="H76">
        <v>4</v>
      </c>
      <c r="I76">
        <v>0.8</v>
      </c>
      <c r="J76" t="s">
        <v>144</v>
      </c>
      <c r="K76" t="s">
        <v>338</v>
      </c>
      <c r="L76" t="s">
        <v>140</v>
      </c>
      <c r="M76" t="s">
        <v>339</v>
      </c>
      <c r="N76" t="s">
        <v>61</v>
      </c>
      <c r="O76">
        <v>66</v>
      </c>
      <c r="Q76">
        <v>0</v>
      </c>
      <c r="R76">
        <v>0</v>
      </c>
      <c r="T76" t="s">
        <v>81</v>
      </c>
      <c r="U76" t="s">
        <v>39</v>
      </c>
      <c r="V76" t="s">
        <v>39</v>
      </c>
      <c r="W76" t="s">
        <v>52</v>
      </c>
      <c r="X76">
        <v>2022</v>
      </c>
      <c r="Y76" t="s">
        <v>91</v>
      </c>
      <c r="Z76" t="s">
        <v>64</v>
      </c>
    </row>
    <row r="77" spans="1:26">
      <c r="A77" t="s">
        <v>340</v>
      </c>
      <c r="B77" t="s">
        <v>66</v>
      </c>
      <c r="C77" t="s">
        <v>44</v>
      </c>
      <c r="D77" t="s">
        <v>77</v>
      </c>
      <c r="E77" t="s">
        <v>94</v>
      </c>
      <c r="F77" t="s">
        <v>160</v>
      </c>
      <c r="G77" t="s">
        <v>58</v>
      </c>
      <c r="H77">
        <v>5.2</v>
      </c>
      <c r="I77">
        <v>14.5</v>
      </c>
      <c r="J77" t="s">
        <v>144</v>
      </c>
      <c r="K77" t="s">
        <v>341</v>
      </c>
      <c r="L77" t="s">
        <v>35</v>
      </c>
      <c r="M77" t="s">
        <v>342</v>
      </c>
      <c r="N77" t="s">
        <v>71</v>
      </c>
      <c r="O77">
        <v>118</v>
      </c>
      <c r="P77" t="s">
        <v>72</v>
      </c>
      <c r="Q77">
        <v>5564</v>
      </c>
      <c r="R77">
        <v>1000</v>
      </c>
      <c r="S77" t="s">
        <v>113</v>
      </c>
      <c r="T77" t="s">
        <v>62</v>
      </c>
      <c r="U77" t="s">
        <v>52</v>
      </c>
      <c r="V77" t="s">
        <v>52</v>
      </c>
      <c r="W77" t="s">
        <v>52</v>
      </c>
      <c r="X77">
        <v>2022</v>
      </c>
      <c r="Y77" t="s">
        <v>82</v>
      </c>
      <c r="Z77" t="s">
        <v>83</v>
      </c>
    </row>
    <row r="78" spans="1:26">
      <c r="A78" t="s">
        <v>343</v>
      </c>
      <c r="B78" t="s">
        <v>108</v>
      </c>
      <c r="C78" t="s">
        <v>173</v>
      </c>
      <c r="D78" t="s">
        <v>29</v>
      </c>
      <c r="E78" t="s">
        <v>117</v>
      </c>
      <c r="F78" t="s">
        <v>46</v>
      </c>
      <c r="G78" t="s">
        <v>58</v>
      </c>
      <c r="H78">
        <v>7.1</v>
      </c>
      <c r="I78">
        <v>18.600000000000001</v>
      </c>
      <c r="J78" t="s">
        <v>33</v>
      </c>
      <c r="K78" t="s">
        <v>344</v>
      </c>
      <c r="L78" t="s">
        <v>48</v>
      </c>
      <c r="M78" t="s">
        <v>345</v>
      </c>
      <c r="N78" t="s">
        <v>100</v>
      </c>
      <c r="O78">
        <v>63</v>
      </c>
      <c r="Q78">
        <v>0</v>
      </c>
      <c r="R78">
        <v>0</v>
      </c>
      <c r="T78" t="s">
        <v>38</v>
      </c>
      <c r="U78" t="s">
        <v>39</v>
      </c>
      <c r="V78" t="s">
        <v>52</v>
      </c>
      <c r="W78" t="s">
        <v>52</v>
      </c>
      <c r="X78">
        <v>2022</v>
      </c>
      <c r="Y78" t="s">
        <v>211</v>
      </c>
      <c r="Z78" t="s">
        <v>41</v>
      </c>
    </row>
    <row r="79" spans="1:26">
      <c r="A79" t="s">
        <v>346</v>
      </c>
      <c r="B79" t="s">
        <v>66</v>
      </c>
      <c r="C79" t="s">
        <v>28</v>
      </c>
      <c r="D79" t="s">
        <v>122</v>
      </c>
      <c r="E79" t="s">
        <v>155</v>
      </c>
      <c r="F79" t="s">
        <v>68</v>
      </c>
      <c r="G79" t="s">
        <v>32</v>
      </c>
      <c r="H79">
        <v>2.4</v>
      </c>
      <c r="I79">
        <v>21.3</v>
      </c>
      <c r="J79" t="s">
        <v>144</v>
      </c>
      <c r="K79" t="s">
        <v>347</v>
      </c>
      <c r="L79" t="s">
        <v>140</v>
      </c>
      <c r="M79" t="s">
        <v>348</v>
      </c>
      <c r="N79" t="s">
        <v>71</v>
      </c>
      <c r="O79">
        <v>61</v>
      </c>
      <c r="P79" t="s">
        <v>105</v>
      </c>
      <c r="Q79">
        <v>1099</v>
      </c>
      <c r="R79">
        <v>0</v>
      </c>
      <c r="S79" t="s">
        <v>90</v>
      </c>
      <c r="T79" t="s">
        <v>62</v>
      </c>
      <c r="U79" t="s">
        <v>39</v>
      </c>
      <c r="V79" t="s">
        <v>52</v>
      </c>
      <c r="W79" t="s">
        <v>52</v>
      </c>
      <c r="X79">
        <v>2022</v>
      </c>
      <c r="Y79" t="s">
        <v>91</v>
      </c>
      <c r="Z79" t="s">
        <v>64</v>
      </c>
    </row>
    <row r="80" spans="1:26">
      <c r="A80" t="s">
        <v>349</v>
      </c>
      <c r="B80" t="s">
        <v>93</v>
      </c>
      <c r="C80" t="s">
        <v>28</v>
      </c>
      <c r="D80" t="s">
        <v>77</v>
      </c>
      <c r="E80" t="s">
        <v>78</v>
      </c>
      <c r="F80" t="s">
        <v>160</v>
      </c>
      <c r="G80" t="s">
        <v>32</v>
      </c>
      <c r="H80">
        <v>9.6</v>
      </c>
      <c r="I80">
        <v>20.9</v>
      </c>
      <c r="J80" t="s">
        <v>144</v>
      </c>
      <c r="K80" t="s">
        <v>145</v>
      </c>
      <c r="L80" t="s">
        <v>35</v>
      </c>
      <c r="M80" t="s">
        <v>350</v>
      </c>
      <c r="N80" t="s">
        <v>50</v>
      </c>
      <c r="O80">
        <v>121</v>
      </c>
      <c r="Q80">
        <v>0</v>
      </c>
      <c r="R80">
        <v>500</v>
      </c>
      <c r="T80" t="s">
        <v>38</v>
      </c>
      <c r="U80" t="s">
        <v>39</v>
      </c>
      <c r="V80" t="s">
        <v>52</v>
      </c>
      <c r="W80" t="s">
        <v>39</v>
      </c>
      <c r="X80">
        <v>2022</v>
      </c>
      <c r="Y80" t="s">
        <v>53</v>
      </c>
      <c r="Z80" t="s">
        <v>54</v>
      </c>
    </row>
    <row r="81" spans="1:26">
      <c r="A81" t="s">
        <v>351</v>
      </c>
      <c r="B81" t="s">
        <v>66</v>
      </c>
      <c r="C81" t="s">
        <v>102</v>
      </c>
      <c r="D81" t="s">
        <v>29</v>
      </c>
      <c r="E81" t="s">
        <v>244</v>
      </c>
      <c r="F81" t="s">
        <v>46</v>
      </c>
      <c r="G81" t="s">
        <v>32</v>
      </c>
      <c r="H81">
        <v>5.5</v>
      </c>
      <c r="I81">
        <v>28.4</v>
      </c>
      <c r="J81" t="s">
        <v>20</v>
      </c>
      <c r="K81" t="s">
        <v>352</v>
      </c>
      <c r="L81" t="s">
        <v>48</v>
      </c>
      <c r="M81" t="s">
        <v>127</v>
      </c>
      <c r="N81" t="s">
        <v>50</v>
      </c>
      <c r="O81">
        <v>99</v>
      </c>
      <c r="Q81">
        <v>0</v>
      </c>
      <c r="R81">
        <v>0</v>
      </c>
      <c r="T81" t="s">
        <v>38</v>
      </c>
      <c r="U81" t="s">
        <v>52</v>
      </c>
      <c r="V81" t="s">
        <v>39</v>
      </c>
      <c r="W81" t="s">
        <v>52</v>
      </c>
      <c r="X81">
        <v>2024</v>
      </c>
      <c r="Y81" t="s">
        <v>128</v>
      </c>
      <c r="Z81" t="s">
        <v>64</v>
      </c>
    </row>
    <row r="82" spans="1:26">
      <c r="A82" t="s">
        <v>353</v>
      </c>
      <c r="B82" t="s">
        <v>27</v>
      </c>
      <c r="C82" t="s">
        <v>164</v>
      </c>
      <c r="D82" t="s">
        <v>29</v>
      </c>
      <c r="E82" t="s">
        <v>244</v>
      </c>
      <c r="F82" t="s">
        <v>46</v>
      </c>
      <c r="G82" t="s">
        <v>32</v>
      </c>
      <c r="H82">
        <v>11.9</v>
      </c>
      <c r="I82">
        <v>18.600000000000001</v>
      </c>
      <c r="J82" t="s">
        <v>33</v>
      </c>
      <c r="K82" t="s">
        <v>354</v>
      </c>
      <c r="L82" t="s">
        <v>126</v>
      </c>
      <c r="M82" t="s">
        <v>355</v>
      </c>
      <c r="N82" t="s">
        <v>37</v>
      </c>
      <c r="O82">
        <v>11</v>
      </c>
      <c r="Q82">
        <v>0</v>
      </c>
      <c r="R82">
        <v>1000</v>
      </c>
      <c r="T82" t="s">
        <v>136</v>
      </c>
      <c r="U82" t="s">
        <v>39</v>
      </c>
      <c r="V82" t="s">
        <v>52</v>
      </c>
      <c r="W82" t="s">
        <v>39</v>
      </c>
      <c r="X82">
        <v>2022</v>
      </c>
      <c r="Y82" t="s">
        <v>63</v>
      </c>
      <c r="Z82" t="s">
        <v>64</v>
      </c>
    </row>
    <row r="83" spans="1:26">
      <c r="A83" t="s">
        <v>356</v>
      </c>
      <c r="B83" t="s">
        <v>66</v>
      </c>
      <c r="C83" t="s">
        <v>164</v>
      </c>
      <c r="D83" t="s">
        <v>122</v>
      </c>
      <c r="E83" t="s">
        <v>123</v>
      </c>
      <c r="F83" t="s">
        <v>46</v>
      </c>
      <c r="G83" t="s">
        <v>58</v>
      </c>
      <c r="H83">
        <v>3.5</v>
      </c>
      <c r="I83">
        <v>25.5</v>
      </c>
      <c r="J83" t="s">
        <v>20</v>
      </c>
      <c r="K83" t="s">
        <v>357</v>
      </c>
      <c r="L83" t="s">
        <v>98</v>
      </c>
      <c r="M83" t="s">
        <v>358</v>
      </c>
      <c r="N83" t="s">
        <v>100</v>
      </c>
      <c r="O83">
        <v>25</v>
      </c>
      <c r="Q83">
        <v>0</v>
      </c>
      <c r="R83">
        <v>0</v>
      </c>
      <c r="T83" t="s">
        <v>81</v>
      </c>
      <c r="U83" t="s">
        <v>39</v>
      </c>
      <c r="V83" t="s">
        <v>52</v>
      </c>
      <c r="W83" t="s">
        <v>52</v>
      </c>
      <c r="X83">
        <v>2023</v>
      </c>
      <c r="Y83" t="s">
        <v>128</v>
      </c>
      <c r="Z83" t="s">
        <v>64</v>
      </c>
    </row>
    <row r="84" spans="1:26">
      <c r="A84" t="s">
        <v>359</v>
      </c>
      <c r="B84" t="s">
        <v>43</v>
      </c>
      <c r="C84" t="s">
        <v>28</v>
      </c>
      <c r="D84" t="s">
        <v>77</v>
      </c>
      <c r="E84" t="s">
        <v>143</v>
      </c>
      <c r="F84" t="s">
        <v>57</v>
      </c>
      <c r="G84" t="s">
        <v>32</v>
      </c>
      <c r="H84">
        <v>7.8</v>
      </c>
      <c r="I84">
        <v>11.8</v>
      </c>
      <c r="J84" t="s">
        <v>33</v>
      </c>
      <c r="K84" t="s">
        <v>360</v>
      </c>
      <c r="L84" t="s">
        <v>60</v>
      </c>
      <c r="M84" t="s">
        <v>361</v>
      </c>
      <c r="N84" t="s">
        <v>100</v>
      </c>
      <c r="O84">
        <v>144</v>
      </c>
      <c r="Q84">
        <v>0</v>
      </c>
      <c r="R84">
        <v>0</v>
      </c>
      <c r="T84" t="s">
        <v>51</v>
      </c>
      <c r="U84" t="s">
        <v>39</v>
      </c>
      <c r="V84" t="s">
        <v>39</v>
      </c>
      <c r="W84" t="s">
        <v>52</v>
      </c>
      <c r="X84">
        <v>2023</v>
      </c>
      <c r="Y84" t="s">
        <v>114</v>
      </c>
      <c r="Z84" t="s">
        <v>41</v>
      </c>
    </row>
    <row r="85" spans="1:26">
      <c r="A85" t="s">
        <v>362</v>
      </c>
      <c r="B85" t="s">
        <v>27</v>
      </c>
      <c r="C85" t="s">
        <v>76</v>
      </c>
      <c r="D85" t="s">
        <v>77</v>
      </c>
      <c r="E85" t="s">
        <v>363</v>
      </c>
      <c r="F85" t="s">
        <v>46</v>
      </c>
      <c r="G85" t="s">
        <v>58</v>
      </c>
      <c r="H85">
        <v>10.1</v>
      </c>
      <c r="I85">
        <v>4</v>
      </c>
      <c r="J85" t="s">
        <v>20</v>
      </c>
      <c r="K85" t="s">
        <v>364</v>
      </c>
      <c r="L85" t="s">
        <v>126</v>
      </c>
      <c r="M85" t="s">
        <v>365</v>
      </c>
      <c r="N85" t="s">
        <v>71</v>
      </c>
      <c r="O85">
        <v>36</v>
      </c>
      <c r="P85" t="s">
        <v>89</v>
      </c>
      <c r="Q85">
        <v>3632</v>
      </c>
      <c r="R85">
        <v>0</v>
      </c>
      <c r="S85" t="s">
        <v>113</v>
      </c>
      <c r="T85" t="s">
        <v>81</v>
      </c>
      <c r="U85" t="s">
        <v>39</v>
      </c>
      <c r="V85" t="s">
        <v>52</v>
      </c>
      <c r="W85" t="s">
        <v>52</v>
      </c>
      <c r="X85">
        <v>2023</v>
      </c>
      <c r="Y85" t="s">
        <v>74</v>
      </c>
      <c r="Z85" t="s">
        <v>54</v>
      </c>
    </row>
    <row r="86" spans="1:26">
      <c r="A86" t="s">
        <v>366</v>
      </c>
      <c r="B86" t="s">
        <v>108</v>
      </c>
      <c r="C86" t="s">
        <v>102</v>
      </c>
      <c r="D86" t="s">
        <v>77</v>
      </c>
      <c r="E86" t="s">
        <v>94</v>
      </c>
      <c r="F86" t="s">
        <v>109</v>
      </c>
      <c r="G86" t="s">
        <v>58</v>
      </c>
      <c r="H86">
        <v>7.4</v>
      </c>
      <c r="I86">
        <v>26.5</v>
      </c>
      <c r="J86" t="s">
        <v>33</v>
      </c>
      <c r="K86" t="s">
        <v>169</v>
      </c>
      <c r="L86" t="s">
        <v>126</v>
      </c>
      <c r="M86" t="s">
        <v>367</v>
      </c>
      <c r="N86" t="s">
        <v>37</v>
      </c>
      <c r="O86">
        <v>174</v>
      </c>
      <c r="Q86">
        <v>0</v>
      </c>
      <c r="R86">
        <v>1000</v>
      </c>
      <c r="T86" t="s">
        <v>81</v>
      </c>
      <c r="U86" t="s">
        <v>39</v>
      </c>
      <c r="V86" t="s">
        <v>52</v>
      </c>
      <c r="W86" t="s">
        <v>52</v>
      </c>
      <c r="X86">
        <v>2024</v>
      </c>
      <c r="Y86" t="s">
        <v>106</v>
      </c>
      <c r="Z86" t="s">
        <v>83</v>
      </c>
    </row>
    <row r="87" spans="1:26">
      <c r="A87" t="s">
        <v>368</v>
      </c>
      <c r="B87" t="s">
        <v>27</v>
      </c>
      <c r="C87" t="s">
        <v>164</v>
      </c>
      <c r="D87" t="s">
        <v>77</v>
      </c>
      <c r="E87" t="s">
        <v>168</v>
      </c>
      <c r="F87" t="s">
        <v>160</v>
      </c>
      <c r="G87" t="s">
        <v>58</v>
      </c>
      <c r="H87">
        <v>11.6</v>
      </c>
      <c r="I87">
        <v>28.7</v>
      </c>
      <c r="J87" t="s">
        <v>156</v>
      </c>
      <c r="K87" t="s">
        <v>369</v>
      </c>
      <c r="L87" t="s">
        <v>126</v>
      </c>
      <c r="M87" t="s">
        <v>370</v>
      </c>
      <c r="N87" t="s">
        <v>100</v>
      </c>
      <c r="O87">
        <v>129</v>
      </c>
      <c r="Q87">
        <v>0</v>
      </c>
      <c r="R87">
        <v>0</v>
      </c>
      <c r="T87" t="s">
        <v>51</v>
      </c>
      <c r="U87" t="s">
        <v>39</v>
      </c>
      <c r="V87" t="s">
        <v>52</v>
      </c>
      <c r="W87" t="s">
        <v>39</v>
      </c>
      <c r="X87">
        <v>2024</v>
      </c>
      <c r="Y87" t="s">
        <v>82</v>
      </c>
      <c r="Z87" t="s">
        <v>83</v>
      </c>
    </row>
    <row r="88" spans="1:26">
      <c r="A88" t="s">
        <v>371</v>
      </c>
      <c r="B88" t="s">
        <v>43</v>
      </c>
      <c r="C88" t="s">
        <v>121</v>
      </c>
      <c r="D88" t="s">
        <v>29</v>
      </c>
      <c r="E88" t="s">
        <v>30</v>
      </c>
      <c r="F88" t="s">
        <v>46</v>
      </c>
      <c r="G88" t="s">
        <v>58</v>
      </c>
      <c r="H88">
        <v>10</v>
      </c>
      <c r="I88">
        <v>3.7</v>
      </c>
      <c r="J88" t="s">
        <v>144</v>
      </c>
      <c r="K88" t="s">
        <v>372</v>
      </c>
      <c r="L88" t="s">
        <v>35</v>
      </c>
      <c r="M88" t="s">
        <v>373</v>
      </c>
      <c r="N88" t="s">
        <v>50</v>
      </c>
      <c r="O88">
        <v>70</v>
      </c>
      <c r="Q88">
        <v>0</v>
      </c>
      <c r="R88">
        <v>0</v>
      </c>
      <c r="T88" t="s">
        <v>136</v>
      </c>
      <c r="U88" t="s">
        <v>39</v>
      </c>
      <c r="V88" t="s">
        <v>39</v>
      </c>
      <c r="W88" t="s">
        <v>52</v>
      </c>
      <c r="X88">
        <v>2022</v>
      </c>
      <c r="Y88" t="s">
        <v>128</v>
      </c>
      <c r="Z88" t="s">
        <v>64</v>
      </c>
    </row>
    <row r="89" spans="1:26">
      <c r="A89" t="s">
        <v>374</v>
      </c>
      <c r="B89" t="s">
        <v>66</v>
      </c>
      <c r="C89" t="s">
        <v>67</v>
      </c>
      <c r="D89" t="s">
        <v>29</v>
      </c>
      <c r="E89" t="s">
        <v>56</v>
      </c>
      <c r="F89" t="s">
        <v>68</v>
      </c>
      <c r="G89" t="s">
        <v>58</v>
      </c>
      <c r="H89">
        <v>11.2</v>
      </c>
      <c r="I89">
        <v>29.5</v>
      </c>
      <c r="J89" t="s">
        <v>33</v>
      </c>
      <c r="K89" t="s">
        <v>375</v>
      </c>
      <c r="L89" t="s">
        <v>60</v>
      </c>
      <c r="M89" t="s">
        <v>323</v>
      </c>
      <c r="N89" t="s">
        <v>171</v>
      </c>
      <c r="O89">
        <v>8</v>
      </c>
      <c r="Q89">
        <v>0</v>
      </c>
      <c r="R89">
        <v>0</v>
      </c>
      <c r="T89" t="s">
        <v>136</v>
      </c>
      <c r="U89" t="s">
        <v>39</v>
      </c>
      <c r="V89" t="s">
        <v>52</v>
      </c>
      <c r="W89" t="s">
        <v>52</v>
      </c>
      <c r="X89">
        <v>2023</v>
      </c>
      <c r="Y89" t="s">
        <v>74</v>
      </c>
      <c r="Z89" t="s">
        <v>54</v>
      </c>
    </row>
    <row r="90" spans="1:26">
      <c r="A90" t="s">
        <v>376</v>
      </c>
      <c r="B90" t="s">
        <v>66</v>
      </c>
      <c r="C90" t="s">
        <v>44</v>
      </c>
      <c r="D90" t="s">
        <v>77</v>
      </c>
      <c r="E90" t="s">
        <v>220</v>
      </c>
      <c r="F90" t="s">
        <v>95</v>
      </c>
      <c r="G90" t="s">
        <v>32</v>
      </c>
      <c r="H90">
        <v>2.7</v>
      </c>
      <c r="I90">
        <v>5.7</v>
      </c>
      <c r="J90" t="s">
        <v>33</v>
      </c>
      <c r="K90" t="s">
        <v>377</v>
      </c>
      <c r="L90" t="s">
        <v>60</v>
      </c>
      <c r="M90" t="s">
        <v>378</v>
      </c>
      <c r="N90" t="s">
        <v>61</v>
      </c>
      <c r="O90">
        <v>5</v>
      </c>
      <c r="Q90">
        <v>0</v>
      </c>
      <c r="R90">
        <v>0</v>
      </c>
      <c r="T90" t="s">
        <v>38</v>
      </c>
      <c r="U90" t="s">
        <v>39</v>
      </c>
      <c r="V90" t="s">
        <v>39</v>
      </c>
      <c r="W90" t="s">
        <v>52</v>
      </c>
      <c r="X90">
        <v>2022</v>
      </c>
      <c r="Y90" t="s">
        <v>153</v>
      </c>
      <c r="Z90" t="s">
        <v>54</v>
      </c>
    </row>
    <row r="91" spans="1:26">
      <c r="A91" t="s">
        <v>379</v>
      </c>
      <c r="B91" t="s">
        <v>66</v>
      </c>
      <c r="C91" t="s">
        <v>164</v>
      </c>
      <c r="D91" t="s">
        <v>77</v>
      </c>
      <c r="E91" t="s">
        <v>78</v>
      </c>
      <c r="F91" t="s">
        <v>160</v>
      </c>
      <c r="G91" t="s">
        <v>32</v>
      </c>
      <c r="H91">
        <v>7.6</v>
      </c>
      <c r="I91">
        <v>20.3</v>
      </c>
      <c r="J91" t="s">
        <v>33</v>
      </c>
      <c r="K91" t="s">
        <v>380</v>
      </c>
      <c r="L91" t="s">
        <v>140</v>
      </c>
      <c r="M91" t="s">
        <v>381</v>
      </c>
      <c r="N91" t="s">
        <v>50</v>
      </c>
      <c r="O91">
        <v>29</v>
      </c>
      <c r="Q91">
        <v>0</v>
      </c>
      <c r="R91">
        <v>0</v>
      </c>
      <c r="T91" t="s">
        <v>51</v>
      </c>
      <c r="U91" t="s">
        <v>39</v>
      </c>
      <c r="V91" t="s">
        <v>52</v>
      </c>
      <c r="W91" t="s">
        <v>52</v>
      </c>
      <c r="X91">
        <v>2022</v>
      </c>
      <c r="Y91" t="s">
        <v>53</v>
      </c>
      <c r="Z91" t="s">
        <v>54</v>
      </c>
    </row>
    <row r="92" spans="1:26">
      <c r="A92" t="s">
        <v>382</v>
      </c>
      <c r="B92" t="s">
        <v>27</v>
      </c>
      <c r="C92" t="s">
        <v>76</v>
      </c>
      <c r="D92" t="s">
        <v>77</v>
      </c>
      <c r="E92" t="s">
        <v>143</v>
      </c>
      <c r="F92" t="s">
        <v>57</v>
      </c>
      <c r="G92" t="s">
        <v>32</v>
      </c>
      <c r="H92">
        <v>6.1</v>
      </c>
      <c r="I92">
        <v>34.6</v>
      </c>
      <c r="J92" t="s">
        <v>33</v>
      </c>
      <c r="K92" t="s">
        <v>383</v>
      </c>
      <c r="L92" t="s">
        <v>98</v>
      </c>
      <c r="M92" t="s">
        <v>127</v>
      </c>
      <c r="N92" t="s">
        <v>71</v>
      </c>
      <c r="O92">
        <v>93</v>
      </c>
      <c r="P92" t="s">
        <v>112</v>
      </c>
      <c r="Q92">
        <v>7309</v>
      </c>
      <c r="R92">
        <v>1000</v>
      </c>
      <c r="S92" t="s">
        <v>152</v>
      </c>
      <c r="T92" t="s">
        <v>51</v>
      </c>
      <c r="U92" t="s">
        <v>39</v>
      </c>
      <c r="V92" t="s">
        <v>52</v>
      </c>
      <c r="W92" t="s">
        <v>39</v>
      </c>
      <c r="X92">
        <v>2024</v>
      </c>
      <c r="Y92" t="s">
        <v>63</v>
      </c>
      <c r="Z92" t="s">
        <v>64</v>
      </c>
    </row>
    <row r="93" spans="1:26">
      <c r="A93" t="s">
        <v>384</v>
      </c>
      <c r="B93" t="s">
        <v>93</v>
      </c>
      <c r="C93" t="s">
        <v>164</v>
      </c>
      <c r="D93" t="s">
        <v>122</v>
      </c>
      <c r="E93" t="s">
        <v>148</v>
      </c>
      <c r="F93" t="s">
        <v>149</v>
      </c>
      <c r="G93" t="s">
        <v>32</v>
      </c>
      <c r="H93">
        <v>1.7</v>
      </c>
      <c r="I93">
        <v>12.7</v>
      </c>
      <c r="J93" t="s">
        <v>156</v>
      </c>
      <c r="K93" t="s">
        <v>385</v>
      </c>
      <c r="L93" t="s">
        <v>48</v>
      </c>
      <c r="M93" t="s">
        <v>386</v>
      </c>
      <c r="N93" t="s">
        <v>171</v>
      </c>
      <c r="O93">
        <v>149</v>
      </c>
      <c r="Q93">
        <v>0</v>
      </c>
      <c r="R93">
        <v>0</v>
      </c>
      <c r="T93" t="s">
        <v>81</v>
      </c>
      <c r="U93" t="s">
        <v>39</v>
      </c>
      <c r="V93" t="s">
        <v>52</v>
      </c>
      <c r="W93" t="s">
        <v>52</v>
      </c>
      <c r="X93">
        <v>2022</v>
      </c>
      <c r="Y93" t="s">
        <v>211</v>
      </c>
      <c r="Z93" t="s">
        <v>41</v>
      </c>
    </row>
    <row r="94" spans="1:26">
      <c r="A94" t="s">
        <v>387</v>
      </c>
      <c r="B94" t="s">
        <v>108</v>
      </c>
      <c r="C94" t="s">
        <v>121</v>
      </c>
      <c r="D94" t="s">
        <v>77</v>
      </c>
      <c r="E94" t="s">
        <v>168</v>
      </c>
      <c r="F94" t="s">
        <v>160</v>
      </c>
      <c r="G94" t="s">
        <v>58</v>
      </c>
      <c r="H94">
        <v>3.9</v>
      </c>
      <c r="I94">
        <v>11.2</v>
      </c>
      <c r="J94" t="s">
        <v>96</v>
      </c>
      <c r="K94" t="s">
        <v>388</v>
      </c>
      <c r="L94" t="s">
        <v>98</v>
      </c>
      <c r="M94" t="s">
        <v>389</v>
      </c>
      <c r="N94" t="s">
        <v>37</v>
      </c>
      <c r="O94">
        <v>12</v>
      </c>
      <c r="Q94">
        <v>0</v>
      </c>
      <c r="R94">
        <v>0</v>
      </c>
      <c r="T94" t="s">
        <v>81</v>
      </c>
      <c r="U94" t="s">
        <v>39</v>
      </c>
      <c r="V94" t="s">
        <v>52</v>
      </c>
      <c r="W94" t="s">
        <v>39</v>
      </c>
      <c r="X94">
        <v>2023</v>
      </c>
      <c r="Y94" t="s">
        <v>82</v>
      </c>
      <c r="Z94" t="s">
        <v>83</v>
      </c>
    </row>
    <row r="95" spans="1:26">
      <c r="A95" t="s">
        <v>390</v>
      </c>
      <c r="B95" t="s">
        <v>108</v>
      </c>
      <c r="C95" t="s">
        <v>67</v>
      </c>
      <c r="D95" t="s">
        <v>122</v>
      </c>
      <c r="E95" t="s">
        <v>155</v>
      </c>
      <c r="F95" t="s">
        <v>68</v>
      </c>
      <c r="G95" t="s">
        <v>32</v>
      </c>
      <c r="H95">
        <v>10.7</v>
      </c>
      <c r="I95">
        <v>26.1</v>
      </c>
      <c r="J95" t="s">
        <v>156</v>
      </c>
      <c r="K95" t="s">
        <v>391</v>
      </c>
      <c r="L95" t="s">
        <v>126</v>
      </c>
      <c r="M95" t="s">
        <v>392</v>
      </c>
      <c r="N95" t="s">
        <v>100</v>
      </c>
      <c r="O95">
        <v>95</v>
      </c>
      <c r="Q95">
        <v>0</v>
      </c>
      <c r="R95">
        <v>0</v>
      </c>
      <c r="T95" t="s">
        <v>51</v>
      </c>
      <c r="U95" t="s">
        <v>39</v>
      </c>
      <c r="V95" t="s">
        <v>39</v>
      </c>
      <c r="W95" t="s">
        <v>52</v>
      </c>
      <c r="X95">
        <v>2022</v>
      </c>
      <c r="Y95" t="s">
        <v>114</v>
      </c>
      <c r="Z95" t="s">
        <v>41</v>
      </c>
    </row>
    <row r="96" spans="1:26">
      <c r="A96" t="s">
        <v>393</v>
      </c>
      <c r="B96" t="s">
        <v>66</v>
      </c>
      <c r="C96" t="s">
        <v>173</v>
      </c>
      <c r="D96" t="s">
        <v>29</v>
      </c>
      <c r="E96" t="s">
        <v>117</v>
      </c>
      <c r="F96" t="s">
        <v>160</v>
      </c>
      <c r="G96" t="s">
        <v>32</v>
      </c>
      <c r="H96">
        <v>3.9</v>
      </c>
      <c r="I96">
        <v>3.3</v>
      </c>
      <c r="J96" t="s">
        <v>20</v>
      </c>
      <c r="K96" t="s">
        <v>394</v>
      </c>
      <c r="L96" t="s">
        <v>98</v>
      </c>
      <c r="M96" t="s">
        <v>395</v>
      </c>
      <c r="N96" t="s">
        <v>61</v>
      </c>
      <c r="O96">
        <v>140</v>
      </c>
      <c r="Q96">
        <v>0</v>
      </c>
      <c r="R96">
        <v>0</v>
      </c>
      <c r="T96" t="s">
        <v>136</v>
      </c>
      <c r="U96" t="s">
        <v>39</v>
      </c>
      <c r="V96" t="s">
        <v>52</v>
      </c>
      <c r="W96" t="s">
        <v>52</v>
      </c>
      <c r="X96">
        <v>2023</v>
      </c>
      <c r="Y96" t="s">
        <v>106</v>
      </c>
      <c r="Z96" t="s">
        <v>83</v>
      </c>
    </row>
    <row r="97" spans="1:26">
      <c r="A97" t="s">
        <v>396</v>
      </c>
      <c r="B97" t="s">
        <v>116</v>
      </c>
      <c r="C97" t="s">
        <v>28</v>
      </c>
      <c r="D97" t="s">
        <v>122</v>
      </c>
      <c r="E97" t="s">
        <v>130</v>
      </c>
      <c r="F97" t="s">
        <v>57</v>
      </c>
      <c r="G97" t="s">
        <v>32</v>
      </c>
      <c r="H97">
        <v>3.4</v>
      </c>
      <c r="I97">
        <v>34.299999999999997</v>
      </c>
      <c r="J97" t="s">
        <v>20</v>
      </c>
      <c r="K97" t="s">
        <v>397</v>
      </c>
      <c r="L97" t="s">
        <v>98</v>
      </c>
      <c r="M97" t="s">
        <v>398</v>
      </c>
      <c r="N97" t="s">
        <v>100</v>
      </c>
      <c r="O97">
        <v>91</v>
      </c>
      <c r="Q97">
        <v>0</v>
      </c>
      <c r="R97">
        <v>0</v>
      </c>
      <c r="T97" t="s">
        <v>81</v>
      </c>
      <c r="U97" t="s">
        <v>39</v>
      </c>
      <c r="V97" t="s">
        <v>39</v>
      </c>
      <c r="W97" t="s">
        <v>52</v>
      </c>
      <c r="X97">
        <v>2022</v>
      </c>
      <c r="Y97" t="s">
        <v>312</v>
      </c>
      <c r="Z97" t="s">
        <v>83</v>
      </c>
    </row>
    <row r="98" spans="1:26">
      <c r="A98" t="s">
        <v>399</v>
      </c>
      <c r="B98" t="s">
        <v>116</v>
      </c>
      <c r="C98" t="s">
        <v>164</v>
      </c>
      <c r="D98" t="s">
        <v>77</v>
      </c>
      <c r="E98" t="s">
        <v>216</v>
      </c>
      <c r="F98" t="s">
        <v>149</v>
      </c>
      <c r="G98" t="s">
        <v>32</v>
      </c>
      <c r="H98">
        <v>4.4000000000000004</v>
      </c>
      <c r="I98">
        <v>33.299999999999997</v>
      </c>
      <c r="J98" t="s">
        <v>33</v>
      </c>
      <c r="K98" t="s">
        <v>400</v>
      </c>
      <c r="L98" t="s">
        <v>126</v>
      </c>
      <c r="M98" t="s">
        <v>327</v>
      </c>
      <c r="N98" t="s">
        <v>171</v>
      </c>
      <c r="O98">
        <v>61</v>
      </c>
      <c r="Q98">
        <v>0</v>
      </c>
      <c r="R98">
        <v>0</v>
      </c>
      <c r="T98" t="s">
        <v>38</v>
      </c>
      <c r="U98" t="s">
        <v>39</v>
      </c>
      <c r="V98" t="s">
        <v>52</v>
      </c>
      <c r="W98" t="s">
        <v>52</v>
      </c>
      <c r="X98">
        <v>2022</v>
      </c>
      <c r="Y98" t="s">
        <v>53</v>
      </c>
      <c r="Z98" t="s">
        <v>54</v>
      </c>
    </row>
    <row r="99" spans="1:26">
      <c r="A99" t="s">
        <v>401</v>
      </c>
      <c r="B99" t="s">
        <v>27</v>
      </c>
      <c r="C99" t="s">
        <v>28</v>
      </c>
      <c r="D99" t="s">
        <v>85</v>
      </c>
      <c r="E99" t="s">
        <v>402</v>
      </c>
      <c r="F99" t="s">
        <v>160</v>
      </c>
      <c r="G99" t="s">
        <v>32</v>
      </c>
      <c r="H99">
        <v>2.2999999999999998</v>
      </c>
      <c r="I99">
        <v>18.399999999999999</v>
      </c>
      <c r="J99" t="s">
        <v>156</v>
      </c>
      <c r="K99" t="s">
        <v>403</v>
      </c>
      <c r="L99" t="s">
        <v>126</v>
      </c>
      <c r="M99" t="s">
        <v>360</v>
      </c>
      <c r="N99" t="s">
        <v>71</v>
      </c>
      <c r="O99">
        <v>64</v>
      </c>
      <c r="P99" t="s">
        <v>89</v>
      </c>
      <c r="Q99">
        <v>606</v>
      </c>
      <c r="R99">
        <v>2000</v>
      </c>
      <c r="S99" t="s">
        <v>152</v>
      </c>
      <c r="T99" t="s">
        <v>136</v>
      </c>
      <c r="U99" t="s">
        <v>39</v>
      </c>
      <c r="V99" t="s">
        <v>39</v>
      </c>
      <c r="W99" t="s">
        <v>52</v>
      </c>
      <c r="X99">
        <v>2023</v>
      </c>
      <c r="Y99" t="s">
        <v>40</v>
      </c>
      <c r="Z99" t="s">
        <v>41</v>
      </c>
    </row>
    <row r="100" spans="1:26">
      <c r="A100" t="s">
        <v>404</v>
      </c>
      <c r="B100" t="s">
        <v>66</v>
      </c>
      <c r="C100" t="s">
        <v>67</v>
      </c>
      <c r="D100" t="s">
        <v>29</v>
      </c>
      <c r="E100" t="s">
        <v>117</v>
      </c>
      <c r="F100" t="s">
        <v>95</v>
      </c>
      <c r="G100" t="s">
        <v>32</v>
      </c>
      <c r="H100">
        <v>11.6</v>
      </c>
      <c r="I100">
        <v>34.5</v>
      </c>
      <c r="J100" t="s">
        <v>33</v>
      </c>
      <c r="K100" t="s">
        <v>354</v>
      </c>
      <c r="L100" t="s">
        <v>48</v>
      </c>
      <c r="M100" t="s">
        <v>323</v>
      </c>
      <c r="N100" t="s">
        <v>71</v>
      </c>
      <c r="O100">
        <v>114</v>
      </c>
      <c r="P100" t="s">
        <v>89</v>
      </c>
      <c r="Q100">
        <v>4819</v>
      </c>
      <c r="R100">
        <v>2000</v>
      </c>
      <c r="S100" t="s">
        <v>152</v>
      </c>
      <c r="T100" t="s">
        <v>62</v>
      </c>
      <c r="U100" t="s">
        <v>39</v>
      </c>
      <c r="V100" t="s">
        <v>39</v>
      </c>
      <c r="W100" t="s">
        <v>52</v>
      </c>
      <c r="X100">
        <v>2022</v>
      </c>
      <c r="Y100" t="s">
        <v>63</v>
      </c>
      <c r="Z100" t="s">
        <v>64</v>
      </c>
    </row>
    <row r="101" spans="1:26">
      <c r="A101" t="s">
        <v>405</v>
      </c>
      <c r="B101" t="s">
        <v>27</v>
      </c>
      <c r="C101" t="s">
        <v>164</v>
      </c>
      <c r="D101" t="s">
        <v>77</v>
      </c>
      <c r="E101" t="s">
        <v>363</v>
      </c>
      <c r="F101" t="s">
        <v>31</v>
      </c>
      <c r="G101" t="s">
        <v>58</v>
      </c>
      <c r="H101">
        <v>6.7</v>
      </c>
      <c r="I101">
        <v>13.2</v>
      </c>
      <c r="J101" t="s">
        <v>33</v>
      </c>
      <c r="K101" t="s">
        <v>406</v>
      </c>
      <c r="L101" t="s">
        <v>60</v>
      </c>
      <c r="M101" t="s">
        <v>407</v>
      </c>
      <c r="N101" t="s">
        <v>171</v>
      </c>
      <c r="O101">
        <v>7</v>
      </c>
      <c r="Q101">
        <v>0</v>
      </c>
      <c r="R101">
        <v>0</v>
      </c>
      <c r="T101" t="s">
        <v>136</v>
      </c>
      <c r="U101" t="s">
        <v>52</v>
      </c>
      <c r="V101" t="s">
        <v>52</v>
      </c>
      <c r="W101" t="s">
        <v>52</v>
      </c>
      <c r="X101">
        <v>2024</v>
      </c>
      <c r="Y101" t="s">
        <v>91</v>
      </c>
      <c r="Z101" t="s">
        <v>64</v>
      </c>
    </row>
    <row r="102" spans="1:26">
      <c r="A102" t="s">
        <v>408</v>
      </c>
      <c r="B102" t="s">
        <v>66</v>
      </c>
      <c r="C102" t="s">
        <v>67</v>
      </c>
      <c r="D102" t="s">
        <v>85</v>
      </c>
      <c r="E102" t="s">
        <v>138</v>
      </c>
      <c r="F102" t="s">
        <v>68</v>
      </c>
      <c r="G102" t="s">
        <v>58</v>
      </c>
      <c r="H102">
        <v>7.7</v>
      </c>
      <c r="I102">
        <v>16</v>
      </c>
      <c r="J102" t="s">
        <v>96</v>
      </c>
      <c r="K102" t="s">
        <v>409</v>
      </c>
      <c r="L102" t="s">
        <v>48</v>
      </c>
      <c r="M102" t="s">
        <v>410</v>
      </c>
      <c r="N102" t="s">
        <v>171</v>
      </c>
      <c r="O102">
        <v>33</v>
      </c>
      <c r="Q102">
        <v>0</v>
      </c>
      <c r="R102">
        <v>0</v>
      </c>
      <c r="T102" t="s">
        <v>136</v>
      </c>
      <c r="U102" t="s">
        <v>39</v>
      </c>
      <c r="V102" t="s">
        <v>39</v>
      </c>
      <c r="W102" t="s">
        <v>52</v>
      </c>
      <c r="X102">
        <v>2022</v>
      </c>
      <c r="Y102" t="s">
        <v>153</v>
      </c>
      <c r="Z102" t="s">
        <v>54</v>
      </c>
    </row>
    <row r="103" spans="1:26">
      <c r="A103" t="s">
        <v>411</v>
      </c>
      <c r="B103" t="s">
        <v>93</v>
      </c>
      <c r="C103" t="s">
        <v>28</v>
      </c>
      <c r="D103" t="s">
        <v>29</v>
      </c>
      <c r="E103" t="s">
        <v>45</v>
      </c>
      <c r="F103" t="s">
        <v>160</v>
      </c>
      <c r="G103" t="s">
        <v>58</v>
      </c>
      <c r="H103">
        <v>11.4</v>
      </c>
      <c r="I103">
        <v>18.399999999999999</v>
      </c>
      <c r="J103" t="s">
        <v>156</v>
      </c>
      <c r="K103" t="s">
        <v>412</v>
      </c>
      <c r="L103" t="s">
        <v>140</v>
      </c>
      <c r="M103" t="s">
        <v>413</v>
      </c>
      <c r="N103" t="s">
        <v>37</v>
      </c>
      <c r="O103">
        <v>83</v>
      </c>
      <c r="Q103">
        <v>0</v>
      </c>
      <c r="R103">
        <v>500</v>
      </c>
      <c r="T103" t="s">
        <v>51</v>
      </c>
      <c r="U103" t="s">
        <v>39</v>
      </c>
      <c r="V103" t="s">
        <v>52</v>
      </c>
      <c r="W103" t="s">
        <v>52</v>
      </c>
      <c r="X103">
        <v>2022</v>
      </c>
      <c r="Y103" t="s">
        <v>128</v>
      </c>
      <c r="Z103" t="s">
        <v>64</v>
      </c>
    </row>
    <row r="104" spans="1:26">
      <c r="A104" t="s">
        <v>414</v>
      </c>
      <c r="B104" t="s">
        <v>66</v>
      </c>
      <c r="C104" t="s">
        <v>67</v>
      </c>
      <c r="D104" t="s">
        <v>77</v>
      </c>
      <c r="E104" t="s">
        <v>143</v>
      </c>
      <c r="F104" t="s">
        <v>31</v>
      </c>
      <c r="G104" t="s">
        <v>58</v>
      </c>
      <c r="H104">
        <v>1.9</v>
      </c>
      <c r="I104">
        <v>23.2</v>
      </c>
      <c r="J104" t="s">
        <v>96</v>
      </c>
      <c r="K104" t="s">
        <v>415</v>
      </c>
      <c r="L104" t="s">
        <v>35</v>
      </c>
      <c r="M104" t="s">
        <v>127</v>
      </c>
      <c r="N104" t="s">
        <v>71</v>
      </c>
      <c r="O104">
        <v>165</v>
      </c>
      <c r="P104" t="s">
        <v>230</v>
      </c>
      <c r="Q104">
        <v>7848</v>
      </c>
      <c r="R104">
        <v>1000</v>
      </c>
      <c r="S104" t="s">
        <v>73</v>
      </c>
      <c r="T104" t="s">
        <v>62</v>
      </c>
      <c r="U104" t="s">
        <v>39</v>
      </c>
      <c r="V104" t="s">
        <v>52</v>
      </c>
      <c r="W104" t="s">
        <v>52</v>
      </c>
      <c r="X104">
        <v>2024</v>
      </c>
      <c r="Y104" t="s">
        <v>91</v>
      </c>
      <c r="Z104" t="s">
        <v>64</v>
      </c>
    </row>
    <row r="105" spans="1:26">
      <c r="A105" t="s">
        <v>416</v>
      </c>
      <c r="B105" t="s">
        <v>43</v>
      </c>
      <c r="C105" t="s">
        <v>44</v>
      </c>
      <c r="D105" t="s">
        <v>77</v>
      </c>
      <c r="E105" t="s">
        <v>94</v>
      </c>
      <c r="F105" t="s">
        <v>160</v>
      </c>
      <c r="G105" t="s">
        <v>32</v>
      </c>
      <c r="H105">
        <v>7.7</v>
      </c>
      <c r="I105">
        <v>10.9</v>
      </c>
      <c r="J105" t="s">
        <v>33</v>
      </c>
      <c r="K105" t="s">
        <v>417</v>
      </c>
      <c r="L105" t="s">
        <v>98</v>
      </c>
      <c r="M105" t="s">
        <v>418</v>
      </c>
      <c r="N105" t="s">
        <v>61</v>
      </c>
      <c r="O105">
        <v>128</v>
      </c>
      <c r="Q105">
        <v>0</v>
      </c>
      <c r="R105">
        <v>0</v>
      </c>
      <c r="T105" t="s">
        <v>38</v>
      </c>
      <c r="U105" t="s">
        <v>39</v>
      </c>
      <c r="V105" t="s">
        <v>52</v>
      </c>
      <c r="W105" t="s">
        <v>52</v>
      </c>
      <c r="X105">
        <v>2022</v>
      </c>
      <c r="Y105" t="s">
        <v>312</v>
      </c>
      <c r="Z105" t="s">
        <v>83</v>
      </c>
    </row>
    <row r="106" spans="1:26">
      <c r="A106" t="s">
        <v>419</v>
      </c>
      <c r="B106" t="s">
        <v>93</v>
      </c>
      <c r="C106" t="s">
        <v>44</v>
      </c>
      <c r="D106" t="s">
        <v>77</v>
      </c>
      <c r="E106" t="s">
        <v>78</v>
      </c>
      <c r="F106" t="s">
        <v>68</v>
      </c>
      <c r="G106" t="s">
        <v>32</v>
      </c>
      <c r="H106">
        <v>8.6</v>
      </c>
      <c r="I106">
        <v>25.8</v>
      </c>
      <c r="J106" t="s">
        <v>20</v>
      </c>
      <c r="K106" t="s">
        <v>420</v>
      </c>
      <c r="L106" t="s">
        <v>140</v>
      </c>
      <c r="M106" t="s">
        <v>421</v>
      </c>
      <c r="N106" t="s">
        <v>71</v>
      </c>
      <c r="O106">
        <v>88</v>
      </c>
      <c r="P106" t="s">
        <v>230</v>
      </c>
      <c r="Q106">
        <v>5560</v>
      </c>
      <c r="R106">
        <v>5000</v>
      </c>
      <c r="S106" t="s">
        <v>152</v>
      </c>
      <c r="T106" t="s">
        <v>81</v>
      </c>
      <c r="U106" t="s">
        <v>52</v>
      </c>
      <c r="V106" t="s">
        <v>39</v>
      </c>
      <c r="W106" t="s">
        <v>52</v>
      </c>
      <c r="X106">
        <v>2023</v>
      </c>
      <c r="Y106" t="s">
        <v>82</v>
      </c>
      <c r="Z106" t="s">
        <v>83</v>
      </c>
    </row>
    <row r="107" spans="1:26">
      <c r="A107" t="s">
        <v>422</v>
      </c>
      <c r="B107" t="s">
        <v>43</v>
      </c>
      <c r="C107" t="s">
        <v>67</v>
      </c>
      <c r="D107" t="s">
        <v>77</v>
      </c>
      <c r="E107" t="s">
        <v>363</v>
      </c>
      <c r="F107" t="s">
        <v>31</v>
      </c>
      <c r="G107" t="s">
        <v>32</v>
      </c>
      <c r="H107">
        <v>10.4</v>
      </c>
      <c r="I107">
        <v>14.9</v>
      </c>
      <c r="J107" t="s">
        <v>33</v>
      </c>
      <c r="K107" t="s">
        <v>423</v>
      </c>
      <c r="L107" t="s">
        <v>48</v>
      </c>
      <c r="M107" t="s">
        <v>424</v>
      </c>
      <c r="N107" t="s">
        <v>71</v>
      </c>
      <c r="O107">
        <v>25</v>
      </c>
      <c r="P107" t="s">
        <v>112</v>
      </c>
      <c r="Q107">
        <v>5377</v>
      </c>
      <c r="R107">
        <v>500</v>
      </c>
      <c r="S107" t="s">
        <v>90</v>
      </c>
      <c r="T107" t="s">
        <v>136</v>
      </c>
      <c r="U107" t="s">
        <v>39</v>
      </c>
      <c r="V107" t="s">
        <v>52</v>
      </c>
      <c r="W107" t="s">
        <v>39</v>
      </c>
      <c r="X107">
        <v>2022</v>
      </c>
      <c r="Y107" t="s">
        <v>91</v>
      </c>
      <c r="Z107" t="s">
        <v>64</v>
      </c>
    </row>
    <row r="108" spans="1:26">
      <c r="A108" t="s">
        <v>425</v>
      </c>
      <c r="B108" t="s">
        <v>93</v>
      </c>
      <c r="C108" t="s">
        <v>121</v>
      </c>
      <c r="D108" t="s">
        <v>29</v>
      </c>
      <c r="E108" t="s">
        <v>117</v>
      </c>
      <c r="F108" t="s">
        <v>31</v>
      </c>
      <c r="G108" t="s">
        <v>32</v>
      </c>
      <c r="H108">
        <v>7</v>
      </c>
      <c r="I108">
        <v>2.2000000000000002</v>
      </c>
      <c r="J108" t="s">
        <v>33</v>
      </c>
      <c r="K108" t="s">
        <v>426</v>
      </c>
      <c r="L108" t="s">
        <v>140</v>
      </c>
      <c r="M108" t="s">
        <v>127</v>
      </c>
      <c r="N108" t="s">
        <v>37</v>
      </c>
      <c r="O108">
        <v>118</v>
      </c>
      <c r="Q108">
        <v>0</v>
      </c>
      <c r="R108">
        <v>0</v>
      </c>
      <c r="T108" t="s">
        <v>38</v>
      </c>
      <c r="U108" t="s">
        <v>39</v>
      </c>
      <c r="V108" t="s">
        <v>52</v>
      </c>
      <c r="W108" t="s">
        <v>52</v>
      </c>
      <c r="X108">
        <v>2024</v>
      </c>
      <c r="Y108" t="s">
        <v>128</v>
      </c>
      <c r="Z108" t="s">
        <v>64</v>
      </c>
    </row>
    <row r="109" spans="1:26">
      <c r="A109" t="s">
        <v>427</v>
      </c>
      <c r="B109" t="s">
        <v>27</v>
      </c>
      <c r="C109" t="s">
        <v>102</v>
      </c>
      <c r="D109" t="s">
        <v>29</v>
      </c>
      <c r="E109" t="s">
        <v>94</v>
      </c>
      <c r="F109" t="s">
        <v>46</v>
      </c>
      <c r="G109" t="s">
        <v>32</v>
      </c>
      <c r="H109">
        <v>0.6</v>
      </c>
      <c r="I109">
        <v>2.2999999999999998</v>
      </c>
      <c r="J109" t="s">
        <v>33</v>
      </c>
      <c r="K109" t="s">
        <v>298</v>
      </c>
      <c r="L109" t="s">
        <v>126</v>
      </c>
      <c r="M109" t="s">
        <v>428</v>
      </c>
      <c r="N109" t="s">
        <v>171</v>
      </c>
      <c r="O109">
        <v>104</v>
      </c>
      <c r="Q109">
        <v>0</v>
      </c>
      <c r="R109">
        <v>0</v>
      </c>
      <c r="T109" t="s">
        <v>62</v>
      </c>
      <c r="U109" t="s">
        <v>52</v>
      </c>
      <c r="V109" t="s">
        <v>52</v>
      </c>
      <c r="W109" t="s">
        <v>52</v>
      </c>
      <c r="X109">
        <v>2024</v>
      </c>
      <c r="Y109" t="s">
        <v>106</v>
      </c>
      <c r="Z109" t="s">
        <v>83</v>
      </c>
    </row>
    <row r="110" spans="1:26">
      <c r="A110" t="s">
        <v>429</v>
      </c>
      <c r="B110" t="s">
        <v>27</v>
      </c>
      <c r="C110" t="s">
        <v>67</v>
      </c>
      <c r="D110" t="s">
        <v>77</v>
      </c>
      <c r="E110" t="s">
        <v>143</v>
      </c>
      <c r="F110" t="s">
        <v>68</v>
      </c>
      <c r="G110" t="s">
        <v>58</v>
      </c>
      <c r="H110">
        <v>4.5</v>
      </c>
      <c r="I110">
        <v>34.5</v>
      </c>
      <c r="J110" t="s">
        <v>20</v>
      </c>
      <c r="K110" t="s">
        <v>430</v>
      </c>
      <c r="L110" t="s">
        <v>140</v>
      </c>
      <c r="M110" t="s">
        <v>423</v>
      </c>
      <c r="N110" t="s">
        <v>100</v>
      </c>
      <c r="O110">
        <v>25</v>
      </c>
      <c r="Q110">
        <v>0</v>
      </c>
      <c r="R110">
        <v>0</v>
      </c>
      <c r="T110" t="s">
        <v>136</v>
      </c>
      <c r="U110" t="s">
        <v>39</v>
      </c>
      <c r="V110" t="s">
        <v>39</v>
      </c>
      <c r="W110" t="s">
        <v>39</v>
      </c>
      <c r="X110">
        <v>2022</v>
      </c>
      <c r="Y110" t="s">
        <v>114</v>
      </c>
      <c r="Z110" t="s">
        <v>41</v>
      </c>
    </row>
    <row r="111" spans="1:26">
      <c r="A111" t="s">
        <v>431</v>
      </c>
      <c r="B111" t="s">
        <v>93</v>
      </c>
      <c r="C111" t="s">
        <v>67</v>
      </c>
      <c r="D111" t="s">
        <v>77</v>
      </c>
      <c r="E111" t="s">
        <v>260</v>
      </c>
      <c r="F111" t="s">
        <v>68</v>
      </c>
      <c r="G111" t="s">
        <v>32</v>
      </c>
      <c r="H111">
        <v>7.3</v>
      </c>
      <c r="I111">
        <v>18.3</v>
      </c>
      <c r="J111" t="s">
        <v>20</v>
      </c>
      <c r="K111" t="s">
        <v>432</v>
      </c>
      <c r="L111" t="s">
        <v>98</v>
      </c>
      <c r="M111" t="s">
        <v>127</v>
      </c>
      <c r="N111" t="s">
        <v>50</v>
      </c>
      <c r="O111">
        <v>133</v>
      </c>
      <c r="Q111">
        <v>0</v>
      </c>
      <c r="R111">
        <v>0</v>
      </c>
      <c r="T111" t="s">
        <v>51</v>
      </c>
      <c r="U111" t="s">
        <v>39</v>
      </c>
      <c r="V111" t="s">
        <v>52</v>
      </c>
      <c r="W111" t="s">
        <v>52</v>
      </c>
      <c r="X111">
        <v>2024</v>
      </c>
      <c r="Y111" t="s">
        <v>211</v>
      </c>
      <c r="Z111" t="s">
        <v>41</v>
      </c>
    </row>
    <row r="112" spans="1:26">
      <c r="A112" t="s">
        <v>433</v>
      </c>
      <c r="B112" t="s">
        <v>108</v>
      </c>
      <c r="C112" t="s">
        <v>173</v>
      </c>
      <c r="D112" t="s">
        <v>77</v>
      </c>
      <c r="E112" t="s">
        <v>168</v>
      </c>
      <c r="F112" t="s">
        <v>238</v>
      </c>
      <c r="G112" t="s">
        <v>32</v>
      </c>
      <c r="H112">
        <v>4</v>
      </c>
      <c r="I112">
        <v>4.3</v>
      </c>
      <c r="J112" t="s">
        <v>33</v>
      </c>
      <c r="K112" t="s">
        <v>434</v>
      </c>
      <c r="L112" t="s">
        <v>98</v>
      </c>
      <c r="M112" t="s">
        <v>435</v>
      </c>
      <c r="N112" t="s">
        <v>171</v>
      </c>
      <c r="O112">
        <v>5</v>
      </c>
      <c r="Q112">
        <v>0</v>
      </c>
      <c r="R112">
        <v>0</v>
      </c>
      <c r="T112" t="s">
        <v>62</v>
      </c>
      <c r="U112" t="s">
        <v>39</v>
      </c>
      <c r="V112" t="s">
        <v>52</v>
      </c>
      <c r="W112" t="s">
        <v>39</v>
      </c>
      <c r="X112">
        <v>2024</v>
      </c>
      <c r="Y112" t="s">
        <v>211</v>
      </c>
      <c r="Z112" t="s">
        <v>41</v>
      </c>
    </row>
    <row r="113" spans="1:26">
      <c r="A113" t="s">
        <v>436</v>
      </c>
      <c r="B113" t="s">
        <v>116</v>
      </c>
      <c r="C113" t="s">
        <v>28</v>
      </c>
      <c r="D113" t="s">
        <v>77</v>
      </c>
      <c r="E113" t="s">
        <v>78</v>
      </c>
      <c r="F113" t="s">
        <v>124</v>
      </c>
      <c r="G113" t="s">
        <v>58</v>
      </c>
      <c r="H113">
        <v>1.9</v>
      </c>
      <c r="I113">
        <v>24</v>
      </c>
      <c r="J113" t="s">
        <v>144</v>
      </c>
      <c r="K113" t="s">
        <v>392</v>
      </c>
      <c r="L113" t="s">
        <v>60</v>
      </c>
      <c r="M113" t="s">
        <v>437</v>
      </c>
      <c r="N113" t="s">
        <v>100</v>
      </c>
      <c r="O113">
        <v>135</v>
      </c>
      <c r="Q113">
        <v>0</v>
      </c>
      <c r="R113">
        <v>0</v>
      </c>
      <c r="T113" t="s">
        <v>136</v>
      </c>
      <c r="U113" t="s">
        <v>39</v>
      </c>
      <c r="V113" t="s">
        <v>52</v>
      </c>
      <c r="W113" t="s">
        <v>52</v>
      </c>
      <c r="X113">
        <v>2022</v>
      </c>
      <c r="Y113" t="s">
        <v>63</v>
      </c>
      <c r="Z113" t="s">
        <v>64</v>
      </c>
    </row>
    <row r="114" spans="1:26">
      <c r="A114" t="s">
        <v>438</v>
      </c>
      <c r="B114" t="s">
        <v>108</v>
      </c>
      <c r="C114" t="s">
        <v>44</v>
      </c>
      <c r="D114" t="s">
        <v>85</v>
      </c>
      <c r="E114" t="s">
        <v>138</v>
      </c>
      <c r="F114" t="s">
        <v>46</v>
      </c>
      <c r="G114" t="s">
        <v>58</v>
      </c>
      <c r="H114">
        <v>6.8</v>
      </c>
      <c r="I114">
        <v>34.9</v>
      </c>
      <c r="J114" t="s">
        <v>144</v>
      </c>
      <c r="K114" t="s">
        <v>439</v>
      </c>
      <c r="L114" t="s">
        <v>140</v>
      </c>
      <c r="M114" t="s">
        <v>440</v>
      </c>
      <c r="N114" t="s">
        <v>71</v>
      </c>
      <c r="O114">
        <v>16</v>
      </c>
      <c r="P114" t="s">
        <v>72</v>
      </c>
      <c r="Q114">
        <v>2624</v>
      </c>
      <c r="R114">
        <v>0</v>
      </c>
      <c r="S114" t="s">
        <v>152</v>
      </c>
      <c r="T114" t="s">
        <v>51</v>
      </c>
      <c r="U114" t="s">
        <v>52</v>
      </c>
      <c r="V114" t="s">
        <v>39</v>
      </c>
      <c r="W114" t="s">
        <v>52</v>
      </c>
      <c r="X114">
        <v>2024</v>
      </c>
      <c r="Y114" t="s">
        <v>211</v>
      </c>
      <c r="Z114" t="s">
        <v>41</v>
      </c>
    </row>
    <row r="115" spans="1:26">
      <c r="A115" t="s">
        <v>441</v>
      </c>
      <c r="B115" t="s">
        <v>66</v>
      </c>
      <c r="C115" t="s">
        <v>121</v>
      </c>
      <c r="D115" t="s">
        <v>29</v>
      </c>
      <c r="E115" t="s">
        <v>244</v>
      </c>
      <c r="F115" t="s">
        <v>46</v>
      </c>
      <c r="G115" t="s">
        <v>32</v>
      </c>
      <c r="H115">
        <v>9.3000000000000007</v>
      </c>
      <c r="I115">
        <v>24.8</v>
      </c>
      <c r="J115" t="s">
        <v>33</v>
      </c>
      <c r="K115" t="s">
        <v>273</v>
      </c>
      <c r="L115" t="s">
        <v>140</v>
      </c>
      <c r="M115" t="s">
        <v>291</v>
      </c>
      <c r="N115" t="s">
        <v>61</v>
      </c>
      <c r="O115">
        <v>58</v>
      </c>
      <c r="Q115">
        <v>0</v>
      </c>
      <c r="R115">
        <v>0</v>
      </c>
      <c r="T115" t="s">
        <v>51</v>
      </c>
      <c r="U115" t="s">
        <v>39</v>
      </c>
      <c r="V115" t="s">
        <v>39</v>
      </c>
      <c r="W115" t="s">
        <v>52</v>
      </c>
      <c r="X115">
        <v>2023</v>
      </c>
      <c r="Y115" t="s">
        <v>114</v>
      </c>
      <c r="Z115" t="s">
        <v>41</v>
      </c>
    </row>
    <row r="116" spans="1:26">
      <c r="A116" t="s">
        <v>442</v>
      </c>
      <c r="B116" t="s">
        <v>66</v>
      </c>
      <c r="C116" t="s">
        <v>173</v>
      </c>
      <c r="D116" t="s">
        <v>85</v>
      </c>
      <c r="E116" t="s">
        <v>402</v>
      </c>
      <c r="F116" t="s">
        <v>149</v>
      </c>
      <c r="G116" t="s">
        <v>58</v>
      </c>
      <c r="H116">
        <v>1</v>
      </c>
      <c r="I116">
        <v>32.4</v>
      </c>
      <c r="J116" t="s">
        <v>33</v>
      </c>
      <c r="K116" t="s">
        <v>443</v>
      </c>
      <c r="L116" t="s">
        <v>140</v>
      </c>
      <c r="M116" t="s">
        <v>444</v>
      </c>
      <c r="N116" t="s">
        <v>71</v>
      </c>
      <c r="O116">
        <v>75</v>
      </c>
      <c r="P116" t="s">
        <v>72</v>
      </c>
      <c r="Q116">
        <v>1678</v>
      </c>
      <c r="R116">
        <v>2000</v>
      </c>
      <c r="S116" t="s">
        <v>152</v>
      </c>
      <c r="T116" t="s">
        <v>81</v>
      </c>
      <c r="U116" t="s">
        <v>39</v>
      </c>
      <c r="V116" t="s">
        <v>52</v>
      </c>
      <c r="W116" t="s">
        <v>52</v>
      </c>
      <c r="X116">
        <v>2022</v>
      </c>
      <c r="Y116" t="s">
        <v>91</v>
      </c>
      <c r="Z116" t="s">
        <v>64</v>
      </c>
    </row>
    <row r="117" spans="1:26">
      <c r="A117" t="s">
        <v>445</v>
      </c>
      <c r="B117" t="s">
        <v>108</v>
      </c>
      <c r="C117" t="s">
        <v>28</v>
      </c>
      <c r="D117" t="s">
        <v>77</v>
      </c>
      <c r="E117" t="s">
        <v>220</v>
      </c>
      <c r="F117" t="s">
        <v>68</v>
      </c>
      <c r="G117" t="s">
        <v>58</v>
      </c>
      <c r="H117">
        <v>1.3</v>
      </c>
      <c r="I117">
        <v>11.9</v>
      </c>
      <c r="J117" t="s">
        <v>20</v>
      </c>
      <c r="K117" t="s">
        <v>446</v>
      </c>
      <c r="L117" t="s">
        <v>48</v>
      </c>
      <c r="M117" t="s">
        <v>127</v>
      </c>
      <c r="N117" t="s">
        <v>37</v>
      </c>
      <c r="O117">
        <v>58</v>
      </c>
      <c r="Q117">
        <v>0</v>
      </c>
      <c r="R117">
        <v>0</v>
      </c>
      <c r="T117" t="s">
        <v>136</v>
      </c>
      <c r="U117" t="s">
        <v>52</v>
      </c>
      <c r="V117" t="s">
        <v>52</v>
      </c>
      <c r="W117" t="s">
        <v>52</v>
      </c>
      <c r="X117">
        <v>2024</v>
      </c>
      <c r="Y117" t="s">
        <v>63</v>
      </c>
      <c r="Z117" t="s">
        <v>64</v>
      </c>
    </row>
    <row r="118" spans="1:26">
      <c r="A118" t="s">
        <v>447</v>
      </c>
      <c r="B118" t="s">
        <v>66</v>
      </c>
      <c r="C118" t="s">
        <v>76</v>
      </c>
      <c r="D118" t="s">
        <v>29</v>
      </c>
      <c r="E118" t="s">
        <v>56</v>
      </c>
      <c r="F118" t="s">
        <v>68</v>
      </c>
      <c r="G118" t="s">
        <v>32</v>
      </c>
      <c r="H118">
        <v>7.9</v>
      </c>
      <c r="I118">
        <v>8.5</v>
      </c>
      <c r="J118" t="s">
        <v>96</v>
      </c>
      <c r="K118" t="s">
        <v>448</v>
      </c>
      <c r="L118" t="s">
        <v>48</v>
      </c>
      <c r="M118" t="s">
        <v>449</v>
      </c>
      <c r="N118" t="s">
        <v>71</v>
      </c>
      <c r="O118">
        <v>166</v>
      </c>
      <c r="P118" t="s">
        <v>230</v>
      </c>
      <c r="Q118">
        <v>4648</v>
      </c>
      <c r="R118">
        <v>0</v>
      </c>
      <c r="S118" t="s">
        <v>90</v>
      </c>
      <c r="T118" t="s">
        <v>136</v>
      </c>
      <c r="U118" t="s">
        <v>39</v>
      </c>
      <c r="V118" t="s">
        <v>52</v>
      </c>
      <c r="W118" t="s">
        <v>52</v>
      </c>
      <c r="X118">
        <v>2023</v>
      </c>
      <c r="Y118" t="s">
        <v>211</v>
      </c>
      <c r="Z118" t="s">
        <v>41</v>
      </c>
    </row>
    <row r="119" spans="1:26">
      <c r="A119" t="s">
        <v>450</v>
      </c>
      <c r="B119" t="s">
        <v>27</v>
      </c>
      <c r="C119" t="s">
        <v>121</v>
      </c>
      <c r="D119" t="s">
        <v>77</v>
      </c>
      <c r="E119" t="s">
        <v>220</v>
      </c>
      <c r="F119" t="s">
        <v>68</v>
      </c>
      <c r="G119" t="s">
        <v>32</v>
      </c>
      <c r="H119">
        <v>5.5</v>
      </c>
      <c r="I119">
        <v>22.6</v>
      </c>
      <c r="J119" t="s">
        <v>33</v>
      </c>
      <c r="K119" t="s">
        <v>273</v>
      </c>
      <c r="L119" t="s">
        <v>48</v>
      </c>
      <c r="M119" t="s">
        <v>170</v>
      </c>
      <c r="N119" t="s">
        <v>71</v>
      </c>
      <c r="O119">
        <v>146</v>
      </c>
      <c r="P119" t="s">
        <v>230</v>
      </c>
      <c r="Q119">
        <v>5744</v>
      </c>
      <c r="R119">
        <v>0</v>
      </c>
      <c r="S119" t="s">
        <v>152</v>
      </c>
      <c r="T119" t="s">
        <v>81</v>
      </c>
      <c r="U119" t="s">
        <v>52</v>
      </c>
      <c r="V119" t="s">
        <v>52</v>
      </c>
      <c r="W119" t="s">
        <v>52</v>
      </c>
      <c r="X119">
        <v>2023</v>
      </c>
      <c r="Y119" t="s">
        <v>114</v>
      </c>
      <c r="Z119" t="s">
        <v>41</v>
      </c>
    </row>
    <row r="120" spans="1:26">
      <c r="A120" t="s">
        <v>451</v>
      </c>
      <c r="B120" t="s">
        <v>108</v>
      </c>
      <c r="C120" t="s">
        <v>44</v>
      </c>
      <c r="D120" t="s">
        <v>77</v>
      </c>
      <c r="E120" t="s">
        <v>220</v>
      </c>
      <c r="F120" t="s">
        <v>109</v>
      </c>
      <c r="G120" t="s">
        <v>32</v>
      </c>
      <c r="H120">
        <v>7.4</v>
      </c>
      <c r="I120">
        <v>22.5</v>
      </c>
      <c r="J120" t="s">
        <v>33</v>
      </c>
      <c r="K120" t="s">
        <v>452</v>
      </c>
      <c r="L120" t="s">
        <v>126</v>
      </c>
      <c r="M120" t="s">
        <v>453</v>
      </c>
      <c r="N120" t="s">
        <v>37</v>
      </c>
      <c r="O120">
        <v>76</v>
      </c>
      <c r="Q120">
        <v>0</v>
      </c>
      <c r="R120">
        <v>0</v>
      </c>
      <c r="T120" t="s">
        <v>38</v>
      </c>
      <c r="U120" t="s">
        <v>39</v>
      </c>
      <c r="V120" t="s">
        <v>39</v>
      </c>
      <c r="W120" t="s">
        <v>52</v>
      </c>
      <c r="X120">
        <v>2023</v>
      </c>
      <c r="Y120" t="s">
        <v>128</v>
      </c>
      <c r="Z120" t="s">
        <v>64</v>
      </c>
    </row>
    <row r="121" spans="1:26">
      <c r="A121" t="s">
        <v>454</v>
      </c>
      <c r="B121" t="s">
        <v>93</v>
      </c>
      <c r="C121" t="s">
        <v>173</v>
      </c>
      <c r="D121" t="s">
        <v>122</v>
      </c>
      <c r="E121" t="s">
        <v>148</v>
      </c>
      <c r="F121" t="s">
        <v>31</v>
      </c>
      <c r="G121" t="s">
        <v>58</v>
      </c>
      <c r="H121">
        <v>2.9</v>
      </c>
      <c r="I121">
        <v>26.5</v>
      </c>
      <c r="J121" t="s">
        <v>33</v>
      </c>
      <c r="K121" t="s">
        <v>455</v>
      </c>
      <c r="L121" t="s">
        <v>98</v>
      </c>
      <c r="M121" t="s">
        <v>456</v>
      </c>
      <c r="N121" t="s">
        <v>100</v>
      </c>
      <c r="O121">
        <v>67</v>
      </c>
      <c r="Q121">
        <v>0</v>
      </c>
      <c r="R121">
        <v>0</v>
      </c>
      <c r="T121" t="s">
        <v>51</v>
      </c>
      <c r="U121" t="s">
        <v>39</v>
      </c>
      <c r="V121" t="s">
        <v>39</v>
      </c>
      <c r="W121" t="s">
        <v>39</v>
      </c>
      <c r="X121">
        <v>2022</v>
      </c>
      <c r="Y121" t="s">
        <v>106</v>
      </c>
      <c r="Z121" t="s">
        <v>83</v>
      </c>
    </row>
    <row r="122" spans="1:26">
      <c r="A122" t="s">
        <v>457</v>
      </c>
      <c r="B122" t="s">
        <v>93</v>
      </c>
      <c r="C122" t="s">
        <v>67</v>
      </c>
      <c r="D122" t="s">
        <v>77</v>
      </c>
      <c r="E122" t="s">
        <v>168</v>
      </c>
      <c r="F122" t="s">
        <v>31</v>
      </c>
      <c r="G122" t="s">
        <v>58</v>
      </c>
      <c r="H122">
        <v>8.3000000000000007</v>
      </c>
      <c r="I122">
        <v>22.5</v>
      </c>
      <c r="J122" t="s">
        <v>33</v>
      </c>
      <c r="K122" t="s">
        <v>458</v>
      </c>
      <c r="L122" t="s">
        <v>48</v>
      </c>
      <c r="M122" t="s">
        <v>459</v>
      </c>
      <c r="N122" t="s">
        <v>61</v>
      </c>
      <c r="O122">
        <v>104</v>
      </c>
      <c r="Q122">
        <v>0</v>
      </c>
      <c r="R122">
        <v>0</v>
      </c>
      <c r="T122" t="s">
        <v>136</v>
      </c>
      <c r="U122" t="s">
        <v>39</v>
      </c>
      <c r="V122" t="s">
        <v>52</v>
      </c>
      <c r="W122" t="s">
        <v>52</v>
      </c>
      <c r="X122">
        <v>2022</v>
      </c>
      <c r="Y122" t="s">
        <v>128</v>
      </c>
      <c r="Z122" t="s">
        <v>64</v>
      </c>
    </row>
    <row r="123" spans="1:26">
      <c r="A123" t="s">
        <v>460</v>
      </c>
      <c r="B123" t="s">
        <v>116</v>
      </c>
      <c r="C123" t="s">
        <v>121</v>
      </c>
      <c r="D123" t="s">
        <v>85</v>
      </c>
      <c r="E123" t="s">
        <v>138</v>
      </c>
      <c r="F123" t="s">
        <v>109</v>
      </c>
      <c r="G123" t="s">
        <v>32</v>
      </c>
      <c r="H123">
        <v>8.1999999999999993</v>
      </c>
      <c r="I123">
        <v>21.1</v>
      </c>
      <c r="J123" t="s">
        <v>33</v>
      </c>
      <c r="K123" t="s">
        <v>461</v>
      </c>
      <c r="L123" t="s">
        <v>140</v>
      </c>
      <c r="M123" t="s">
        <v>127</v>
      </c>
      <c r="N123" t="s">
        <v>37</v>
      </c>
      <c r="O123">
        <v>138</v>
      </c>
      <c r="Q123">
        <v>0</v>
      </c>
      <c r="R123">
        <v>0</v>
      </c>
      <c r="T123" t="s">
        <v>38</v>
      </c>
      <c r="U123" t="s">
        <v>39</v>
      </c>
      <c r="V123" t="s">
        <v>52</v>
      </c>
      <c r="W123" t="s">
        <v>52</v>
      </c>
      <c r="X123">
        <v>2024</v>
      </c>
      <c r="Y123" t="s">
        <v>211</v>
      </c>
      <c r="Z123" t="s">
        <v>41</v>
      </c>
    </row>
    <row r="124" spans="1:26">
      <c r="A124" t="s">
        <v>462</v>
      </c>
      <c r="B124" t="s">
        <v>108</v>
      </c>
      <c r="C124" t="s">
        <v>28</v>
      </c>
      <c r="D124" t="s">
        <v>77</v>
      </c>
      <c r="E124" t="s">
        <v>216</v>
      </c>
      <c r="F124" t="s">
        <v>109</v>
      </c>
      <c r="G124" t="s">
        <v>32</v>
      </c>
      <c r="H124">
        <v>8.1999999999999993</v>
      </c>
      <c r="I124">
        <v>25.2</v>
      </c>
      <c r="J124" t="s">
        <v>96</v>
      </c>
      <c r="K124" t="s">
        <v>463</v>
      </c>
      <c r="L124" t="s">
        <v>35</v>
      </c>
      <c r="M124" t="s">
        <v>464</v>
      </c>
      <c r="N124" t="s">
        <v>50</v>
      </c>
      <c r="O124">
        <v>84</v>
      </c>
      <c r="Q124">
        <v>0</v>
      </c>
      <c r="R124">
        <v>0</v>
      </c>
      <c r="T124" t="s">
        <v>136</v>
      </c>
      <c r="U124" t="s">
        <v>39</v>
      </c>
      <c r="V124" t="s">
        <v>52</v>
      </c>
      <c r="W124" t="s">
        <v>52</v>
      </c>
      <c r="X124">
        <v>2022</v>
      </c>
      <c r="Y124" t="s">
        <v>63</v>
      </c>
      <c r="Z124" t="s">
        <v>64</v>
      </c>
    </row>
    <row r="125" spans="1:26">
      <c r="A125" t="s">
        <v>465</v>
      </c>
      <c r="B125" t="s">
        <v>116</v>
      </c>
      <c r="C125" t="s">
        <v>102</v>
      </c>
      <c r="D125" t="s">
        <v>77</v>
      </c>
      <c r="E125" t="s">
        <v>220</v>
      </c>
      <c r="F125" t="s">
        <v>31</v>
      </c>
      <c r="G125" t="s">
        <v>58</v>
      </c>
      <c r="H125">
        <v>8.6999999999999993</v>
      </c>
      <c r="I125">
        <v>14.2</v>
      </c>
      <c r="J125" t="s">
        <v>33</v>
      </c>
      <c r="K125" t="s">
        <v>466</v>
      </c>
      <c r="L125" t="s">
        <v>126</v>
      </c>
      <c r="M125" t="s">
        <v>127</v>
      </c>
      <c r="N125" t="s">
        <v>61</v>
      </c>
      <c r="O125">
        <v>173</v>
      </c>
      <c r="Q125">
        <v>0</v>
      </c>
      <c r="R125">
        <v>0</v>
      </c>
      <c r="T125" t="s">
        <v>51</v>
      </c>
      <c r="U125" t="s">
        <v>39</v>
      </c>
      <c r="V125" t="s">
        <v>52</v>
      </c>
      <c r="W125" t="s">
        <v>39</v>
      </c>
      <c r="X125">
        <v>2024</v>
      </c>
      <c r="Y125" t="s">
        <v>211</v>
      </c>
      <c r="Z125" t="s">
        <v>41</v>
      </c>
    </row>
    <row r="126" spans="1:26">
      <c r="A126" t="s">
        <v>467</v>
      </c>
      <c r="B126" t="s">
        <v>66</v>
      </c>
      <c r="C126" t="s">
        <v>44</v>
      </c>
      <c r="D126" t="s">
        <v>29</v>
      </c>
      <c r="E126" t="s">
        <v>117</v>
      </c>
      <c r="F126" t="s">
        <v>46</v>
      </c>
      <c r="G126" t="s">
        <v>32</v>
      </c>
      <c r="H126">
        <v>2.2000000000000002</v>
      </c>
      <c r="I126">
        <v>5.2</v>
      </c>
      <c r="J126" t="s">
        <v>144</v>
      </c>
      <c r="K126" t="s">
        <v>468</v>
      </c>
      <c r="L126" t="s">
        <v>126</v>
      </c>
      <c r="M126" t="s">
        <v>469</v>
      </c>
      <c r="N126" t="s">
        <v>100</v>
      </c>
      <c r="O126">
        <v>74</v>
      </c>
      <c r="Q126">
        <v>0</v>
      </c>
      <c r="R126">
        <v>0</v>
      </c>
      <c r="T126" t="s">
        <v>136</v>
      </c>
      <c r="U126" t="s">
        <v>39</v>
      </c>
      <c r="V126" t="s">
        <v>52</v>
      </c>
      <c r="W126" t="s">
        <v>52</v>
      </c>
      <c r="X126">
        <v>2022</v>
      </c>
      <c r="Y126" t="s">
        <v>312</v>
      </c>
      <c r="Z126" t="s">
        <v>83</v>
      </c>
    </row>
    <row r="127" spans="1:26">
      <c r="A127" t="s">
        <v>470</v>
      </c>
      <c r="B127" t="s">
        <v>43</v>
      </c>
      <c r="C127" t="s">
        <v>76</v>
      </c>
      <c r="D127" t="s">
        <v>122</v>
      </c>
      <c r="E127" t="s">
        <v>123</v>
      </c>
      <c r="F127" t="s">
        <v>238</v>
      </c>
      <c r="G127" t="s">
        <v>32</v>
      </c>
      <c r="H127">
        <v>6.4</v>
      </c>
      <c r="I127">
        <v>25.6</v>
      </c>
      <c r="J127" t="s">
        <v>144</v>
      </c>
      <c r="K127" t="s">
        <v>471</v>
      </c>
      <c r="L127" t="s">
        <v>98</v>
      </c>
      <c r="M127" t="s">
        <v>472</v>
      </c>
      <c r="N127" t="s">
        <v>100</v>
      </c>
      <c r="O127">
        <v>138</v>
      </c>
      <c r="Q127">
        <v>0</v>
      </c>
      <c r="R127">
        <v>0</v>
      </c>
      <c r="T127" t="s">
        <v>62</v>
      </c>
      <c r="U127" t="s">
        <v>52</v>
      </c>
      <c r="V127" t="s">
        <v>52</v>
      </c>
      <c r="W127" t="s">
        <v>52</v>
      </c>
      <c r="X127">
        <v>2023</v>
      </c>
      <c r="Y127" t="s">
        <v>106</v>
      </c>
      <c r="Z127" t="s">
        <v>83</v>
      </c>
    </row>
    <row r="128" spans="1:26">
      <c r="A128" t="s">
        <v>473</v>
      </c>
      <c r="B128" t="s">
        <v>116</v>
      </c>
      <c r="C128" t="s">
        <v>76</v>
      </c>
      <c r="D128" t="s">
        <v>77</v>
      </c>
      <c r="E128" t="s">
        <v>363</v>
      </c>
      <c r="F128" t="s">
        <v>57</v>
      </c>
      <c r="G128" t="s">
        <v>58</v>
      </c>
      <c r="H128">
        <v>11.3</v>
      </c>
      <c r="I128">
        <v>25.5</v>
      </c>
      <c r="J128" t="s">
        <v>33</v>
      </c>
      <c r="K128" t="s">
        <v>474</v>
      </c>
      <c r="L128" t="s">
        <v>48</v>
      </c>
      <c r="M128" t="s">
        <v>475</v>
      </c>
      <c r="N128" t="s">
        <v>71</v>
      </c>
      <c r="O128">
        <v>89</v>
      </c>
      <c r="P128" t="s">
        <v>230</v>
      </c>
      <c r="Q128">
        <v>5258</v>
      </c>
      <c r="R128">
        <v>0</v>
      </c>
      <c r="S128" t="s">
        <v>73</v>
      </c>
      <c r="T128" t="s">
        <v>62</v>
      </c>
      <c r="U128" t="s">
        <v>39</v>
      </c>
      <c r="V128" t="s">
        <v>52</v>
      </c>
      <c r="W128" t="s">
        <v>39</v>
      </c>
      <c r="X128">
        <v>2024</v>
      </c>
      <c r="Y128" t="s">
        <v>211</v>
      </c>
      <c r="Z128" t="s">
        <v>41</v>
      </c>
    </row>
    <row r="129" spans="1:26">
      <c r="A129" t="s">
        <v>476</v>
      </c>
      <c r="B129" t="s">
        <v>43</v>
      </c>
      <c r="C129" t="s">
        <v>173</v>
      </c>
      <c r="D129" t="s">
        <v>77</v>
      </c>
      <c r="E129" t="s">
        <v>220</v>
      </c>
      <c r="F129" t="s">
        <v>124</v>
      </c>
      <c r="G129" t="s">
        <v>32</v>
      </c>
      <c r="H129">
        <v>9.1</v>
      </c>
      <c r="I129">
        <v>27.3</v>
      </c>
      <c r="J129" t="s">
        <v>20</v>
      </c>
      <c r="K129" t="s">
        <v>477</v>
      </c>
      <c r="L129" t="s">
        <v>140</v>
      </c>
      <c r="M129" t="s">
        <v>478</v>
      </c>
      <c r="N129" t="s">
        <v>37</v>
      </c>
      <c r="O129">
        <v>113</v>
      </c>
      <c r="Q129">
        <v>0</v>
      </c>
      <c r="R129">
        <v>0</v>
      </c>
      <c r="T129" t="s">
        <v>51</v>
      </c>
      <c r="U129" t="s">
        <v>39</v>
      </c>
      <c r="V129" t="s">
        <v>52</v>
      </c>
      <c r="W129" t="s">
        <v>52</v>
      </c>
      <c r="X129">
        <v>2024</v>
      </c>
      <c r="Y129" t="s">
        <v>74</v>
      </c>
      <c r="Z129" t="s">
        <v>54</v>
      </c>
    </row>
    <row r="130" spans="1:26">
      <c r="A130" t="s">
        <v>479</v>
      </c>
      <c r="B130" t="s">
        <v>66</v>
      </c>
      <c r="C130" t="s">
        <v>164</v>
      </c>
      <c r="D130" t="s">
        <v>29</v>
      </c>
      <c r="E130" t="s">
        <v>45</v>
      </c>
      <c r="F130" t="s">
        <v>57</v>
      </c>
      <c r="G130" t="s">
        <v>32</v>
      </c>
      <c r="H130">
        <v>0.8</v>
      </c>
      <c r="I130">
        <v>33.200000000000003</v>
      </c>
      <c r="J130" t="s">
        <v>33</v>
      </c>
      <c r="K130" t="s">
        <v>264</v>
      </c>
      <c r="L130" t="s">
        <v>60</v>
      </c>
      <c r="M130" t="s">
        <v>480</v>
      </c>
      <c r="N130" t="s">
        <v>61</v>
      </c>
      <c r="O130">
        <v>77</v>
      </c>
      <c r="Q130">
        <v>0</v>
      </c>
      <c r="R130">
        <v>0</v>
      </c>
      <c r="T130" t="s">
        <v>136</v>
      </c>
      <c r="U130" t="s">
        <v>39</v>
      </c>
      <c r="V130" t="s">
        <v>52</v>
      </c>
      <c r="W130" t="s">
        <v>52</v>
      </c>
      <c r="X130">
        <v>2024</v>
      </c>
      <c r="Y130" t="s">
        <v>74</v>
      </c>
      <c r="Z130" t="s">
        <v>54</v>
      </c>
    </row>
    <row r="131" spans="1:26">
      <c r="A131" t="s">
        <v>481</v>
      </c>
      <c r="B131" t="s">
        <v>66</v>
      </c>
      <c r="C131" t="s">
        <v>164</v>
      </c>
      <c r="D131" t="s">
        <v>85</v>
      </c>
      <c r="E131" t="s">
        <v>208</v>
      </c>
      <c r="F131" t="s">
        <v>149</v>
      </c>
      <c r="G131" t="s">
        <v>58</v>
      </c>
      <c r="H131">
        <v>3</v>
      </c>
      <c r="I131">
        <v>8.3000000000000007</v>
      </c>
      <c r="J131" t="s">
        <v>20</v>
      </c>
      <c r="K131" t="s">
        <v>482</v>
      </c>
      <c r="L131" t="s">
        <v>126</v>
      </c>
      <c r="M131" t="s">
        <v>227</v>
      </c>
      <c r="N131" t="s">
        <v>71</v>
      </c>
      <c r="O131">
        <v>97</v>
      </c>
      <c r="P131" t="s">
        <v>112</v>
      </c>
      <c r="Q131">
        <v>2703</v>
      </c>
      <c r="R131">
        <v>500</v>
      </c>
      <c r="S131" t="s">
        <v>113</v>
      </c>
      <c r="T131" t="s">
        <v>136</v>
      </c>
      <c r="U131" t="s">
        <v>39</v>
      </c>
      <c r="V131" t="s">
        <v>52</v>
      </c>
      <c r="W131" t="s">
        <v>52</v>
      </c>
      <c r="X131">
        <v>2023</v>
      </c>
      <c r="Y131" t="s">
        <v>114</v>
      </c>
      <c r="Z131" t="s">
        <v>41</v>
      </c>
    </row>
    <row r="132" spans="1:26">
      <c r="A132" t="s">
        <v>483</v>
      </c>
      <c r="B132" t="s">
        <v>108</v>
      </c>
      <c r="C132" t="s">
        <v>76</v>
      </c>
      <c r="D132" t="s">
        <v>122</v>
      </c>
      <c r="E132" t="s">
        <v>123</v>
      </c>
      <c r="F132" t="s">
        <v>95</v>
      </c>
      <c r="G132" t="s">
        <v>58</v>
      </c>
      <c r="H132">
        <v>10</v>
      </c>
      <c r="I132">
        <v>2.2999999999999998</v>
      </c>
      <c r="J132" t="s">
        <v>96</v>
      </c>
      <c r="K132" t="s">
        <v>199</v>
      </c>
      <c r="L132" t="s">
        <v>140</v>
      </c>
      <c r="M132" t="s">
        <v>484</v>
      </c>
      <c r="N132" t="s">
        <v>71</v>
      </c>
      <c r="O132">
        <v>95</v>
      </c>
      <c r="P132" t="s">
        <v>105</v>
      </c>
      <c r="Q132">
        <v>2693</v>
      </c>
      <c r="R132">
        <v>2000</v>
      </c>
      <c r="S132" t="s">
        <v>113</v>
      </c>
      <c r="T132" t="s">
        <v>136</v>
      </c>
      <c r="U132" t="s">
        <v>39</v>
      </c>
      <c r="V132" t="s">
        <v>52</v>
      </c>
      <c r="W132" t="s">
        <v>52</v>
      </c>
      <c r="X132">
        <v>2024</v>
      </c>
      <c r="Y132" t="s">
        <v>40</v>
      </c>
      <c r="Z132" t="s">
        <v>41</v>
      </c>
    </row>
    <row r="133" spans="1:26">
      <c r="A133" t="s">
        <v>485</v>
      </c>
      <c r="B133" t="s">
        <v>108</v>
      </c>
      <c r="C133" t="s">
        <v>102</v>
      </c>
      <c r="D133" t="s">
        <v>77</v>
      </c>
      <c r="E133" t="s">
        <v>363</v>
      </c>
      <c r="F133" t="s">
        <v>109</v>
      </c>
      <c r="G133" t="s">
        <v>32</v>
      </c>
      <c r="H133">
        <v>8.4</v>
      </c>
      <c r="I133">
        <v>24.8</v>
      </c>
      <c r="J133" t="s">
        <v>96</v>
      </c>
      <c r="K133" t="s">
        <v>486</v>
      </c>
      <c r="L133" t="s">
        <v>60</v>
      </c>
      <c r="M133" t="s">
        <v>464</v>
      </c>
      <c r="N133" t="s">
        <v>50</v>
      </c>
      <c r="O133">
        <v>31</v>
      </c>
      <c r="Q133">
        <v>0</v>
      </c>
      <c r="R133">
        <v>0</v>
      </c>
      <c r="T133" t="s">
        <v>136</v>
      </c>
      <c r="U133" t="s">
        <v>52</v>
      </c>
      <c r="V133" t="s">
        <v>52</v>
      </c>
      <c r="W133" t="s">
        <v>52</v>
      </c>
      <c r="X133">
        <v>2023</v>
      </c>
      <c r="Y133" t="s">
        <v>106</v>
      </c>
      <c r="Z133" t="s">
        <v>83</v>
      </c>
    </row>
    <row r="134" spans="1:26">
      <c r="A134" t="s">
        <v>487</v>
      </c>
      <c r="B134" t="s">
        <v>108</v>
      </c>
      <c r="C134" t="s">
        <v>67</v>
      </c>
      <c r="D134" t="s">
        <v>29</v>
      </c>
      <c r="E134" t="s">
        <v>56</v>
      </c>
      <c r="F134" t="s">
        <v>124</v>
      </c>
      <c r="G134" t="s">
        <v>32</v>
      </c>
      <c r="H134">
        <v>1.3</v>
      </c>
      <c r="I134">
        <v>34.4</v>
      </c>
      <c r="J134" t="s">
        <v>33</v>
      </c>
      <c r="K134" t="s">
        <v>488</v>
      </c>
      <c r="L134" t="s">
        <v>126</v>
      </c>
      <c r="M134" t="s">
        <v>489</v>
      </c>
      <c r="N134" t="s">
        <v>50</v>
      </c>
      <c r="O134">
        <v>132</v>
      </c>
      <c r="Q134">
        <v>0</v>
      </c>
      <c r="R134">
        <v>1000</v>
      </c>
      <c r="T134" t="s">
        <v>38</v>
      </c>
      <c r="U134" t="s">
        <v>39</v>
      </c>
      <c r="V134" t="s">
        <v>52</v>
      </c>
      <c r="W134" t="s">
        <v>52</v>
      </c>
      <c r="X134">
        <v>2024</v>
      </c>
      <c r="Y134" t="s">
        <v>106</v>
      </c>
      <c r="Z134" t="s">
        <v>83</v>
      </c>
    </row>
    <row r="135" spans="1:26">
      <c r="A135" t="s">
        <v>490</v>
      </c>
      <c r="B135" t="s">
        <v>43</v>
      </c>
      <c r="C135" t="s">
        <v>121</v>
      </c>
      <c r="D135" t="s">
        <v>77</v>
      </c>
      <c r="E135" t="s">
        <v>168</v>
      </c>
      <c r="F135" t="s">
        <v>109</v>
      </c>
      <c r="G135" t="s">
        <v>32</v>
      </c>
      <c r="H135">
        <v>2.8</v>
      </c>
      <c r="I135">
        <v>20.2</v>
      </c>
      <c r="J135" t="s">
        <v>33</v>
      </c>
      <c r="K135" t="s">
        <v>491</v>
      </c>
      <c r="L135" t="s">
        <v>126</v>
      </c>
      <c r="M135" t="s">
        <v>492</v>
      </c>
      <c r="N135" t="s">
        <v>71</v>
      </c>
      <c r="O135">
        <v>76</v>
      </c>
      <c r="P135" t="s">
        <v>112</v>
      </c>
      <c r="Q135">
        <v>4607</v>
      </c>
      <c r="R135">
        <v>0</v>
      </c>
      <c r="S135" t="s">
        <v>90</v>
      </c>
      <c r="T135" t="s">
        <v>81</v>
      </c>
      <c r="U135" t="s">
        <v>39</v>
      </c>
      <c r="V135" t="s">
        <v>39</v>
      </c>
      <c r="W135" t="s">
        <v>52</v>
      </c>
      <c r="X135">
        <v>2024</v>
      </c>
      <c r="Y135" t="s">
        <v>53</v>
      </c>
      <c r="Z135" t="s">
        <v>54</v>
      </c>
    </row>
    <row r="136" spans="1:26">
      <c r="A136" t="s">
        <v>493</v>
      </c>
      <c r="B136" t="s">
        <v>66</v>
      </c>
      <c r="C136" t="s">
        <v>76</v>
      </c>
      <c r="D136" t="s">
        <v>29</v>
      </c>
      <c r="E136" t="s">
        <v>117</v>
      </c>
      <c r="F136" t="s">
        <v>238</v>
      </c>
      <c r="G136" t="s">
        <v>32</v>
      </c>
      <c r="H136">
        <v>10.1</v>
      </c>
      <c r="I136">
        <v>3.1</v>
      </c>
      <c r="J136" t="s">
        <v>33</v>
      </c>
      <c r="K136" t="s">
        <v>494</v>
      </c>
      <c r="L136" t="s">
        <v>98</v>
      </c>
      <c r="M136" t="s">
        <v>495</v>
      </c>
      <c r="N136" t="s">
        <v>71</v>
      </c>
      <c r="O136">
        <v>139</v>
      </c>
      <c r="P136" t="s">
        <v>89</v>
      </c>
      <c r="Q136">
        <v>3646</v>
      </c>
      <c r="R136">
        <v>0</v>
      </c>
      <c r="S136" t="s">
        <v>73</v>
      </c>
      <c r="T136" t="s">
        <v>81</v>
      </c>
      <c r="U136" t="s">
        <v>39</v>
      </c>
      <c r="V136" t="s">
        <v>39</v>
      </c>
      <c r="W136" t="s">
        <v>52</v>
      </c>
      <c r="X136">
        <v>2023</v>
      </c>
      <c r="Y136" t="s">
        <v>106</v>
      </c>
      <c r="Z136" t="s">
        <v>83</v>
      </c>
    </row>
    <row r="137" spans="1:26">
      <c r="A137" t="s">
        <v>496</v>
      </c>
      <c r="B137" t="s">
        <v>116</v>
      </c>
      <c r="C137" t="s">
        <v>76</v>
      </c>
      <c r="D137" t="s">
        <v>122</v>
      </c>
      <c r="E137" t="s">
        <v>123</v>
      </c>
      <c r="F137" t="s">
        <v>109</v>
      </c>
      <c r="G137" t="s">
        <v>32</v>
      </c>
      <c r="H137">
        <v>0.2</v>
      </c>
      <c r="I137">
        <v>19.5</v>
      </c>
      <c r="J137" t="s">
        <v>20</v>
      </c>
      <c r="K137" t="s">
        <v>497</v>
      </c>
      <c r="L137" t="s">
        <v>60</v>
      </c>
      <c r="M137" t="s">
        <v>127</v>
      </c>
      <c r="N137" t="s">
        <v>50</v>
      </c>
      <c r="O137">
        <v>169</v>
      </c>
      <c r="Q137">
        <v>0</v>
      </c>
      <c r="R137">
        <v>0</v>
      </c>
      <c r="T137" t="s">
        <v>38</v>
      </c>
      <c r="U137" t="s">
        <v>52</v>
      </c>
      <c r="V137" t="s">
        <v>39</v>
      </c>
      <c r="W137" t="s">
        <v>39</v>
      </c>
      <c r="X137">
        <v>2024</v>
      </c>
      <c r="Y137" t="s">
        <v>114</v>
      </c>
      <c r="Z137" t="s">
        <v>41</v>
      </c>
    </row>
    <row r="138" spans="1:26">
      <c r="A138" t="s">
        <v>498</v>
      </c>
      <c r="B138" t="s">
        <v>108</v>
      </c>
      <c r="C138" t="s">
        <v>28</v>
      </c>
      <c r="D138" t="s">
        <v>29</v>
      </c>
      <c r="E138" t="s">
        <v>244</v>
      </c>
      <c r="F138" t="s">
        <v>46</v>
      </c>
      <c r="G138" t="s">
        <v>32</v>
      </c>
      <c r="H138">
        <v>9.8000000000000007</v>
      </c>
      <c r="I138">
        <v>9.6999999999999993</v>
      </c>
      <c r="J138" t="s">
        <v>144</v>
      </c>
      <c r="K138" t="s">
        <v>499</v>
      </c>
      <c r="L138" t="s">
        <v>140</v>
      </c>
      <c r="M138" t="s">
        <v>500</v>
      </c>
      <c r="N138" t="s">
        <v>37</v>
      </c>
      <c r="O138">
        <v>62</v>
      </c>
      <c r="Q138">
        <v>0</v>
      </c>
      <c r="R138">
        <v>500</v>
      </c>
      <c r="T138" t="s">
        <v>81</v>
      </c>
      <c r="U138" t="s">
        <v>39</v>
      </c>
      <c r="V138" t="s">
        <v>52</v>
      </c>
      <c r="W138" t="s">
        <v>39</v>
      </c>
      <c r="X138">
        <v>2022</v>
      </c>
      <c r="Y138" t="s">
        <v>128</v>
      </c>
      <c r="Z138" t="s">
        <v>64</v>
      </c>
    </row>
    <row r="139" spans="1:26">
      <c r="A139" t="s">
        <v>501</v>
      </c>
      <c r="B139" t="s">
        <v>116</v>
      </c>
      <c r="C139" t="s">
        <v>164</v>
      </c>
      <c r="D139" t="s">
        <v>77</v>
      </c>
      <c r="E139" t="s">
        <v>143</v>
      </c>
      <c r="F139" t="s">
        <v>95</v>
      </c>
      <c r="G139" t="s">
        <v>32</v>
      </c>
      <c r="H139">
        <v>6.7</v>
      </c>
      <c r="I139">
        <v>2.4</v>
      </c>
      <c r="J139" t="s">
        <v>96</v>
      </c>
      <c r="K139" t="s">
        <v>286</v>
      </c>
      <c r="L139" t="s">
        <v>126</v>
      </c>
      <c r="M139" t="s">
        <v>502</v>
      </c>
      <c r="N139" t="s">
        <v>100</v>
      </c>
      <c r="O139">
        <v>98</v>
      </c>
      <c r="Q139">
        <v>0</v>
      </c>
      <c r="R139">
        <v>0</v>
      </c>
      <c r="T139" t="s">
        <v>51</v>
      </c>
      <c r="U139" t="s">
        <v>39</v>
      </c>
      <c r="V139" t="s">
        <v>52</v>
      </c>
      <c r="W139" t="s">
        <v>39</v>
      </c>
      <c r="X139">
        <v>2024</v>
      </c>
      <c r="Y139" t="s">
        <v>74</v>
      </c>
      <c r="Z139" t="s">
        <v>54</v>
      </c>
    </row>
    <row r="140" spans="1:26">
      <c r="A140" t="s">
        <v>503</v>
      </c>
      <c r="B140" t="s">
        <v>27</v>
      </c>
      <c r="C140" t="s">
        <v>76</v>
      </c>
      <c r="D140" t="s">
        <v>77</v>
      </c>
      <c r="E140" t="s">
        <v>363</v>
      </c>
      <c r="F140" t="s">
        <v>68</v>
      </c>
      <c r="G140" t="s">
        <v>32</v>
      </c>
      <c r="H140">
        <v>11.1</v>
      </c>
      <c r="I140">
        <v>31.5</v>
      </c>
      <c r="J140" t="s">
        <v>33</v>
      </c>
      <c r="K140" t="s">
        <v>504</v>
      </c>
      <c r="L140" t="s">
        <v>48</v>
      </c>
      <c r="M140" t="s">
        <v>505</v>
      </c>
      <c r="N140" t="s">
        <v>71</v>
      </c>
      <c r="O140">
        <v>70</v>
      </c>
      <c r="P140" t="s">
        <v>105</v>
      </c>
      <c r="Q140">
        <v>3609</v>
      </c>
      <c r="R140">
        <v>2000</v>
      </c>
      <c r="S140" t="s">
        <v>113</v>
      </c>
      <c r="T140" t="s">
        <v>136</v>
      </c>
      <c r="U140" t="s">
        <v>39</v>
      </c>
      <c r="V140" t="s">
        <v>52</v>
      </c>
      <c r="W140" t="s">
        <v>52</v>
      </c>
      <c r="X140">
        <v>2024</v>
      </c>
      <c r="Y140" t="s">
        <v>211</v>
      </c>
      <c r="Z140" t="s">
        <v>41</v>
      </c>
    </row>
    <row r="141" spans="1:26">
      <c r="A141" t="s">
        <v>506</v>
      </c>
      <c r="B141" t="s">
        <v>66</v>
      </c>
      <c r="C141" t="s">
        <v>28</v>
      </c>
      <c r="D141" t="s">
        <v>77</v>
      </c>
      <c r="E141" t="s">
        <v>363</v>
      </c>
      <c r="F141" t="s">
        <v>109</v>
      </c>
      <c r="G141" t="s">
        <v>32</v>
      </c>
      <c r="H141">
        <v>4.7</v>
      </c>
      <c r="I141">
        <v>26</v>
      </c>
      <c r="J141" t="s">
        <v>33</v>
      </c>
      <c r="K141" t="s">
        <v>507</v>
      </c>
      <c r="L141" t="s">
        <v>35</v>
      </c>
      <c r="M141" t="s">
        <v>432</v>
      </c>
      <c r="N141" t="s">
        <v>171</v>
      </c>
      <c r="O141">
        <v>174</v>
      </c>
      <c r="Q141">
        <v>0</v>
      </c>
      <c r="R141">
        <v>0</v>
      </c>
      <c r="T141" t="s">
        <v>136</v>
      </c>
      <c r="U141" t="s">
        <v>39</v>
      </c>
      <c r="V141" t="s">
        <v>39</v>
      </c>
      <c r="W141" t="s">
        <v>52</v>
      </c>
      <c r="X141">
        <v>2024</v>
      </c>
      <c r="Y141" t="s">
        <v>312</v>
      </c>
      <c r="Z141" t="s">
        <v>83</v>
      </c>
    </row>
    <row r="142" spans="1:26">
      <c r="A142" t="s">
        <v>508</v>
      </c>
      <c r="B142" t="s">
        <v>43</v>
      </c>
      <c r="C142" t="s">
        <v>67</v>
      </c>
      <c r="D142" t="s">
        <v>77</v>
      </c>
      <c r="E142" t="s">
        <v>94</v>
      </c>
      <c r="F142" t="s">
        <v>109</v>
      </c>
      <c r="G142" t="s">
        <v>32</v>
      </c>
      <c r="H142">
        <v>9.4</v>
      </c>
      <c r="I142">
        <v>16</v>
      </c>
      <c r="J142" t="s">
        <v>144</v>
      </c>
      <c r="K142" t="s">
        <v>509</v>
      </c>
      <c r="L142" t="s">
        <v>48</v>
      </c>
      <c r="M142" t="s">
        <v>510</v>
      </c>
      <c r="N142" t="s">
        <v>61</v>
      </c>
      <c r="O142">
        <v>8</v>
      </c>
      <c r="Q142">
        <v>0</v>
      </c>
      <c r="R142">
        <v>0</v>
      </c>
      <c r="T142" t="s">
        <v>62</v>
      </c>
      <c r="U142" t="s">
        <v>52</v>
      </c>
      <c r="V142" t="s">
        <v>39</v>
      </c>
      <c r="W142" t="s">
        <v>52</v>
      </c>
      <c r="X142">
        <v>2023</v>
      </c>
      <c r="Y142" t="s">
        <v>91</v>
      </c>
      <c r="Z142" t="s">
        <v>64</v>
      </c>
    </row>
    <row r="143" spans="1:26">
      <c r="A143" t="s">
        <v>511</v>
      </c>
      <c r="B143" t="s">
        <v>108</v>
      </c>
      <c r="C143" t="s">
        <v>67</v>
      </c>
      <c r="D143" t="s">
        <v>77</v>
      </c>
      <c r="E143" t="s">
        <v>143</v>
      </c>
      <c r="F143" t="s">
        <v>46</v>
      </c>
      <c r="G143" t="s">
        <v>58</v>
      </c>
      <c r="H143">
        <v>9.4</v>
      </c>
      <c r="I143">
        <v>5.8</v>
      </c>
      <c r="J143" t="s">
        <v>33</v>
      </c>
      <c r="K143" t="s">
        <v>512</v>
      </c>
      <c r="L143" t="s">
        <v>35</v>
      </c>
      <c r="M143" t="s">
        <v>513</v>
      </c>
      <c r="N143" t="s">
        <v>71</v>
      </c>
      <c r="O143">
        <v>69</v>
      </c>
      <c r="P143" t="s">
        <v>72</v>
      </c>
      <c r="Q143">
        <v>6112</v>
      </c>
      <c r="R143">
        <v>2000</v>
      </c>
      <c r="S143" t="s">
        <v>90</v>
      </c>
      <c r="T143" t="s">
        <v>51</v>
      </c>
      <c r="U143" t="s">
        <v>39</v>
      </c>
      <c r="V143" t="s">
        <v>39</v>
      </c>
      <c r="W143" t="s">
        <v>52</v>
      </c>
      <c r="X143">
        <v>2022</v>
      </c>
      <c r="Y143" t="s">
        <v>153</v>
      </c>
      <c r="Z143" t="s">
        <v>54</v>
      </c>
    </row>
    <row r="144" spans="1:26">
      <c r="A144" t="s">
        <v>514</v>
      </c>
      <c r="B144" t="s">
        <v>27</v>
      </c>
      <c r="C144" t="s">
        <v>28</v>
      </c>
      <c r="D144" t="s">
        <v>29</v>
      </c>
      <c r="E144" t="s">
        <v>45</v>
      </c>
      <c r="F144" t="s">
        <v>31</v>
      </c>
      <c r="G144" t="s">
        <v>32</v>
      </c>
      <c r="H144">
        <v>1.3</v>
      </c>
      <c r="I144">
        <v>3.6</v>
      </c>
      <c r="J144" t="s">
        <v>96</v>
      </c>
      <c r="K144" t="s">
        <v>515</v>
      </c>
      <c r="L144" t="s">
        <v>126</v>
      </c>
      <c r="M144" t="s">
        <v>516</v>
      </c>
      <c r="N144" t="s">
        <v>100</v>
      </c>
      <c r="O144">
        <v>115</v>
      </c>
      <c r="Q144">
        <v>0</v>
      </c>
      <c r="R144">
        <v>0</v>
      </c>
      <c r="T144" t="s">
        <v>38</v>
      </c>
      <c r="U144" t="s">
        <v>39</v>
      </c>
      <c r="V144" t="s">
        <v>52</v>
      </c>
      <c r="W144" t="s">
        <v>52</v>
      </c>
      <c r="X144">
        <v>2024</v>
      </c>
      <c r="Y144" t="s">
        <v>153</v>
      </c>
      <c r="Z144" t="s">
        <v>54</v>
      </c>
    </row>
    <row r="145" spans="1:26">
      <c r="A145" t="s">
        <v>517</v>
      </c>
      <c r="B145" t="s">
        <v>93</v>
      </c>
      <c r="C145" t="s">
        <v>121</v>
      </c>
      <c r="D145" t="s">
        <v>29</v>
      </c>
      <c r="E145" t="s">
        <v>94</v>
      </c>
      <c r="F145" t="s">
        <v>68</v>
      </c>
      <c r="G145" t="s">
        <v>58</v>
      </c>
      <c r="H145">
        <v>2.1</v>
      </c>
      <c r="I145">
        <v>9.8000000000000007</v>
      </c>
      <c r="J145" t="s">
        <v>33</v>
      </c>
      <c r="K145" t="s">
        <v>518</v>
      </c>
      <c r="L145" t="s">
        <v>126</v>
      </c>
      <c r="M145" t="s">
        <v>519</v>
      </c>
      <c r="N145" t="s">
        <v>71</v>
      </c>
      <c r="O145">
        <v>147</v>
      </c>
      <c r="P145" t="s">
        <v>72</v>
      </c>
      <c r="Q145">
        <v>4307</v>
      </c>
      <c r="R145">
        <v>500</v>
      </c>
      <c r="S145" t="s">
        <v>90</v>
      </c>
      <c r="T145" t="s">
        <v>51</v>
      </c>
      <c r="U145" t="s">
        <v>52</v>
      </c>
      <c r="V145" t="s">
        <v>39</v>
      </c>
      <c r="W145" t="s">
        <v>52</v>
      </c>
      <c r="X145">
        <v>2023</v>
      </c>
      <c r="Y145" t="s">
        <v>53</v>
      </c>
      <c r="Z145" t="s">
        <v>54</v>
      </c>
    </row>
    <row r="146" spans="1:26">
      <c r="A146" t="s">
        <v>520</v>
      </c>
      <c r="B146" t="s">
        <v>108</v>
      </c>
      <c r="C146" t="s">
        <v>67</v>
      </c>
      <c r="D146" t="s">
        <v>29</v>
      </c>
      <c r="E146" t="s">
        <v>45</v>
      </c>
      <c r="F146" t="s">
        <v>31</v>
      </c>
      <c r="G146" t="s">
        <v>32</v>
      </c>
      <c r="H146">
        <v>1.4</v>
      </c>
      <c r="I146">
        <v>11</v>
      </c>
      <c r="J146" t="s">
        <v>96</v>
      </c>
      <c r="K146" t="s">
        <v>521</v>
      </c>
      <c r="L146" t="s">
        <v>60</v>
      </c>
      <c r="M146" t="s">
        <v>127</v>
      </c>
      <c r="N146" t="s">
        <v>37</v>
      </c>
      <c r="O146">
        <v>153</v>
      </c>
      <c r="Q146">
        <v>0</v>
      </c>
      <c r="R146">
        <v>1000</v>
      </c>
      <c r="T146" t="s">
        <v>136</v>
      </c>
      <c r="U146" t="s">
        <v>39</v>
      </c>
      <c r="V146" t="s">
        <v>52</v>
      </c>
      <c r="W146" t="s">
        <v>52</v>
      </c>
      <c r="X146">
        <v>2024</v>
      </c>
      <c r="Y146" t="s">
        <v>91</v>
      </c>
      <c r="Z146" t="s">
        <v>64</v>
      </c>
    </row>
    <row r="147" spans="1:26">
      <c r="A147" t="s">
        <v>522</v>
      </c>
      <c r="B147" t="s">
        <v>93</v>
      </c>
      <c r="C147" t="s">
        <v>173</v>
      </c>
      <c r="D147" t="s">
        <v>29</v>
      </c>
      <c r="E147" t="s">
        <v>56</v>
      </c>
      <c r="F147" t="s">
        <v>149</v>
      </c>
      <c r="G147" t="s">
        <v>58</v>
      </c>
      <c r="H147">
        <v>2.2000000000000002</v>
      </c>
      <c r="I147">
        <v>14.2</v>
      </c>
      <c r="J147" t="s">
        <v>33</v>
      </c>
      <c r="K147" t="s">
        <v>523</v>
      </c>
      <c r="L147" t="s">
        <v>126</v>
      </c>
      <c r="M147" t="s">
        <v>524</v>
      </c>
      <c r="N147" t="s">
        <v>171</v>
      </c>
      <c r="O147">
        <v>123</v>
      </c>
      <c r="Q147">
        <v>0</v>
      </c>
      <c r="R147">
        <v>0</v>
      </c>
      <c r="T147" t="s">
        <v>51</v>
      </c>
      <c r="U147" t="s">
        <v>52</v>
      </c>
      <c r="V147" t="s">
        <v>52</v>
      </c>
      <c r="W147" t="s">
        <v>39</v>
      </c>
      <c r="X147">
        <v>2023</v>
      </c>
      <c r="Y147" t="s">
        <v>82</v>
      </c>
      <c r="Z147" t="s">
        <v>83</v>
      </c>
    </row>
    <row r="148" spans="1:26">
      <c r="A148" t="s">
        <v>525</v>
      </c>
      <c r="B148" t="s">
        <v>66</v>
      </c>
      <c r="C148" t="s">
        <v>28</v>
      </c>
      <c r="D148" t="s">
        <v>77</v>
      </c>
      <c r="E148" t="s">
        <v>363</v>
      </c>
      <c r="F148" t="s">
        <v>57</v>
      </c>
      <c r="G148" t="s">
        <v>32</v>
      </c>
      <c r="H148">
        <v>2.6</v>
      </c>
      <c r="I148">
        <v>28</v>
      </c>
      <c r="J148" t="s">
        <v>33</v>
      </c>
      <c r="K148" t="s">
        <v>526</v>
      </c>
      <c r="L148" t="s">
        <v>98</v>
      </c>
      <c r="M148" t="s">
        <v>150</v>
      </c>
      <c r="N148" t="s">
        <v>71</v>
      </c>
      <c r="O148">
        <v>175</v>
      </c>
      <c r="P148" t="s">
        <v>72</v>
      </c>
      <c r="Q148">
        <v>6781</v>
      </c>
      <c r="R148">
        <v>2000</v>
      </c>
      <c r="S148" t="s">
        <v>113</v>
      </c>
      <c r="T148" t="s">
        <v>51</v>
      </c>
      <c r="U148" t="s">
        <v>39</v>
      </c>
      <c r="V148" t="s">
        <v>52</v>
      </c>
      <c r="W148" t="s">
        <v>52</v>
      </c>
      <c r="X148">
        <v>2023</v>
      </c>
      <c r="Y148" t="s">
        <v>106</v>
      </c>
      <c r="Z148" t="s">
        <v>83</v>
      </c>
    </row>
    <row r="149" spans="1:26">
      <c r="A149" t="s">
        <v>527</v>
      </c>
      <c r="B149" t="s">
        <v>66</v>
      </c>
      <c r="C149" t="s">
        <v>44</v>
      </c>
      <c r="D149" t="s">
        <v>85</v>
      </c>
      <c r="E149" t="s">
        <v>174</v>
      </c>
      <c r="F149" t="s">
        <v>109</v>
      </c>
      <c r="G149" t="s">
        <v>58</v>
      </c>
      <c r="H149">
        <v>6.5</v>
      </c>
      <c r="I149">
        <v>32.4</v>
      </c>
      <c r="J149" t="s">
        <v>96</v>
      </c>
      <c r="K149" t="s">
        <v>528</v>
      </c>
      <c r="L149" t="s">
        <v>60</v>
      </c>
      <c r="M149" t="s">
        <v>529</v>
      </c>
      <c r="N149" t="s">
        <v>50</v>
      </c>
      <c r="O149">
        <v>154</v>
      </c>
      <c r="Q149">
        <v>0</v>
      </c>
      <c r="R149">
        <v>1000</v>
      </c>
      <c r="T149" t="s">
        <v>62</v>
      </c>
      <c r="U149" t="s">
        <v>39</v>
      </c>
      <c r="V149" t="s">
        <v>39</v>
      </c>
      <c r="W149" t="s">
        <v>52</v>
      </c>
      <c r="X149">
        <v>2024</v>
      </c>
      <c r="Y149" t="s">
        <v>40</v>
      </c>
      <c r="Z149" t="s">
        <v>41</v>
      </c>
    </row>
    <row r="150" spans="1:26">
      <c r="A150" t="s">
        <v>530</v>
      </c>
      <c r="B150" t="s">
        <v>108</v>
      </c>
      <c r="C150" t="s">
        <v>28</v>
      </c>
      <c r="D150" t="s">
        <v>122</v>
      </c>
      <c r="E150" t="s">
        <v>148</v>
      </c>
      <c r="F150" t="s">
        <v>238</v>
      </c>
      <c r="G150" t="s">
        <v>58</v>
      </c>
      <c r="H150">
        <v>11.6</v>
      </c>
      <c r="I150">
        <v>11.9</v>
      </c>
      <c r="J150" t="s">
        <v>33</v>
      </c>
      <c r="K150" t="s">
        <v>531</v>
      </c>
      <c r="L150" t="s">
        <v>48</v>
      </c>
      <c r="M150" t="s">
        <v>532</v>
      </c>
      <c r="N150" t="s">
        <v>100</v>
      </c>
      <c r="O150">
        <v>145</v>
      </c>
      <c r="Q150">
        <v>0</v>
      </c>
      <c r="R150">
        <v>0</v>
      </c>
      <c r="T150" t="s">
        <v>62</v>
      </c>
      <c r="U150" t="s">
        <v>39</v>
      </c>
      <c r="V150" t="s">
        <v>52</v>
      </c>
      <c r="W150" t="s">
        <v>52</v>
      </c>
      <c r="X150">
        <v>2022</v>
      </c>
      <c r="Y150" t="s">
        <v>74</v>
      </c>
      <c r="Z150" t="s">
        <v>54</v>
      </c>
    </row>
    <row r="151" spans="1:26">
      <c r="A151" t="s">
        <v>533</v>
      </c>
      <c r="B151" t="s">
        <v>93</v>
      </c>
      <c r="C151" t="s">
        <v>44</v>
      </c>
      <c r="D151" t="s">
        <v>85</v>
      </c>
      <c r="E151" t="s">
        <v>86</v>
      </c>
      <c r="F151" t="s">
        <v>95</v>
      </c>
      <c r="G151" t="s">
        <v>58</v>
      </c>
      <c r="H151">
        <v>12</v>
      </c>
      <c r="I151">
        <v>17.2</v>
      </c>
      <c r="J151" t="s">
        <v>96</v>
      </c>
      <c r="K151" t="s">
        <v>534</v>
      </c>
      <c r="L151" t="s">
        <v>98</v>
      </c>
      <c r="M151" t="s">
        <v>535</v>
      </c>
      <c r="N151" t="s">
        <v>171</v>
      </c>
      <c r="O151">
        <v>39</v>
      </c>
      <c r="Q151">
        <v>0</v>
      </c>
      <c r="R151">
        <v>0</v>
      </c>
      <c r="T151" t="s">
        <v>81</v>
      </c>
      <c r="U151" t="s">
        <v>39</v>
      </c>
      <c r="V151" t="s">
        <v>52</v>
      </c>
      <c r="W151" t="s">
        <v>52</v>
      </c>
      <c r="X151">
        <v>2024</v>
      </c>
      <c r="Y151" t="s">
        <v>91</v>
      </c>
      <c r="Z151" t="s">
        <v>64</v>
      </c>
    </row>
    <row r="152" spans="1:26">
      <c r="A152" t="s">
        <v>536</v>
      </c>
      <c r="B152" t="s">
        <v>66</v>
      </c>
      <c r="C152" t="s">
        <v>121</v>
      </c>
      <c r="D152" t="s">
        <v>77</v>
      </c>
      <c r="E152" t="s">
        <v>363</v>
      </c>
      <c r="F152" t="s">
        <v>46</v>
      </c>
      <c r="G152" t="s">
        <v>58</v>
      </c>
      <c r="H152">
        <v>5.8</v>
      </c>
      <c r="I152">
        <v>15.6</v>
      </c>
      <c r="J152" t="s">
        <v>33</v>
      </c>
      <c r="K152" t="s">
        <v>537</v>
      </c>
      <c r="L152" t="s">
        <v>35</v>
      </c>
      <c r="M152" t="s">
        <v>127</v>
      </c>
      <c r="N152" t="s">
        <v>171</v>
      </c>
      <c r="O152">
        <v>124</v>
      </c>
      <c r="Q152">
        <v>0</v>
      </c>
      <c r="R152">
        <v>0</v>
      </c>
      <c r="T152" t="s">
        <v>38</v>
      </c>
      <c r="U152" t="s">
        <v>39</v>
      </c>
      <c r="V152" t="s">
        <v>52</v>
      </c>
      <c r="W152" t="s">
        <v>39</v>
      </c>
      <c r="X152">
        <v>2024</v>
      </c>
      <c r="Y152" t="s">
        <v>63</v>
      </c>
      <c r="Z152" t="s">
        <v>64</v>
      </c>
    </row>
    <row r="153" spans="1:26">
      <c r="A153" t="s">
        <v>538</v>
      </c>
      <c r="B153" t="s">
        <v>108</v>
      </c>
      <c r="C153" t="s">
        <v>164</v>
      </c>
      <c r="D153" t="s">
        <v>77</v>
      </c>
      <c r="E153" t="s">
        <v>363</v>
      </c>
      <c r="F153" t="s">
        <v>68</v>
      </c>
      <c r="G153" t="s">
        <v>32</v>
      </c>
      <c r="H153">
        <v>5.2</v>
      </c>
      <c r="I153">
        <v>16.399999999999999</v>
      </c>
      <c r="J153" t="s">
        <v>144</v>
      </c>
      <c r="K153" t="s">
        <v>539</v>
      </c>
      <c r="L153" t="s">
        <v>35</v>
      </c>
      <c r="M153" t="s">
        <v>127</v>
      </c>
      <c r="N153" t="s">
        <v>71</v>
      </c>
      <c r="O153">
        <v>45</v>
      </c>
      <c r="P153" t="s">
        <v>105</v>
      </c>
      <c r="Q153">
        <v>5711</v>
      </c>
      <c r="R153">
        <v>1000</v>
      </c>
      <c r="S153" t="s">
        <v>113</v>
      </c>
      <c r="T153" t="s">
        <v>136</v>
      </c>
      <c r="U153" t="s">
        <v>52</v>
      </c>
      <c r="V153" t="s">
        <v>52</v>
      </c>
      <c r="W153" t="s">
        <v>39</v>
      </c>
      <c r="X153">
        <v>2024</v>
      </c>
      <c r="Y153" t="s">
        <v>128</v>
      </c>
      <c r="Z153" t="s">
        <v>64</v>
      </c>
    </row>
    <row r="154" spans="1:26">
      <c r="A154" t="s">
        <v>540</v>
      </c>
      <c r="B154" t="s">
        <v>116</v>
      </c>
      <c r="C154" t="s">
        <v>173</v>
      </c>
      <c r="D154" t="s">
        <v>77</v>
      </c>
      <c r="E154" t="s">
        <v>363</v>
      </c>
      <c r="F154" t="s">
        <v>149</v>
      </c>
      <c r="G154" t="s">
        <v>32</v>
      </c>
      <c r="H154">
        <v>4.5</v>
      </c>
      <c r="I154">
        <v>7.3</v>
      </c>
      <c r="J154" t="s">
        <v>20</v>
      </c>
      <c r="K154" t="s">
        <v>403</v>
      </c>
      <c r="L154" t="s">
        <v>126</v>
      </c>
      <c r="M154" t="s">
        <v>541</v>
      </c>
      <c r="N154" t="s">
        <v>71</v>
      </c>
      <c r="O154">
        <v>17</v>
      </c>
      <c r="P154" t="s">
        <v>105</v>
      </c>
      <c r="Q154">
        <v>7398</v>
      </c>
      <c r="R154">
        <v>0</v>
      </c>
      <c r="S154" t="s">
        <v>90</v>
      </c>
      <c r="T154" t="s">
        <v>62</v>
      </c>
      <c r="U154" t="s">
        <v>39</v>
      </c>
      <c r="V154" t="s">
        <v>52</v>
      </c>
      <c r="W154" t="s">
        <v>52</v>
      </c>
      <c r="X154">
        <v>2023</v>
      </c>
      <c r="Y154" t="s">
        <v>40</v>
      </c>
      <c r="Z154" t="s">
        <v>41</v>
      </c>
    </row>
    <row r="155" spans="1:26">
      <c r="A155" t="s">
        <v>542</v>
      </c>
      <c r="B155" t="s">
        <v>43</v>
      </c>
      <c r="C155" t="s">
        <v>67</v>
      </c>
      <c r="D155" t="s">
        <v>77</v>
      </c>
      <c r="E155" t="s">
        <v>216</v>
      </c>
      <c r="F155" t="s">
        <v>68</v>
      </c>
      <c r="G155" t="s">
        <v>32</v>
      </c>
      <c r="H155">
        <v>1.5</v>
      </c>
      <c r="I155">
        <v>11</v>
      </c>
      <c r="J155" t="s">
        <v>144</v>
      </c>
      <c r="K155" t="s">
        <v>543</v>
      </c>
      <c r="L155" t="s">
        <v>140</v>
      </c>
      <c r="M155" t="s">
        <v>544</v>
      </c>
      <c r="N155" t="s">
        <v>71</v>
      </c>
      <c r="O155">
        <v>158</v>
      </c>
      <c r="P155" t="s">
        <v>89</v>
      </c>
      <c r="Q155">
        <v>4097</v>
      </c>
      <c r="R155">
        <v>0</v>
      </c>
      <c r="S155" t="s">
        <v>90</v>
      </c>
      <c r="T155" t="s">
        <v>136</v>
      </c>
      <c r="U155" t="s">
        <v>39</v>
      </c>
      <c r="V155" t="s">
        <v>52</v>
      </c>
      <c r="W155" t="s">
        <v>52</v>
      </c>
      <c r="X155">
        <v>2023</v>
      </c>
      <c r="Y155" t="s">
        <v>114</v>
      </c>
      <c r="Z155" t="s">
        <v>41</v>
      </c>
    </row>
    <row r="156" spans="1:26">
      <c r="A156" t="s">
        <v>545</v>
      </c>
      <c r="B156" t="s">
        <v>93</v>
      </c>
      <c r="C156" t="s">
        <v>76</v>
      </c>
      <c r="D156" t="s">
        <v>29</v>
      </c>
      <c r="E156" t="s">
        <v>45</v>
      </c>
      <c r="F156" t="s">
        <v>149</v>
      </c>
      <c r="G156" t="s">
        <v>58</v>
      </c>
      <c r="H156">
        <v>10.1</v>
      </c>
      <c r="I156">
        <v>21.9</v>
      </c>
      <c r="J156" t="s">
        <v>33</v>
      </c>
      <c r="K156" t="s">
        <v>546</v>
      </c>
      <c r="L156" t="s">
        <v>126</v>
      </c>
      <c r="M156" t="s">
        <v>547</v>
      </c>
      <c r="N156" t="s">
        <v>71</v>
      </c>
      <c r="O156">
        <v>74</v>
      </c>
      <c r="P156" t="s">
        <v>105</v>
      </c>
      <c r="Q156">
        <v>2266</v>
      </c>
      <c r="R156">
        <v>0</v>
      </c>
      <c r="S156" t="s">
        <v>90</v>
      </c>
      <c r="T156" t="s">
        <v>136</v>
      </c>
      <c r="U156" t="s">
        <v>52</v>
      </c>
      <c r="V156" t="s">
        <v>52</v>
      </c>
      <c r="W156" t="s">
        <v>52</v>
      </c>
      <c r="X156">
        <v>2024</v>
      </c>
      <c r="Y156" t="s">
        <v>114</v>
      </c>
      <c r="Z156" t="s">
        <v>41</v>
      </c>
    </row>
    <row r="157" spans="1:26">
      <c r="A157" t="s">
        <v>548</v>
      </c>
      <c r="B157" t="s">
        <v>93</v>
      </c>
      <c r="C157" t="s">
        <v>164</v>
      </c>
      <c r="D157" t="s">
        <v>77</v>
      </c>
      <c r="E157" t="s">
        <v>216</v>
      </c>
      <c r="F157" t="s">
        <v>149</v>
      </c>
      <c r="G157" t="s">
        <v>32</v>
      </c>
      <c r="H157">
        <v>0.5</v>
      </c>
      <c r="I157">
        <v>8.3000000000000007</v>
      </c>
      <c r="J157" t="s">
        <v>20</v>
      </c>
      <c r="K157" t="s">
        <v>549</v>
      </c>
      <c r="L157" t="s">
        <v>140</v>
      </c>
      <c r="M157" t="s">
        <v>184</v>
      </c>
      <c r="N157" t="s">
        <v>71</v>
      </c>
      <c r="O157">
        <v>145</v>
      </c>
      <c r="P157" t="s">
        <v>230</v>
      </c>
      <c r="Q157">
        <v>4806</v>
      </c>
      <c r="R157">
        <v>0</v>
      </c>
      <c r="S157" t="s">
        <v>73</v>
      </c>
      <c r="T157" t="s">
        <v>51</v>
      </c>
      <c r="U157" t="s">
        <v>39</v>
      </c>
      <c r="V157" t="s">
        <v>52</v>
      </c>
      <c r="W157" t="s">
        <v>39</v>
      </c>
      <c r="X157">
        <v>2022</v>
      </c>
      <c r="Y157" t="s">
        <v>153</v>
      </c>
      <c r="Z157" t="s">
        <v>54</v>
      </c>
    </row>
    <row r="158" spans="1:26">
      <c r="A158" t="s">
        <v>550</v>
      </c>
      <c r="B158" t="s">
        <v>93</v>
      </c>
      <c r="C158" t="s">
        <v>67</v>
      </c>
      <c r="D158" t="s">
        <v>77</v>
      </c>
      <c r="E158" t="s">
        <v>363</v>
      </c>
      <c r="F158" t="s">
        <v>95</v>
      </c>
      <c r="G158" t="s">
        <v>32</v>
      </c>
      <c r="H158">
        <v>10.5</v>
      </c>
      <c r="I158">
        <v>1.6</v>
      </c>
      <c r="J158" t="s">
        <v>96</v>
      </c>
      <c r="K158" t="s">
        <v>196</v>
      </c>
      <c r="L158" t="s">
        <v>35</v>
      </c>
      <c r="M158" t="s">
        <v>551</v>
      </c>
      <c r="N158" t="s">
        <v>37</v>
      </c>
      <c r="O158">
        <v>27</v>
      </c>
      <c r="Q158">
        <v>0</v>
      </c>
      <c r="R158">
        <v>500</v>
      </c>
      <c r="T158" t="s">
        <v>81</v>
      </c>
      <c r="U158" t="s">
        <v>39</v>
      </c>
      <c r="V158" t="s">
        <v>52</v>
      </c>
      <c r="W158" t="s">
        <v>52</v>
      </c>
      <c r="X158">
        <v>2024</v>
      </c>
      <c r="Y158" t="s">
        <v>53</v>
      </c>
      <c r="Z158" t="s">
        <v>54</v>
      </c>
    </row>
    <row r="159" spans="1:26">
      <c r="A159" t="s">
        <v>552</v>
      </c>
      <c r="B159" t="s">
        <v>93</v>
      </c>
      <c r="C159" t="s">
        <v>173</v>
      </c>
      <c r="D159" t="s">
        <v>77</v>
      </c>
      <c r="E159" t="s">
        <v>94</v>
      </c>
      <c r="F159" t="s">
        <v>31</v>
      </c>
      <c r="G159" t="s">
        <v>58</v>
      </c>
      <c r="H159">
        <v>2.6</v>
      </c>
      <c r="I159">
        <v>2.5</v>
      </c>
      <c r="J159" t="s">
        <v>33</v>
      </c>
      <c r="K159" t="s">
        <v>553</v>
      </c>
      <c r="L159" t="s">
        <v>98</v>
      </c>
      <c r="M159" t="s">
        <v>518</v>
      </c>
      <c r="N159" t="s">
        <v>71</v>
      </c>
      <c r="O159">
        <v>158</v>
      </c>
      <c r="P159" t="s">
        <v>72</v>
      </c>
      <c r="Q159">
        <v>4692</v>
      </c>
      <c r="R159">
        <v>5000</v>
      </c>
      <c r="S159" t="s">
        <v>152</v>
      </c>
      <c r="T159" t="s">
        <v>62</v>
      </c>
      <c r="U159" t="s">
        <v>39</v>
      </c>
      <c r="V159" t="s">
        <v>52</v>
      </c>
      <c r="W159" t="s">
        <v>39</v>
      </c>
      <c r="X159">
        <v>2022</v>
      </c>
      <c r="Y159" t="s">
        <v>63</v>
      </c>
      <c r="Z159" t="s">
        <v>64</v>
      </c>
    </row>
    <row r="160" spans="1:26">
      <c r="A160" t="s">
        <v>554</v>
      </c>
      <c r="B160" t="s">
        <v>43</v>
      </c>
      <c r="C160" t="s">
        <v>44</v>
      </c>
      <c r="D160" t="s">
        <v>77</v>
      </c>
      <c r="E160" t="s">
        <v>94</v>
      </c>
      <c r="F160" t="s">
        <v>149</v>
      </c>
      <c r="G160" t="s">
        <v>58</v>
      </c>
      <c r="H160">
        <v>1.8</v>
      </c>
      <c r="I160">
        <v>11.6</v>
      </c>
      <c r="J160" t="s">
        <v>20</v>
      </c>
      <c r="K160" t="s">
        <v>555</v>
      </c>
      <c r="L160" t="s">
        <v>98</v>
      </c>
      <c r="M160" t="s">
        <v>556</v>
      </c>
      <c r="N160" t="s">
        <v>71</v>
      </c>
      <c r="O160">
        <v>71</v>
      </c>
      <c r="P160" t="s">
        <v>72</v>
      </c>
      <c r="Q160">
        <v>4087</v>
      </c>
      <c r="R160">
        <v>0</v>
      </c>
      <c r="S160" t="s">
        <v>90</v>
      </c>
      <c r="T160" t="s">
        <v>136</v>
      </c>
      <c r="U160" t="s">
        <v>52</v>
      </c>
      <c r="V160" t="s">
        <v>39</v>
      </c>
      <c r="W160" t="s">
        <v>39</v>
      </c>
      <c r="X160">
        <v>2022</v>
      </c>
      <c r="Y160" t="s">
        <v>53</v>
      </c>
      <c r="Z160" t="s">
        <v>54</v>
      </c>
    </row>
    <row r="161" spans="1:26">
      <c r="A161" t="s">
        <v>557</v>
      </c>
      <c r="B161" t="s">
        <v>27</v>
      </c>
      <c r="C161" t="s">
        <v>76</v>
      </c>
      <c r="D161" t="s">
        <v>85</v>
      </c>
      <c r="E161" t="s">
        <v>138</v>
      </c>
      <c r="F161" t="s">
        <v>95</v>
      </c>
      <c r="G161" t="s">
        <v>32</v>
      </c>
      <c r="H161">
        <v>5.5</v>
      </c>
      <c r="I161">
        <v>17.3</v>
      </c>
      <c r="J161" t="s">
        <v>156</v>
      </c>
      <c r="K161" t="s">
        <v>213</v>
      </c>
      <c r="L161" t="s">
        <v>98</v>
      </c>
      <c r="M161" t="s">
        <v>558</v>
      </c>
      <c r="N161" t="s">
        <v>171</v>
      </c>
      <c r="O161">
        <v>178</v>
      </c>
      <c r="Q161">
        <v>0</v>
      </c>
      <c r="R161">
        <v>0</v>
      </c>
      <c r="T161" t="s">
        <v>51</v>
      </c>
      <c r="U161" t="s">
        <v>39</v>
      </c>
      <c r="V161" t="s">
        <v>52</v>
      </c>
      <c r="W161" t="s">
        <v>52</v>
      </c>
      <c r="X161">
        <v>2023</v>
      </c>
      <c r="Y161" t="s">
        <v>40</v>
      </c>
      <c r="Z161" t="s">
        <v>41</v>
      </c>
    </row>
    <row r="162" spans="1:26">
      <c r="A162" t="s">
        <v>559</v>
      </c>
      <c r="B162" t="s">
        <v>27</v>
      </c>
      <c r="C162" t="s">
        <v>164</v>
      </c>
      <c r="D162" t="s">
        <v>77</v>
      </c>
      <c r="E162" t="s">
        <v>94</v>
      </c>
      <c r="F162" t="s">
        <v>31</v>
      </c>
      <c r="G162" t="s">
        <v>32</v>
      </c>
      <c r="H162">
        <v>3.9</v>
      </c>
      <c r="I162">
        <v>10.3</v>
      </c>
      <c r="J162" t="s">
        <v>96</v>
      </c>
      <c r="K162" t="s">
        <v>560</v>
      </c>
      <c r="L162" t="s">
        <v>60</v>
      </c>
      <c r="M162" t="s">
        <v>561</v>
      </c>
      <c r="N162" t="s">
        <v>61</v>
      </c>
      <c r="O162">
        <v>127</v>
      </c>
      <c r="Q162">
        <v>0</v>
      </c>
      <c r="R162">
        <v>0</v>
      </c>
      <c r="T162" t="s">
        <v>38</v>
      </c>
      <c r="U162" t="s">
        <v>39</v>
      </c>
      <c r="V162" t="s">
        <v>39</v>
      </c>
      <c r="W162" t="s">
        <v>52</v>
      </c>
      <c r="X162">
        <v>2023</v>
      </c>
      <c r="Y162" t="s">
        <v>312</v>
      </c>
      <c r="Z162" t="s">
        <v>83</v>
      </c>
    </row>
    <row r="163" spans="1:26">
      <c r="A163" t="s">
        <v>562</v>
      </c>
      <c r="B163" t="s">
        <v>66</v>
      </c>
      <c r="C163" t="s">
        <v>164</v>
      </c>
      <c r="D163" t="s">
        <v>77</v>
      </c>
      <c r="E163" t="s">
        <v>143</v>
      </c>
      <c r="F163" t="s">
        <v>160</v>
      </c>
      <c r="G163" t="s">
        <v>58</v>
      </c>
      <c r="H163">
        <v>11.9</v>
      </c>
      <c r="I163">
        <v>15.3</v>
      </c>
      <c r="J163" t="s">
        <v>96</v>
      </c>
      <c r="K163" t="s">
        <v>157</v>
      </c>
      <c r="L163" t="s">
        <v>60</v>
      </c>
      <c r="M163" t="s">
        <v>158</v>
      </c>
      <c r="N163" t="s">
        <v>50</v>
      </c>
      <c r="O163">
        <v>113</v>
      </c>
      <c r="Q163">
        <v>0</v>
      </c>
      <c r="R163">
        <v>0</v>
      </c>
      <c r="T163" t="s">
        <v>38</v>
      </c>
      <c r="U163" t="s">
        <v>39</v>
      </c>
      <c r="V163" t="s">
        <v>52</v>
      </c>
      <c r="W163" t="s">
        <v>39</v>
      </c>
      <c r="X163">
        <v>2022</v>
      </c>
      <c r="Y163" t="s">
        <v>128</v>
      </c>
      <c r="Z163" t="s">
        <v>64</v>
      </c>
    </row>
    <row r="164" spans="1:26">
      <c r="A164" t="s">
        <v>563</v>
      </c>
      <c r="B164" t="s">
        <v>108</v>
      </c>
      <c r="C164" t="s">
        <v>28</v>
      </c>
      <c r="D164" t="s">
        <v>122</v>
      </c>
      <c r="E164" t="s">
        <v>148</v>
      </c>
      <c r="F164" t="s">
        <v>95</v>
      </c>
      <c r="G164" t="s">
        <v>58</v>
      </c>
      <c r="H164">
        <v>8.6999999999999993</v>
      </c>
      <c r="I164">
        <v>26.6</v>
      </c>
      <c r="J164" t="s">
        <v>33</v>
      </c>
      <c r="K164" t="s">
        <v>564</v>
      </c>
      <c r="L164" t="s">
        <v>126</v>
      </c>
      <c r="M164" t="s">
        <v>565</v>
      </c>
      <c r="N164" t="s">
        <v>61</v>
      </c>
      <c r="O164">
        <v>102</v>
      </c>
      <c r="Q164">
        <v>0</v>
      </c>
      <c r="R164">
        <v>0</v>
      </c>
      <c r="T164" t="s">
        <v>38</v>
      </c>
      <c r="U164" t="s">
        <v>39</v>
      </c>
      <c r="V164" t="s">
        <v>52</v>
      </c>
      <c r="W164" t="s">
        <v>52</v>
      </c>
      <c r="X164">
        <v>2022</v>
      </c>
      <c r="Y164" t="s">
        <v>74</v>
      </c>
      <c r="Z164" t="s">
        <v>54</v>
      </c>
    </row>
    <row r="165" spans="1:26">
      <c r="A165" t="s">
        <v>566</v>
      </c>
      <c r="B165" t="s">
        <v>108</v>
      </c>
      <c r="C165" t="s">
        <v>164</v>
      </c>
      <c r="D165" t="s">
        <v>29</v>
      </c>
      <c r="E165" t="s">
        <v>94</v>
      </c>
      <c r="F165" t="s">
        <v>149</v>
      </c>
      <c r="G165" t="s">
        <v>58</v>
      </c>
      <c r="H165">
        <v>9.8000000000000007</v>
      </c>
      <c r="I165">
        <v>34.6</v>
      </c>
      <c r="J165" t="s">
        <v>33</v>
      </c>
      <c r="K165" t="s">
        <v>370</v>
      </c>
      <c r="L165" t="s">
        <v>126</v>
      </c>
      <c r="M165" t="s">
        <v>567</v>
      </c>
      <c r="N165" t="s">
        <v>71</v>
      </c>
      <c r="O165">
        <v>3</v>
      </c>
      <c r="P165" t="s">
        <v>230</v>
      </c>
      <c r="Q165">
        <v>4349</v>
      </c>
      <c r="R165">
        <v>0</v>
      </c>
      <c r="S165" t="s">
        <v>73</v>
      </c>
      <c r="T165" t="s">
        <v>38</v>
      </c>
      <c r="U165" t="s">
        <v>39</v>
      </c>
      <c r="V165" t="s">
        <v>52</v>
      </c>
      <c r="W165" t="s">
        <v>52</v>
      </c>
      <c r="X165">
        <v>2024</v>
      </c>
      <c r="Y165" t="s">
        <v>153</v>
      </c>
      <c r="Z165" t="s">
        <v>54</v>
      </c>
    </row>
    <row r="166" spans="1:26">
      <c r="A166" t="s">
        <v>568</v>
      </c>
      <c r="B166" t="s">
        <v>43</v>
      </c>
      <c r="C166" t="s">
        <v>121</v>
      </c>
      <c r="D166" t="s">
        <v>77</v>
      </c>
      <c r="E166" t="s">
        <v>94</v>
      </c>
      <c r="F166" t="s">
        <v>46</v>
      </c>
      <c r="G166" t="s">
        <v>58</v>
      </c>
      <c r="H166">
        <v>6.8</v>
      </c>
      <c r="I166">
        <v>21.6</v>
      </c>
      <c r="J166" t="s">
        <v>156</v>
      </c>
      <c r="K166" t="s">
        <v>569</v>
      </c>
      <c r="L166" t="s">
        <v>98</v>
      </c>
      <c r="M166" t="s">
        <v>570</v>
      </c>
      <c r="N166" t="s">
        <v>71</v>
      </c>
      <c r="O166">
        <v>165</v>
      </c>
      <c r="P166" t="s">
        <v>89</v>
      </c>
      <c r="Q166">
        <v>3560</v>
      </c>
      <c r="R166">
        <v>1000</v>
      </c>
      <c r="S166" t="s">
        <v>90</v>
      </c>
      <c r="T166" t="s">
        <v>62</v>
      </c>
      <c r="U166" t="s">
        <v>52</v>
      </c>
      <c r="V166" t="s">
        <v>39</v>
      </c>
      <c r="W166" t="s">
        <v>39</v>
      </c>
      <c r="X166">
        <v>2022</v>
      </c>
      <c r="Y166" t="s">
        <v>114</v>
      </c>
      <c r="Z166" t="s">
        <v>41</v>
      </c>
    </row>
    <row r="167" spans="1:26">
      <c r="A167" t="s">
        <v>571</v>
      </c>
      <c r="B167" t="s">
        <v>43</v>
      </c>
      <c r="C167" t="s">
        <v>102</v>
      </c>
      <c r="D167" t="s">
        <v>29</v>
      </c>
      <c r="E167" t="s">
        <v>45</v>
      </c>
      <c r="F167" t="s">
        <v>160</v>
      </c>
      <c r="G167" t="s">
        <v>58</v>
      </c>
      <c r="H167">
        <v>4.3</v>
      </c>
      <c r="I167">
        <v>15.3</v>
      </c>
      <c r="J167" t="s">
        <v>33</v>
      </c>
      <c r="K167" t="s">
        <v>572</v>
      </c>
      <c r="L167" t="s">
        <v>140</v>
      </c>
      <c r="M167" t="s">
        <v>573</v>
      </c>
      <c r="N167" t="s">
        <v>100</v>
      </c>
      <c r="O167">
        <v>151</v>
      </c>
      <c r="Q167">
        <v>0</v>
      </c>
      <c r="R167">
        <v>0</v>
      </c>
      <c r="T167" t="s">
        <v>62</v>
      </c>
      <c r="U167" t="s">
        <v>39</v>
      </c>
      <c r="V167" t="s">
        <v>52</v>
      </c>
      <c r="W167" t="s">
        <v>39</v>
      </c>
      <c r="X167">
        <v>2022</v>
      </c>
      <c r="Y167" t="s">
        <v>114</v>
      </c>
      <c r="Z167" t="s">
        <v>41</v>
      </c>
    </row>
    <row r="168" spans="1:26">
      <c r="A168" t="s">
        <v>574</v>
      </c>
      <c r="B168" t="s">
        <v>43</v>
      </c>
      <c r="C168" t="s">
        <v>121</v>
      </c>
      <c r="D168" t="s">
        <v>29</v>
      </c>
      <c r="E168" t="s">
        <v>45</v>
      </c>
      <c r="F168" t="s">
        <v>57</v>
      </c>
      <c r="G168" t="s">
        <v>58</v>
      </c>
      <c r="H168">
        <v>3.6</v>
      </c>
      <c r="I168">
        <v>2.4</v>
      </c>
      <c r="J168" t="s">
        <v>33</v>
      </c>
      <c r="K168" t="s">
        <v>575</v>
      </c>
      <c r="L168" t="s">
        <v>126</v>
      </c>
      <c r="M168" t="s">
        <v>127</v>
      </c>
      <c r="N168" t="s">
        <v>37</v>
      </c>
      <c r="O168">
        <v>156</v>
      </c>
      <c r="Q168">
        <v>0</v>
      </c>
      <c r="R168">
        <v>1000</v>
      </c>
      <c r="T168" t="s">
        <v>62</v>
      </c>
      <c r="U168" t="s">
        <v>39</v>
      </c>
      <c r="V168" t="s">
        <v>52</v>
      </c>
      <c r="W168" t="s">
        <v>39</v>
      </c>
      <c r="X168">
        <v>2024</v>
      </c>
      <c r="Y168" t="s">
        <v>128</v>
      </c>
      <c r="Z168" t="s">
        <v>64</v>
      </c>
    </row>
    <row r="169" spans="1:26">
      <c r="A169" t="s">
        <v>576</v>
      </c>
      <c r="B169" t="s">
        <v>108</v>
      </c>
      <c r="C169" t="s">
        <v>28</v>
      </c>
      <c r="D169" t="s">
        <v>122</v>
      </c>
      <c r="E169" t="s">
        <v>155</v>
      </c>
      <c r="F169" t="s">
        <v>238</v>
      </c>
      <c r="G169" t="s">
        <v>58</v>
      </c>
      <c r="H169">
        <v>4.4000000000000004</v>
      </c>
      <c r="I169">
        <v>24.1</v>
      </c>
      <c r="J169" t="s">
        <v>33</v>
      </c>
      <c r="K169" t="s">
        <v>577</v>
      </c>
      <c r="L169" t="s">
        <v>60</v>
      </c>
      <c r="M169" t="s">
        <v>578</v>
      </c>
      <c r="N169" t="s">
        <v>100</v>
      </c>
      <c r="O169">
        <v>100</v>
      </c>
      <c r="Q169">
        <v>0</v>
      </c>
      <c r="R169">
        <v>0</v>
      </c>
      <c r="T169" t="s">
        <v>81</v>
      </c>
      <c r="U169" t="s">
        <v>39</v>
      </c>
      <c r="V169" t="s">
        <v>39</v>
      </c>
      <c r="W169" t="s">
        <v>52</v>
      </c>
      <c r="X169">
        <v>2022</v>
      </c>
      <c r="Y169" t="s">
        <v>114</v>
      </c>
      <c r="Z169" t="s">
        <v>41</v>
      </c>
    </row>
    <row r="170" spans="1:26">
      <c r="A170" t="s">
        <v>579</v>
      </c>
      <c r="B170" t="s">
        <v>27</v>
      </c>
      <c r="C170" t="s">
        <v>164</v>
      </c>
      <c r="D170" t="s">
        <v>29</v>
      </c>
      <c r="E170" t="s">
        <v>56</v>
      </c>
      <c r="F170" t="s">
        <v>160</v>
      </c>
      <c r="G170" t="s">
        <v>58</v>
      </c>
      <c r="H170">
        <v>8.5</v>
      </c>
      <c r="I170">
        <v>3.3</v>
      </c>
      <c r="J170" t="s">
        <v>33</v>
      </c>
      <c r="K170" t="s">
        <v>580</v>
      </c>
      <c r="L170" t="s">
        <v>35</v>
      </c>
      <c r="M170" t="s">
        <v>127</v>
      </c>
      <c r="N170" t="s">
        <v>100</v>
      </c>
      <c r="O170">
        <v>107</v>
      </c>
      <c r="Q170">
        <v>0</v>
      </c>
      <c r="R170">
        <v>0</v>
      </c>
      <c r="T170" t="s">
        <v>62</v>
      </c>
      <c r="U170" t="s">
        <v>39</v>
      </c>
      <c r="V170" t="s">
        <v>39</v>
      </c>
      <c r="W170" t="s">
        <v>52</v>
      </c>
      <c r="X170">
        <v>2024</v>
      </c>
      <c r="Y170" t="s">
        <v>91</v>
      </c>
      <c r="Z170" t="s">
        <v>64</v>
      </c>
    </row>
    <row r="171" spans="1:26">
      <c r="A171" t="s">
        <v>581</v>
      </c>
      <c r="B171" t="s">
        <v>116</v>
      </c>
      <c r="C171" t="s">
        <v>102</v>
      </c>
      <c r="D171" t="s">
        <v>85</v>
      </c>
      <c r="E171" t="s">
        <v>138</v>
      </c>
      <c r="F171" t="s">
        <v>95</v>
      </c>
      <c r="G171" t="s">
        <v>32</v>
      </c>
      <c r="H171">
        <v>8.8000000000000007</v>
      </c>
      <c r="I171">
        <v>29.7</v>
      </c>
      <c r="J171" t="s">
        <v>33</v>
      </c>
      <c r="K171" t="s">
        <v>582</v>
      </c>
      <c r="L171" t="s">
        <v>126</v>
      </c>
      <c r="M171" t="s">
        <v>583</v>
      </c>
      <c r="N171" t="s">
        <v>100</v>
      </c>
      <c r="O171">
        <v>80</v>
      </c>
      <c r="Q171">
        <v>0</v>
      </c>
      <c r="R171">
        <v>0</v>
      </c>
      <c r="T171" t="s">
        <v>62</v>
      </c>
      <c r="U171" t="s">
        <v>39</v>
      </c>
      <c r="V171" t="s">
        <v>52</v>
      </c>
      <c r="W171" t="s">
        <v>52</v>
      </c>
      <c r="X171">
        <v>2022</v>
      </c>
      <c r="Y171" t="s">
        <v>53</v>
      </c>
      <c r="Z171" t="s">
        <v>54</v>
      </c>
    </row>
    <row r="172" spans="1:26">
      <c r="A172" t="s">
        <v>584</v>
      </c>
      <c r="B172" t="s">
        <v>66</v>
      </c>
      <c r="C172" t="s">
        <v>173</v>
      </c>
      <c r="D172" t="s">
        <v>29</v>
      </c>
      <c r="E172" t="s">
        <v>30</v>
      </c>
      <c r="F172" t="s">
        <v>68</v>
      </c>
      <c r="G172" t="s">
        <v>32</v>
      </c>
      <c r="H172">
        <v>11.4</v>
      </c>
      <c r="I172">
        <v>18.5</v>
      </c>
      <c r="J172" t="s">
        <v>33</v>
      </c>
      <c r="K172" t="s">
        <v>338</v>
      </c>
      <c r="L172" t="s">
        <v>98</v>
      </c>
      <c r="M172" t="s">
        <v>585</v>
      </c>
      <c r="N172" t="s">
        <v>71</v>
      </c>
      <c r="O172">
        <v>180</v>
      </c>
      <c r="P172" t="s">
        <v>72</v>
      </c>
      <c r="Q172">
        <v>2171</v>
      </c>
      <c r="R172">
        <v>500</v>
      </c>
      <c r="S172" t="s">
        <v>73</v>
      </c>
      <c r="T172" t="s">
        <v>38</v>
      </c>
      <c r="U172" t="s">
        <v>39</v>
      </c>
      <c r="V172" t="s">
        <v>52</v>
      </c>
      <c r="W172" t="s">
        <v>52</v>
      </c>
      <c r="X172">
        <v>2022</v>
      </c>
      <c r="Y172" t="s">
        <v>91</v>
      </c>
      <c r="Z172" t="s">
        <v>64</v>
      </c>
    </row>
    <row r="173" spans="1:26">
      <c r="A173" t="s">
        <v>586</v>
      </c>
      <c r="B173" t="s">
        <v>27</v>
      </c>
      <c r="C173" t="s">
        <v>164</v>
      </c>
      <c r="D173" t="s">
        <v>29</v>
      </c>
      <c r="E173" t="s">
        <v>30</v>
      </c>
      <c r="F173" t="s">
        <v>46</v>
      </c>
      <c r="G173" t="s">
        <v>58</v>
      </c>
      <c r="H173">
        <v>6.2</v>
      </c>
      <c r="I173">
        <v>2.4</v>
      </c>
      <c r="J173" t="s">
        <v>33</v>
      </c>
      <c r="K173" t="s">
        <v>587</v>
      </c>
      <c r="L173" t="s">
        <v>35</v>
      </c>
      <c r="M173" t="s">
        <v>588</v>
      </c>
      <c r="N173" t="s">
        <v>71</v>
      </c>
      <c r="O173">
        <v>148</v>
      </c>
      <c r="P173" t="s">
        <v>105</v>
      </c>
      <c r="Q173">
        <v>3532</v>
      </c>
      <c r="R173">
        <v>500</v>
      </c>
      <c r="S173" t="s">
        <v>73</v>
      </c>
      <c r="T173" t="s">
        <v>81</v>
      </c>
      <c r="U173" t="s">
        <v>39</v>
      </c>
      <c r="V173" t="s">
        <v>39</v>
      </c>
      <c r="W173" t="s">
        <v>39</v>
      </c>
      <c r="X173">
        <v>2023</v>
      </c>
      <c r="Y173" t="s">
        <v>153</v>
      </c>
      <c r="Z173" t="s">
        <v>54</v>
      </c>
    </row>
    <row r="174" spans="1:26">
      <c r="A174" t="s">
        <v>589</v>
      </c>
      <c r="B174" t="s">
        <v>116</v>
      </c>
      <c r="C174" t="s">
        <v>44</v>
      </c>
      <c r="D174" t="s">
        <v>77</v>
      </c>
      <c r="E174" t="s">
        <v>220</v>
      </c>
      <c r="F174" t="s">
        <v>124</v>
      </c>
      <c r="G174" t="s">
        <v>32</v>
      </c>
      <c r="H174">
        <v>11.1</v>
      </c>
      <c r="I174">
        <v>6.7</v>
      </c>
      <c r="J174" t="s">
        <v>33</v>
      </c>
      <c r="K174" t="s">
        <v>590</v>
      </c>
      <c r="L174" t="s">
        <v>126</v>
      </c>
      <c r="M174" t="s">
        <v>575</v>
      </c>
      <c r="N174" t="s">
        <v>100</v>
      </c>
      <c r="O174">
        <v>94</v>
      </c>
      <c r="Q174">
        <v>0</v>
      </c>
      <c r="R174">
        <v>0</v>
      </c>
      <c r="T174" t="s">
        <v>51</v>
      </c>
      <c r="U174" t="s">
        <v>39</v>
      </c>
      <c r="V174" t="s">
        <v>39</v>
      </c>
      <c r="W174" t="s">
        <v>52</v>
      </c>
      <c r="X174">
        <v>2024</v>
      </c>
      <c r="Y174" t="s">
        <v>211</v>
      </c>
      <c r="Z174" t="s">
        <v>41</v>
      </c>
    </row>
    <row r="175" spans="1:26">
      <c r="A175" t="s">
        <v>591</v>
      </c>
      <c r="B175" t="s">
        <v>108</v>
      </c>
      <c r="C175" t="s">
        <v>173</v>
      </c>
      <c r="D175" t="s">
        <v>29</v>
      </c>
      <c r="E175" t="s">
        <v>244</v>
      </c>
      <c r="F175" t="s">
        <v>160</v>
      </c>
      <c r="G175" t="s">
        <v>32</v>
      </c>
      <c r="H175">
        <v>11.5</v>
      </c>
      <c r="I175">
        <v>2.9</v>
      </c>
      <c r="J175" t="s">
        <v>33</v>
      </c>
      <c r="K175" t="s">
        <v>592</v>
      </c>
      <c r="L175" t="s">
        <v>140</v>
      </c>
      <c r="M175" t="s">
        <v>593</v>
      </c>
      <c r="N175" t="s">
        <v>37</v>
      </c>
      <c r="O175">
        <v>46</v>
      </c>
      <c r="Q175">
        <v>0</v>
      </c>
      <c r="R175">
        <v>0</v>
      </c>
      <c r="T175" t="s">
        <v>136</v>
      </c>
      <c r="U175" t="s">
        <v>39</v>
      </c>
      <c r="V175" t="s">
        <v>52</v>
      </c>
      <c r="W175" t="s">
        <v>52</v>
      </c>
      <c r="X175">
        <v>2022</v>
      </c>
      <c r="Y175" t="s">
        <v>74</v>
      </c>
      <c r="Z175" t="s">
        <v>54</v>
      </c>
    </row>
    <row r="176" spans="1:26">
      <c r="A176" t="s">
        <v>594</v>
      </c>
      <c r="B176" t="s">
        <v>43</v>
      </c>
      <c r="C176" t="s">
        <v>102</v>
      </c>
      <c r="D176" t="s">
        <v>29</v>
      </c>
      <c r="E176" t="s">
        <v>244</v>
      </c>
      <c r="F176" t="s">
        <v>68</v>
      </c>
      <c r="G176" t="s">
        <v>58</v>
      </c>
      <c r="H176">
        <v>4.5</v>
      </c>
      <c r="I176">
        <v>34</v>
      </c>
      <c r="J176" t="s">
        <v>144</v>
      </c>
      <c r="K176" t="s">
        <v>595</v>
      </c>
      <c r="L176" t="s">
        <v>35</v>
      </c>
      <c r="M176" t="s">
        <v>369</v>
      </c>
      <c r="N176" t="s">
        <v>37</v>
      </c>
      <c r="O176">
        <v>160</v>
      </c>
      <c r="Q176">
        <v>0</v>
      </c>
      <c r="R176">
        <v>1000</v>
      </c>
      <c r="T176" t="s">
        <v>81</v>
      </c>
      <c r="U176" t="s">
        <v>39</v>
      </c>
      <c r="V176" t="s">
        <v>52</v>
      </c>
      <c r="W176" t="s">
        <v>39</v>
      </c>
      <c r="X176">
        <v>2023</v>
      </c>
      <c r="Y176" t="s">
        <v>114</v>
      </c>
      <c r="Z176" t="s">
        <v>41</v>
      </c>
    </row>
    <row r="177" spans="1:26">
      <c r="A177" t="s">
        <v>596</v>
      </c>
      <c r="B177" t="s">
        <v>116</v>
      </c>
      <c r="C177" t="s">
        <v>164</v>
      </c>
      <c r="D177" t="s">
        <v>122</v>
      </c>
      <c r="E177" t="s">
        <v>123</v>
      </c>
      <c r="F177" t="s">
        <v>160</v>
      </c>
      <c r="G177" t="s">
        <v>58</v>
      </c>
      <c r="H177">
        <v>11.8</v>
      </c>
      <c r="I177">
        <v>15</v>
      </c>
      <c r="J177" t="s">
        <v>33</v>
      </c>
      <c r="K177" t="s">
        <v>597</v>
      </c>
      <c r="L177" t="s">
        <v>48</v>
      </c>
      <c r="M177" t="s">
        <v>598</v>
      </c>
      <c r="N177" t="s">
        <v>71</v>
      </c>
      <c r="O177">
        <v>79</v>
      </c>
      <c r="P177" t="s">
        <v>105</v>
      </c>
      <c r="Q177">
        <v>1340</v>
      </c>
      <c r="R177">
        <v>1000</v>
      </c>
      <c r="S177" t="s">
        <v>90</v>
      </c>
      <c r="T177" t="s">
        <v>51</v>
      </c>
      <c r="U177" t="s">
        <v>52</v>
      </c>
      <c r="V177" t="s">
        <v>52</v>
      </c>
      <c r="W177" t="s">
        <v>39</v>
      </c>
      <c r="X177">
        <v>2024</v>
      </c>
      <c r="Y177" t="s">
        <v>82</v>
      </c>
      <c r="Z177" t="s">
        <v>83</v>
      </c>
    </row>
    <row r="178" spans="1:26">
      <c r="A178" t="s">
        <v>599</v>
      </c>
      <c r="B178" t="s">
        <v>108</v>
      </c>
      <c r="C178" t="s">
        <v>164</v>
      </c>
      <c r="D178" t="s">
        <v>77</v>
      </c>
      <c r="E178" t="s">
        <v>143</v>
      </c>
      <c r="F178" t="s">
        <v>124</v>
      </c>
      <c r="G178" t="s">
        <v>32</v>
      </c>
      <c r="H178">
        <v>1</v>
      </c>
      <c r="I178">
        <v>20.100000000000001</v>
      </c>
      <c r="J178" t="s">
        <v>33</v>
      </c>
      <c r="K178" t="s">
        <v>426</v>
      </c>
      <c r="L178" t="s">
        <v>60</v>
      </c>
      <c r="M178" t="s">
        <v>600</v>
      </c>
      <c r="N178" t="s">
        <v>100</v>
      </c>
      <c r="O178">
        <v>35</v>
      </c>
      <c r="Q178">
        <v>0</v>
      </c>
      <c r="R178">
        <v>0</v>
      </c>
      <c r="T178" t="s">
        <v>136</v>
      </c>
      <c r="U178" t="s">
        <v>39</v>
      </c>
      <c r="V178" t="s">
        <v>52</v>
      </c>
      <c r="W178" t="s">
        <v>52</v>
      </c>
      <c r="X178">
        <v>2024</v>
      </c>
      <c r="Y178" t="s">
        <v>128</v>
      </c>
      <c r="Z178" t="s">
        <v>64</v>
      </c>
    </row>
    <row r="179" spans="1:26">
      <c r="A179" t="s">
        <v>601</v>
      </c>
      <c r="B179" t="s">
        <v>43</v>
      </c>
      <c r="C179" t="s">
        <v>121</v>
      </c>
      <c r="D179" t="s">
        <v>29</v>
      </c>
      <c r="E179" t="s">
        <v>45</v>
      </c>
      <c r="F179" t="s">
        <v>149</v>
      </c>
      <c r="G179" t="s">
        <v>32</v>
      </c>
      <c r="H179">
        <v>7.1</v>
      </c>
      <c r="I179">
        <v>5.9</v>
      </c>
      <c r="J179" t="s">
        <v>144</v>
      </c>
      <c r="K179" t="s">
        <v>602</v>
      </c>
      <c r="L179" t="s">
        <v>35</v>
      </c>
      <c r="M179" t="s">
        <v>603</v>
      </c>
      <c r="N179" t="s">
        <v>71</v>
      </c>
      <c r="O179">
        <v>52</v>
      </c>
      <c r="P179" t="s">
        <v>105</v>
      </c>
      <c r="Q179">
        <v>4694</v>
      </c>
      <c r="R179">
        <v>5000</v>
      </c>
      <c r="S179" t="s">
        <v>152</v>
      </c>
      <c r="T179" t="s">
        <v>81</v>
      </c>
      <c r="U179" t="s">
        <v>52</v>
      </c>
      <c r="V179" t="s">
        <v>52</v>
      </c>
      <c r="W179" t="s">
        <v>52</v>
      </c>
      <c r="X179">
        <v>2022</v>
      </c>
      <c r="Y179" t="s">
        <v>153</v>
      </c>
      <c r="Z179" t="s">
        <v>54</v>
      </c>
    </row>
    <row r="180" spans="1:26">
      <c r="A180" t="s">
        <v>604</v>
      </c>
      <c r="B180" t="s">
        <v>27</v>
      </c>
      <c r="C180" t="s">
        <v>76</v>
      </c>
      <c r="D180" t="s">
        <v>29</v>
      </c>
      <c r="E180" t="s">
        <v>195</v>
      </c>
      <c r="F180" t="s">
        <v>124</v>
      </c>
      <c r="G180" t="s">
        <v>32</v>
      </c>
      <c r="H180">
        <v>3.7</v>
      </c>
      <c r="I180">
        <v>24.8</v>
      </c>
      <c r="J180" t="s">
        <v>33</v>
      </c>
      <c r="K180" t="s">
        <v>605</v>
      </c>
      <c r="L180" t="s">
        <v>35</v>
      </c>
      <c r="M180" t="s">
        <v>606</v>
      </c>
      <c r="N180" t="s">
        <v>71</v>
      </c>
      <c r="O180">
        <v>24</v>
      </c>
      <c r="P180" t="s">
        <v>89</v>
      </c>
      <c r="Q180">
        <v>4807</v>
      </c>
      <c r="R180">
        <v>2000</v>
      </c>
      <c r="S180" t="s">
        <v>152</v>
      </c>
      <c r="T180" t="s">
        <v>136</v>
      </c>
      <c r="U180" t="s">
        <v>39</v>
      </c>
      <c r="V180" t="s">
        <v>52</v>
      </c>
      <c r="W180" t="s">
        <v>52</v>
      </c>
      <c r="X180">
        <v>2022</v>
      </c>
      <c r="Y180" t="s">
        <v>114</v>
      </c>
      <c r="Z180" t="s">
        <v>41</v>
      </c>
    </row>
    <row r="181" spans="1:26">
      <c r="A181" t="s">
        <v>607</v>
      </c>
      <c r="B181" t="s">
        <v>27</v>
      </c>
      <c r="C181" t="s">
        <v>102</v>
      </c>
      <c r="D181" t="s">
        <v>29</v>
      </c>
      <c r="E181" t="s">
        <v>195</v>
      </c>
      <c r="F181" t="s">
        <v>95</v>
      </c>
      <c r="G181" t="s">
        <v>32</v>
      </c>
      <c r="H181">
        <v>10.3</v>
      </c>
      <c r="I181">
        <v>19.7</v>
      </c>
      <c r="J181" t="s">
        <v>33</v>
      </c>
      <c r="K181" t="s">
        <v>608</v>
      </c>
      <c r="L181" t="s">
        <v>48</v>
      </c>
      <c r="M181" t="s">
        <v>355</v>
      </c>
      <c r="N181" t="s">
        <v>100</v>
      </c>
      <c r="O181">
        <v>8</v>
      </c>
      <c r="Q181">
        <v>0</v>
      </c>
      <c r="R181">
        <v>0</v>
      </c>
      <c r="T181" t="s">
        <v>38</v>
      </c>
      <c r="U181" t="s">
        <v>39</v>
      </c>
      <c r="V181" t="s">
        <v>39</v>
      </c>
      <c r="W181" t="s">
        <v>52</v>
      </c>
      <c r="X181">
        <v>2022</v>
      </c>
      <c r="Y181" t="s">
        <v>63</v>
      </c>
      <c r="Z181" t="s">
        <v>64</v>
      </c>
    </row>
    <row r="182" spans="1:26">
      <c r="A182" t="s">
        <v>609</v>
      </c>
      <c r="B182" t="s">
        <v>116</v>
      </c>
      <c r="C182" t="s">
        <v>28</v>
      </c>
      <c r="D182" t="s">
        <v>77</v>
      </c>
      <c r="E182" t="s">
        <v>363</v>
      </c>
      <c r="F182" t="s">
        <v>124</v>
      </c>
      <c r="G182" t="s">
        <v>32</v>
      </c>
      <c r="H182">
        <v>3.2</v>
      </c>
      <c r="I182">
        <v>28.5</v>
      </c>
      <c r="J182" t="s">
        <v>96</v>
      </c>
      <c r="K182" t="s">
        <v>610</v>
      </c>
      <c r="L182" t="s">
        <v>48</v>
      </c>
      <c r="M182" t="s">
        <v>49</v>
      </c>
      <c r="N182" t="s">
        <v>71</v>
      </c>
      <c r="O182">
        <v>96</v>
      </c>
      <c r="P182" t="s">
        <v>230</v>
      </c>
      <c r="Q182">
        <v>7770</v>
      </c>
      <c r="R182">
        <v>1000</v>
      </c>
      <c r="S182" t="s">
        <v>152</v>
      </c>
      <c r="T182" t="s">
        <v>38</v>
      </c>
      <c r="U182" t="s">
        <v>39</v>
      </c>
      <c r="V182" t="s">
        <v>52</v>
      </c>
      <c r="W182" t="s">
        <v>39</v>
      </c>
      <c r="X182">
        <v>2024</v>
      </c>
      <c r="Y182" t="s">
        <v>312</v>
      </c>
      <c r="Z182" t="s">
        <v>83</v>
      </c>
    </row>
    <row r="183" spans="1:26">
      <c r="A183" t="s">
        <v>611</v>
      </c>
      <c r="B183" t="s">
        <v>43</v>
      </c>
      <c r="C183" t="s">
        <v>173</v>
      </c>
      <c r="D183" t="s">
        <v>77</v>
      </c>
      <c r="E183" t="s">
        <v>94</v>
      </c>
      <c r="F183" t="s">
        <v>160</v>
      </c>
      <c r="G183" t="s">
        <v>32</v>
      </c>
      <c r="H183">
        <v>5.2</v>
      </c>
      <c r="I183">
        <v>12.7</v>
      </c>
      <c r="J183" t="s">
        <v>33</v>
      </c>
      <c r="K183" t="s">
        <v>612</v>
      </c>
      <c r="L183" t="s">
        <v>35</v>
      </c>
      <c r="M183" t="s">
        <v>478</v>
      </c>
      <c r="N183" t="s">
        <v>71</v>
      </c>
      <c r="O183">
        <v>128</v>
      </c>
      <c r="P183" t="s">
        <v>105</v>
      </c>
      <c r="Q183">
        <v>6135</v>
      </c>
      <c r="R183">
        <v>2000</v>
      </c>
      <c r="S183" t="s">
        <v>113</v>
      </c>
      <c r="T183" t="s">
        <v>51</v>
      </c>
      <c r="U183" t="s">
        <v>52</v>
      </c>
      <c r="V183" t="s">
        <v>52</v>
      </c>
      <c r="W183" t="s">
        <v>52</v>
      </c>
      <c r="X183">
        <v>2024</v>
      </c>
      <c r="Y183" t="s">
        <v>312</v>
      </c>
      <c r="Z183" t="s">
        <v>83</v>
      </c>
    </row>
    <row r="184" spans="1:26">
      <c r="A184" t="s">
        <v>613</v>
      </c>
      <c r="B184" t="s">
        <v>43</v>
      </c>
      <c r="C184" t="s">
        <v>76</v>
      </c>
      <c r="D184" t="s">
        <v>77</v>
      </c>
      <c r="E184" t="s">
        <v>143</v>
      </c>
      <c r="F184" t="s">
        <v>57</v>
      </c>
      <c r="G184" t="s">
        <v>32</v>
      </c>
      <c r="H184">
        <v>7.7</v>
      </c>
      <c r="I184">
        <v>28</v>
      </c>
      <c r="J184" t="s">
        <v>144</v>
      </c>
      <c r="K184" t="s">
        <v>614</v>
      </c>
      <c r="L184" t="s">
        <v>140</v>
      </c>
      <c r="M184" t="s">
        <v>301</v>
      </c>
      <c r="N184" t="s">
        <v>71</v>
      </c>
      <c r="O184">
        <v>99</v>
      </c>
      <c r="P184" t="s">
        <v>112</v>
      </c>
      <c r="Q184">
        <v>6434</v>
      </c>
      <c r="R184">
        <v>0</v>
      </c>
      <c r="S184" t="s">
        <v>152</v>
      </c>
      <c r="T184" t="s">
        <v>62</v>
      </c>
      <c r="U184" t="s">
        <v>39</v>
      </c>
      <c r="V184" t="s">
        <v>52</v>
      </c>
      <c r="W184" t="s">
        <v>52</v>
      </c>
      <c r="X184">
        <v>2023</v>
      </c>
      <c r="Y184" t="s">
        <v>40</v>
      </c>
      <c r="Z184" t="s">
        <v>41</v>
      </c>
    </row>
    <row r="185" spans="1:26">
      <c r="A185" t="s">
        <v>615</v>
      </c>
      <c r="B185" t="s">
        <v>116</v>
      </c>
      <c r="C185" t="s">
        <v>121</v>
      </c>
      <c r="D185" t="s">
        <v>77</v>
      </c>
      <c r="E185" t="s">
        <v>220</v>
      </c>
      <c r="F185" t="s">
        <v>109</v>
      </c>
      <c r="G185" t="s">
        <v>32</v>
      </c>
      <c r="H185">
        <v>10.8</v>
      </c>
      <c r="I185">
        <v>27.4</v>
      </c>
      <c r="J185" t="s">
        <v>96</v>
      </c>
      <c r="K185" t="s">
        <v>616</v>
      </c>
      <c r="L185" t="s">
        <v>140</v>
      </c>
      <c r="M185" t="s">
        <v>617</v>
      </c>
      <c r="N185" t="s">
        <v>37</v>
      </c>
      <c r="O185">
        <v>153</v>
      </c>
      <c r="Q185">
        <v>0</v>
      </c>
      <c r="R185">
        <v>0</v>
      </c>
      <c r="T185" t="s">
        <v>81</v>
      </c>
      <c r="U185" t="s">
        <v>39</v>
      </c>
      <c r="V185" t="s">
        <v>39</v>
      </c>
      <c r="W185" t="s">
        <v>52</v>
      </c>
      <c r="X185">
        <v>2023</v>
      </c>
      <c r="Y185" t="s">
        <v>91</v>
      </c>
      <c r="Z185" t="s">
        <v>64</v>
      </c>
    </row>
    <row r="186" spans="1:26">
      <c r="A186" t="s">
        <v>618</v>
      </c>
      <c r="B186" t="s">
        <v>43</v>
      </c>
      <c r="C186" t="s">
        <v>164</v>
      </c>
      <c r="D186" t="s">
        <v>77</v>
      </c>
      <c r="E186" t="s">
        <v>168</v>
      </c>
      <c r="F186" t="s">
        <v>124</v>
      </c>
      <c r="G186" t="s">
        <v>32</v>
      </c>
      <c r="H186">
        <v>4.3</v>
      </c>
      <c r="I186">
        <v>29.5</v>
      </c>
      <c r="J186" t="s">
        <v>96</v>
      </c>
      <c r="K186" t="s">
        <v>619</v>
      </c>
      <c r="L186" t="s">
        <v>98</v>
      </c>
      <c r="M186" t="s">
        <v>127</v>
      </c>
      <c r="N186" t="s">
        <v>37</v>
      </c>
      <c r="O186">
        <v>15</v>
      </c>
      <c r="Q186">
        <v>0</v>
      </c>
      <c r="R186">
        <v>1000</v>
      </c>
      <c r="T186" t="s">
        <v>51</v>
      </c>
      <c r="U186" t="s">
        <v>39</v>
      </c>
      <c r="V186" t="s">
        <v>52</v>
      </c>
      <c r="W186" t="s">
        <v>52</v>
      </c>
      <c r="X186">
        <v>2024</v>
      </c>
      <c r="Y186" t="s">
        <v>63</v>
      </c>
      <c r="Z186" t="s">
        <v>64</v>
      </c>
    </row>
    <row r="187" spans="1:26">
      <c r="A187" t="s">
        <v>620</v>
      </c>
      <c r="B187" t="s">
        <v>116</v>
      </c>
      <c r="C187" t="s">
        <v>102</v>
      </c>
      <c r="D187" t="s">
        <v>77</v>
      </c>
      <c r="E187" t="s">
        <v>216</v>
      </c>
      <c r="F187" t="s">
        <v>31</v>
      </c>
      <c r="G187" t="s">
        <v>58</v>
      </c>
      <c r="H187">
        <v>2.2000000000000002</v>
      </c>
      <c r="I187">
        <v>1.8</v>
      </c>
      <c r="J187" t="s">
        <v>33</v>
      </c>
      <c r="K187" t="s">
        <v>621</v>
      </c>
      <c r="L187" t="s">
        <v>140</v>
      </c>
      <c r="M187" t="s">
        <v>622</v>
      </c>
      <c r="N187" t="s">
        <v>61</v>
      </c>
      <c r="O187">
        <v>127</v>
      </c>
      <c r="Q187">
        <v>0</v>
      </c>
      <c r="R187">
        <v>0</v>
      </c>
      <c r="T187" t="s">
        <v>136</v>
      </c>
      <c r="U187" t="s">
        <v>39</v>
      </c>
      <c r="V187" t="s">
        <v>52</v>
      </c>
      <c r="W187" t="s">
        <v>52</v>
      </c>
      <c r="X187">
        <v>2023</v>
      </c>
      <c r="Y187" t="s">
        <v>106</v>
      </c>
      <c r="Z187" t="s">
        <v>83</v>
      </c>
    </row>
    <row r="188" spans="1:26">
      <c r="A188" t="s">
        <v>623</v>
      </c>
      <c r="B188" t="s">
        <v>116</v>
      </c>
      <c r="C188" t="s">
        <v>67</v>
      </c>
      <c r="D188" t="s">
        <v>77</v>
      </c>
      <c r="E188" t="s">
        <v>260</v>
      </c>
      <c r="F188" t="s">
        <v>95</v>
      </c>
      <c r="G188" t="s">
        <v>32</v>
      </c>
      <c r="H188">
        <v>7.1</v>
      </c>
      <c r="I188">
        <v>32.1</v>
      </c>
      <c r="J188" t="s">
        <v>156</v>
      </c>
      <c r="K188" t="s">
        <v>348</v>
      </c>
      <c r="L188" t="s">
        <v>98</v>
      </c>
      <c r="M188" t="s">
        <v>624</v>
      </c>
      <c r="N188" t="s">
        <v>71</v>
      </c>
      <c r="O188">
        <v>83</v>
      </c>
      <c r="P188" t="s">
        <v>112</v>
      </c>
      <c r="Q188">
        <v>3179</v>
      </c>
      <c r="R188">
        <v>0</v>
      </c>
      <c r="S188" t="s">
        <v>73</v>
      </c>
      <c r="T188" t="s">
        <v>51</v>
      </c>
      <c r="U188" t="s">
        <v>39</v>
      </c>
      <c r="V188" t="s">
        <v>52</v>
      </c>
      <c r="W188" t="s">
        <v>52</v>
      </c>
      <c r="X188">
        <v>2022</v>
      </c>
      <c r="Y188" t="s">
        <v>63</v>
      </c>
      <c r="Z188" t="s">
        <v>64</v>
      </c>
    </row>
    <row r="189" spans="1:26">
      <c r="A189" t="s">
        <v>625</v>
      </c>
      <c r="B189" t="s">
        <v>66</v>
      </c>
      <c r="C189" t="s">
        <v>67</v>
      </c>
      <c r="D189" t="s">
        <v>77</v>
      </c>
      <c r="E189" t="s">
        <v>94</v>
      </c>
      <c r="F189" t="s">
        <v>124</v>
      </c>
      <c r="G189" t="s">
        <v>58</v>
      </c>
      <c r="H189">
        <v>2.2000000000000002</v>
      </c>
      <c r="I189">
        <v>33.9</v>
      </c>
      <c r="J189" t="s">
        <v>144</v>
      </c>
      <c r="K189" t="s">
        <v>516</v>
      </c>
      <c r="L189" t="s">
        <v>60</v>
      </c>
      <c r="M189" t="s">
        <v>127</v>
      </c>
      <c r="N189" t="s">
        <v>171</v>
      </c>
      <c r="O189">
        <v>167</v>
      </c>
      <c r="Q189">
        <v>0</v>
      </c>
      <c r="R189">
        <v>0</v>
      </c>
      <c r="T189" t="s">
        <v>51</v>
      </c>
      <c r="U189" t="s">
        <v>39</v>
      </c>
      <c r="V189" t="s">
        <v>39</v>
      </c>
      <c r="W189" t="s">
        <v>39</v>
      </c>
      <c r="X189">
        <v>2024</v>
      </c>
      <c r="Y189" t="s">
        <v>114</v>
      </c>
      <c r="Z189" t="s">
        <v>41</v>
      </c>
    </row>
    <row r="190" spans="1:26">
      <c r="A190" t="s">
        <v>626</v>
      </c>
      <c r="B190" t="s">
        <v>43</v>
      </c>
      <c r="C190" t="s">
        <v>28</v>
      </c>
      <c r="D190" t="s">
        <v>77</v>
      </c>
      <c r="E190" t="s">
        <v>94</v>
      </c>
      <c r="F190" t="s">
        <v>149</v>
      </c>
      <c r="G190" t="s">
        <v>58</v>
      </c>
      <c r="H190">
        <v>11.1</v>
      </c>
      <c r="I190">
        <v>33.9</v>
      </c>
      <c r="J190" t="s">
        <v>33</v>
      </c>
      <c r="K190" t="s">
        <v>627</v>
      </c>
      <c r="L190" t="s">
        <v>98</v>
      </c>
      <c r="M190" t="s">
        <v>628</v>
      </c>
      <c r="N190" t="s">
        <v>171</v>
      </c>
      <c r="O190">
        <v>47</v>
      </c>
      <c r="Q190">
        <v>0</v>
      </c>
      <c r="R190">
        <v>0</v>
      </c>
      <c r="T190" t="s">
        <v>38</v>
      </c>
      <c r="U190" t="s">
        <v>39</v>
      </c>
      <c r="V190" t="s">
        <v>52</v>
      </c>
      <c r="W190" t="s">
        <v>52</v>
      </c>
      <c r="X190">
        <v>2022</v>
      </c>
      <c r="Y190" t="s">
        <v>312</v>
      </c>
      <c r="Z190" t="s">
        <v>83</v>
      </c>
    </row>
    <row r="191" spans="1:26">
      <c r="A191" t="s">
        <v>629</v>
      </c>
      <c r="B191" t="s">
        <v>93</v>
      </c>
      <c r="C191" t="s">
        <v>28</v>
      </c>
      <c r="D191" t="s">
        <v>77</v>
      </c>
      <c r="E191" t="s">
        <v>143</v>
      </c>
      <c r="F191" t="s">
        <v>238</v>
      </c>
      <c r="G191" t="s">
        <v>58</v>
      </c>
      <c r="H191">
        <v>3.1</v>
      </c>
      <c r="I191">
        <v>2.8</v>
      </c>
      <c r="J191" t="s">
        <v>144</v>
      </c>
      <c r="K191" t="s">
        <v>630</v>
      </c>
      <c r="L191" t="s">
        <v>126</v>
      </c>
      <c r="M191" t="s">
        <v>631</v>
      </c>
      <c r="N191" t="s">
        <v>71</v>
      </c>
      <c r="O191">
        <v>115</v>
      </c>
      <c r="P191" t="s">
        <v>112</v>
      </c>
      <c r="Q191">
        <v>5172</v>
      </c>
      <c r="R191">
        <v>0</v>
      </c>
      <c r="S191" t="s">
        <v>113</v>
      </c>
      <c r="T191" t="s">
        <v>136</v>
      </c>
      <c r="U191" t="s">
        <v>52</v>
      </c>
      <c r="V191" t="s">
        <v>52</v>
      </c>
      <c r="W191" t="s">
        <v>52</v>
      </c>
      <c r="X191">
        <v>2023</v>
      </c>
      <c r="Y191" t="s">
        <v>128</v>
      </c>
      <c r="Z191" t="s">
        <v>64</v>
      </c>
    </row>
    <row r="192" spans="1:26">
      <c r="A192" t="s">
        <v>632</v>
      </c>
      <c r="B192" t="s">
        <v>116</v>
      </c>
      <c r="C192" t="s">
        <v>173</v>
      </c>
      <c r="D192" t="s">
        <v>29</v>
      </c>
      <c r="E192" t="s">
        <v>117</v>
      </c>
      <c r="F192" t="s">
        <v>238</v>
      </c>
      <c r="G192" t="s">
        <v>32</v>
      </c>
      <c r="H192">
        <v>5.5</v>
      </c>
      <c r="I192">
        <v>28.1</v>
      </c>
      <c r="J192" t="s">
        <v>33</v>
      </c>
      <c r="K192" t="s">
        <v>249</v>
      </c>
      <c r="L192" t="s">
        <v>35</v>
      </c>
      <c r="M192" t="s">
        <v>633</v>
      </c>
      <c r="N192" t="s">
        <v>37</v>
      </c>
      <c r="O192">
        <v>123</v>
      </c>
      <c r="Q192">
        <v>0</v>
      </c>
      <c r="R192">
        <v>0</v>
      </c>
      <c r="T192" t="s">
        <v>38</v>
      </c>
      <c r="U192" t="s">
        <v>39</v>
      </c>
      <c r="V192" t="s">
        <v>39</v>
      </c>
      <c r="W192" t="s">
        <v>52</v>
      </c>
      <c r="X192">
        <v>2022</v>
      </c>
      <c r="Y192" t="s">
        <v>40</v>
      </c>
      <c r="Z192" t="s">
        <v>41</v>
      </c>
    </row>
    <row r="193" spans="1:26">
      <c r="A193" t="s">
        <v>634</v>
      </c>
      <c r="B193" t="s">
        <v>27</v>
      </c>
      <c r="C193" t="s">
        <v>44</v>
      </c>
      <c r="D193" t="s">
        <v>77</v>
      </c>
      <c r="E193" t="s">
        <v>143</v>
      </c>
      <c r="F193" t="s">
        <v>68</v>
      </c>
      <c r="G193" t="s">
        <v>58</v>
      </c>
      <c r="H193">
        <v>5.2</v>
      </c>
      <c r="I193">
        <v>23.1</v>
      </c>
      <c r="J193" t="s">
        <v>33</v>
      </c>
      <c r="K193" t="s">
        <v>418</v>
      </c>
      <c r="L193" t="s">
        <v>60</v>
      </c>
      <c r="M193" t="s">
        <v>304</v>
      </c>
      <c r="N193" t="s">
        <v>50</v>
      </c>
      <c r="O193">
        <v>87</v>
      </c>
      <c r="Q193">
        <v>0</v>
      </c>
      <c r="R193">
        <v>0</v>
      </c>
      <c r="T193" t="s">
        <v>81</v>
      </c>
      <c r="U193" t="s">
        <v>39</v>
      </c>
      <c r="V193" t="s">
        <v>52</v>
      </c>
      <c r="W193" t="s">
        <v>52</v>
      </c>
      <c r="X193">
        <v>2022</v>
      </c>
      <c r="Y193" t="s">
        <v>40</v>
      </c>
      <c r="Z193" t="s">
        <v>41</v>
      </c>
    </row>
    <row r="194" spans="1:26">
      <c r="A194" t="s">
        <v>635</v>
      </c>
      <c r="B194" t="s">
        <v>116</v>
      </c>
      <c r="C194" t="s">
        <v>67</v>
      </c>
      <c r="D194" t="s">
        <v>29</v>
      </c>
      <c r="E194" t="s">
        <v>56</v>
      </c>
      <c r="F194" t="s">
        <v>238</v>
      </c>
      <c r="G194" t="s">
        <v>32</v>
      </c>
      <c r="H194">
        <v>6.6</v>
      </c>
      <c r="I194">
        <v>17.399999999999999</v>
      </c>
      <c r="J194" t="s">
        <v>33</v>
      </c>
      <c r="K194" t="s">
        <v>636</v>
      </c>
      <c r="L194" t="s">
        <v>60</v>
      </c>
      <c r="M194" t="s">
        <v>637</v>
      </c>
      <c r="N194" t="s">
        <v>71</v>
      </c>
      <c r="O194">
        <v>25</v>
      </c>
      <c r="P194" t="s">
        <v>105</v>
      </c>
      <c r="Q194">
        <v>3109</v>
      </c>
      <c r="R194">
        <v>1000</v>
      </c>
      <c r="S194" t="s">
        <v>90</v>
      </c>
      <c r="T194" t="s">
        <v>81</v>
      </c>
      <c r="U194" t="s">
        <v>39</v>
      </c>
      <c r="V194" t="s">
        <v>39</v>
      </c>
      <c r="W194" t="s">
        <v>52</v>
      </c>
      <c r="X194">
        <v>2023</v>
      </c>
      <c r="Y194" t="s">
        <v>53</v>
      </c>
      <c r="Z194" t="s">
        <v>54</v>
      </c>
    </row>
    <row r="195" spans="1:26">
      <c r="A195" t="s">
        <v>638</v>
      </c>
      <c r="B195" t="s">
        <v>66</v>
      </c>
      <c r="C195" t="s">
        <v>173</v>
      </c>
      <c r="D195" t="s">
        <v>77</v>
      </c>
      <c r="E195" t="s">
        <v>168</v>
      </c>
      <c r="F195" t="s">
        <v>95</v>
      </c>
      <c r="G195" t="s">
        <v>32</v>
      </c>
      <c r="H195">
        <v>4.8</v>
      </c>
      <c r="I195">
        <v>17.399999999999999</v>
      </c>
      <c r="J195" t="s">
        <v>33</v>
      </c>
      <c r="K195" t="s">
        <v>378</v>
      </c>
      <c r="L195" t="s">
        <v>60</v>
      </c>
      <c r="M195" t="s">
        <v>639</v>
      </c>
      <c r="N195" t="s">
        <v>71</v>
      </c>
      <c r="O195">
        <v>122</v>
      </c>
      <c r="P195" t="s">
        <v>112</v>
      </c>
      <c r="Q195">
        <v>5526</v>
      </c>
      <c r="R195">
        <v>5000</v>
      </c>
      <c r="S195" t="s">
        <v>152</v>
      </c>
      <c r="T195" t="s">
        <v>81</v>
      </c>
      <c r="U195" t="s">
        <v>52</v>
      </c>
      <c r="V195" t="s">
        <v>39</v>
      </c>
      <c r="W195" t="s">
        <v>52</v>
      </c>
      <c r="X195">
        <v>2022</v>
      </c>
      <c r="Y195" t="s">
        <v>153</v>
      </c>
      <c r="Z195" t="s">
        <v>54</v>
      </c>
    </row>
    <row r="196" spans="1:26">
      <c r="A196" t="s">
        <v>640</v>
      </c>
      <c r="B196" t="s">
        <v>66</v>
      </c>
      <c r="C196" t="s">
        <v>28</v>
      </c>
      <c r="D196" t="s">
        <v>77</v>
      </c>
      <c r="E196" t="s">
        <v>78</v>
      </c>
      <c r="F196" t="s">
        <v>95</v>
      </c>
      <c r="G196" t="s">
        <v>32</v>
      </c>
      <c r="H196">
        <v>6.8</v>
      </c>
      <c r="I196">
        <v>5.7</v>
      </c>
      <c r="J196" t="s">
        <v>96</v>
      </c>
      <c r="K196" t="s">
        <v>641</v>
      </c>
      <c r="L196" t="s">
        <v>140</v>
      </c>
      <c r="M196" t="s">
        <v>642</v>
      </c>
      <c r="N196" t="s">
        <v>61</v>
      </c>
      <c r="O196">
        <v>58</v>
      </c>
      <c r="Q196">
        <v>0</v>
      </c>
      <c r="R196">
        <v>0</v>
      </c>
      <c r="T196" t="s">
        <v>136</v>
      </c>
      <c r="U196" t="s">
        <v>39</v>
      </c>
      <c r="V196" t="s">
        <v>52</v>
      </c>
      <c r="W196" t="s">
        <v>39</v>
      </c>
      <c r="X196">
        <v>2023</v>
      </c>
      <c r="Y196" t="s">
        <v>153</v>
      </c>
      <c r="Z196" t="s">
        <v>54</v>
      </c>
    </row>
    <row r="197" spans="1:26">
      <c r="A197" t="s">
        <v>643</v>
      </c>
      <c r="B197" t="s">
        <v>66</v>
      </c>
      <c r="C197" t="s">
        <v>76</v>
      </c>
      <c r="D197" t="s">
        <v>85</v>
      </c>
      <c r="E197" t="s">
        <v>138</v>
      </c>
      <c r="F197" t="s">
        <v>109</v>
      </c>
      <c r="G197" t="s">
        <v>58</v>
      </c>
      <c r="H197">
        <v>5.8</v>
      </c>
      <c r="I197">
        <v>3.2</v>
      </c>
      <c r="J197" t="s">
        <v>33</v>
      </c>
      <c r="K197" t="s">
        <v>644</v>
      </c>
      <c r="L197" t="s">
        <v>126</v>
      </c>
      <c r="M197" t="s">
        <v>645</v>
      </c>
      <c r="N197" t="s">
        <v>50</v>
      </c>
      <c r="O197">
        <v>138</v>
      </c>
      <c r="Q197">
        <v>0</v>
      </c>
      <c r="R197">
        <v>0</v>
      </c>
      <c r="T197" t="s">
        <v>81</v>
      </c>
      <c r="U197" t="s">
        <v>39</v>
      </c>
      <c r="V197" t="s">
        <v>39</v>
      </c>
      <c r="W197" t="s">
        <v>52</v>
      </c>
      <c r="X197">
        <v>2024</v>
      </c>
      <c r="Y197" t="s">
        <v>53</v>
      </c>
      <c r="Z197" t="s">
        <v>54</v>
      </c>
    </row>
    <row r="198" spans="1:26">
      <c r="A198" t="s">
        <v>646</v>
      </c>
      <c r="B198" t="s">
        <v>43</v>
      </c>
      <c r="C198" t="s">
        <v>173</v>
      </c>
      <c r="D198" t="s">
        <v>77</v>
      </c>
      <c r="E198" t="s">
        <v>220</v>
      </c>
      <c r="F198" t="s">
        <v>46</v>
      </c>
      <c r="G198" t="s">
        <v>58</v>
      </c>
      <c r="H198">
        <v>2.5</v>
      </c>
      <c r="I198">
        <v>28.9</v>
      </c>
      <c r="J198" t="s">
        <v>33</v>
      </c>
      <c r="K198" t="s">
        <v>647</v>
      </c>
      <c r="L198" t="s">
        <v>126</v>
      </c>
      <c r="M198" t="s">
        <v>648</v>
      </c>
      <c r="N198" t="s">
        <v>100</v>
      </c>
      <c r="O198">
        <v>21</v>
      </c>
      <c r="Q198">
        <v>0</v>
      </c>
      <c r="R198">
        <v>0</v>
      </c>
      <c r="T198" t="s">
        <v>62</v>
      </c>
      <c r="U198" t="s">
        <v>52</v>
      </c>
      <c r="V198" t="s">
        <v>52</v>
      </c>
      <c r="W198" t="s">
        <v>52</v>
      </c>
      <c r="X198">
        <v>2024</v>
      </c>
      <c r="Y198" t="s">
        <v>53</v>
      </c>
      <c r="Z198" t="s">
        <v>54</v>
      </c>
    </row>
    <row r="199" spans="1:26">
      <c r="A199" t="s">
        <v>649</v>
      </c>
      <c r="B199" t="s">
        <v>27</v>
      </c>
      <c r="C199" t="s">
        <v>28</v>
      </c>
      <c r="D199" t="s">
        <v>29</v>
      </c>
      <c r="E199" t="s">
        <v>244</v>
      </c>
      <c r="F199" t="s">
        <v>95</v>
      </c>
      <c r="G199" t="s">
        <v>58</v>
      </c>
      <c r="H199">
        <v>1.4</v>
      </c>
      <c r="I199">
        <v>5.7</v>
      </c>
      <c r="J199" t="s">
        <v>96</v>
      </c>
      <c r="K199" t="s">
        <v>650</v>
      </c>
      <c r="L199" t="s">
        <v>60</v>
      </c>
      <c r="M199" t="s">
        <v>651</v>
      </c>
      <c r="N199" t="s">
        <v>100</v>
      </c>
      <c r="O199">
        <v>4</v>
      </c>
      <c r="Q199">
        <v>0</v>
      </c>
      <c r="R199">
        <v>0</v>
      </c>
      <c r="T199" t="s">
        <v>62</v>
      </c>
      <c r="U199" t="s">
        <v>39</v>
      </c>
      <c r="V199" t="s">
        <v>52</v>
      </c>
      <c r="W199" t="s">
        <v>52</v>
      </c>
      <c r="X199">
        <v>2024</v>
      </c>
      <c r="Y199" t="s">
        <v>40</v>
      </c>
      <c r="Z199" t="s">
        <v>41</v>
      </c>
    </row>
    <row r="200" spans="1:26">
      <c r="A200" t="s">
        <v>652</v>
      </c>
      <c r="B200" t="s">
        <v>66</v>
      </c>
      <c r="C200" t="s">
        <v>44</v>
      </c>
      <c r="D200" t="s">
        <v>85</v>
      </c>
      <c r="E200" t="s">
        <v>86</v>
      </c>
      <c r="F200" t="s">
        <v>238</v>
      </c>
      <c r="G200" t="s">
        <v>32</v>
      </c>
      <c r="H200">
        <v>1.8</v>
      </c>
      <c r="I200">
        <v>21.5</v>
      </c>
      <c r="J200" t="s">
        <v>33</v>
      </c>
      <c r="K200" t="s">
        <v>276</v>
      </c>
      <c r="L200" t="s">
        <v>98</v>
      </c>
      <c r="M200" t="s">
        <v>181</v>
      </c>
      <c r="N200" t="s">
        <v>71</v>
      </c>
      <c r="O200">
        <v>10</v>
      </c>
      <c r="P200" t="s">
        <v>89</v>
      </c>
      <c r="Q200">
        <v>1628</v>
      </c>
      <c r="R200">
        <v>500</v>
      </c>
      <c r="S200" t="s">
        <v>73</v>
      </c>
      <c r="T200" t="s">
        <v>136</v>
      </c>
      <c r="U200" t="s">
        <v>39</v>
      </c>
      <c r="V200" t="s">
        <v>52</v>
      </c>
      <c r="W200" t="s">
        <v>39</v>
      </c>
      <c r="X200">
        <v>2024</v>
      </c>
      <c r="Y200" t="s">
        <v>211</v>
      </c>
      <c r="Z200" t="s">
        <v>41</v>
      </c>
    </row>
    <row r="201" spans="1:26">
      <c r="A201" t="s">
        <v>653</v>
      </c>
      <c r="B201" t="s">
        <v>93</v>
      </c>
      <c r="C201" t="s">
        <v>121</v>
      </c>
      <c r="D201" t="s">
        <v>122</v>
      </c>
      <c r="E201" t="s">
        <v>155</v>
      </c>
      <c r="F201" t="s">
        <v>46</v>
      </c>
      <c r="G201" t="s">
        <v>32</v>
      </c>
      <c r="H201">
        <v>11.7</v>
      </c>
      <c r="I201">
        <v>8.4</v>
      </c>
      <c r="J201" t="s">
        <v>156</v>
      </c>
      <c r="K201" t="s">
        <v>654</v>
      </c>
      <c r="L201" t="s">
        <v>126</v>
      </c>
      <c r="M201" t="s">
        <v>655</v>
      </c>
      <c r="N201" t="s">
        <v>50</v>
      </c>
      <c r="O201">
        <v>72</v>
      </c>
      <c r="Q201">
        <v>0</v>
      </c>
      <c r="R201">
        <v>0</v>
      </c>
      <c r="T201" t="s">
        <v>62</v>
      </c>
      <c r="U201" t="s">
        <v>39</v>
      </c>
      <c r="V201" t="s">
        <v>39</v>
      </c>
      <c r="W201" t="s">
        <v>52</v>
      </c>
      <c r="X201">
        <v>2023</v>
      </c>
      <c r="Y201" t="s">
        <v>114</v>
      </c>
      <c r="Z201" t="s">
        <v>41</v>
      </c>
    </row>
    <row r="202" spans="1:26">
      <c r="A202" t="s">
        <v>656</v>
      </c>
      <c r="B202" t="s">
        <v>43</v>
      </c>
      <c r="C202" t="s">
        <v>28</v>
      </c>
      <c r="D202" t="s">
        <v>77</v>
      </c>
      <c r="E202" t="s">
        <v>94</v>
      </c>
      <c r="F202" t="s">
        <v>160</v>
      </c>
      <c r="G202" t="s">
        <v>32</v>
      </c>
      <c r="H202">
        <v>9.9</v>
      </c>
      <c r="I202">
        <v>18.3</v>
      </c>
      <c r="J202" t="s">
        <v>33</v>
      </c>
      <c r="K202" t="s">
        <v>657</v>
      </c>
      <c r="L202" t="s">
        <v>140</v>
      </c>
      <c r="M202" t="s">
        <v>127</v>
      </c>
      <c r="N202" t="s">
        <v>171</v>
      </c>
      <c r="O202">
        <v>133</v>
      </c>
      <c r="Q202">
        <v>0</v>
      </c>
      <c r="R202">
        <v>0</v>
      </c>
      <c r="T202" t="s">
        <v>62</v>
      </c>
      <c r="U202" t="s">
        <v>39</v>
      </c>
      <c r="V202" t="s">
        <v>39</v>
      </c>
      <c r="W202" t="s">
        <v>52</v>
      </c>
      <c r="X202">
        <v>2024</v>
      </c>
      <c r="Y202" t="s">
        <v>114</v>
      </c>
      <c r="Z202" t="s">
        <v>41</v>
      </c>
    </row>
    <row r="203" spans="1:26">
      <c r="A203" t="s">
        <v>658</v>
      </c>
      <c r="B203" t="s">
        <v>93</v>
      </c>
      <c r="C203" t="s">
        <v>67</v>
      </c>
      <c r="D203" t="s">
        <v>77</v>
      </c>
      <c r="E203" t="s">
        <v>220</v>
      </c>
      <c r="F203" t="s">
        <v>149</v>
      </c>
      <c r="G203" t="s">
        <v>32</v>
      </c>
      <c r="H203">
        <v>11</v>
      </c>
      <c r="I203">
        <v>24.8</v>
      </c>
      <c r="J203" t="s">
        <v>156</v>
      </c>
      <c r="K203" t="s">
        <v>659</v>
      </c>
      <c r="L203" t="s">
        <v>35</v>
      </c>
      <c r="M203" t="s">
        <v>660</v>
      </c>
      <c r="N203" t="s">
        <v>50</v>
      </c>
      <c r="O203">
        <v>9</v>
      </c>
      <c r="Q203">
        <v>0</v>
      </c>
      <c r="R203">
        <v>0</v>
      </c>
      <c r="T203" t="s">
        <v>38</v>
      </c>
      <c r="U203" t="s">
        <v>39</v>
      </c>
      <c r="V203" t="s">
        <v>52</v>
      </c>
      <c r="W203" t="s">
        <v>52</v>
      </c>
      <c r="X203">
        <v>2023</v>
      </c>
      <c r="Y203" t="s">
        <v>53</v>
      </c>
      <c r="Z203" t="s">
        <v>54</v>
      </c>
    </row>
    <row r="204" spans="1:26">
      <c r="A204" t="s">
        <v>661</v>
      </c>
      <c r="B204" t="s">
        <v>93</v>
      </c>
      <c r="C204" t="s">
        <v>28</v>
      </c>
      <c r="D204" t="s">
        <v>77</v>
      </c>
      <c r="E204" t="s">
        <v>78</v>
      </c>
      <c r="F204" t="s">
        <v>160</v>
      </c>
      <c r="G204" t="s">
        <v>58</v>
      </c>
      <c r="H204">
        <v>4.2</v>
      </c>
      <c r="I204">
        <v>29.4</v>
      </c>
      <c r="J204" t="s">
        <v>144</v>
      </c>
      <c r="K204" t="s">
        <v>348</v>
      </c>
      <c r="L204" t="s">
        <v>35</v>
      </c>
      <c r="M204" t="s">
        <v>662</v>
      </c>
      <c r="N204" t="s">
        <v>171</v>
      </c>
      <c r="O204">
        <v>122</v>
      </c>
      <c r="Q204">
        <v>0</v>
      </c>
      <c r="R204">
        <v>0</v>
      </c>
      <c r="T204" t="s">
        <v>81</v>
      </c>
      <c r="U204" t="s">
        <v>39</v>
      </c>
      <c r="V204" t="s">
        <v>39</v>
      </c>
      <c r="W204" t="s">
        <v>52</v>
      </c>
      <c r="X204">
        <v>2022</v>
      </c>
      <c r="Y204" t="s">
        <v>63</v>
      </c>
      <c r="Z204" t="s">
        <v>64</v>
      </c>
    </row>
    <row r="205" spans="1:26">
      <c r="A205" t="s">
        <v>663</v>
      </c>
      <c r="B205" t="s">
        <v>27</v>
      </c>
      <c r="C205" t="s">
        <v>76</v>
      </c>
      <c r="D205" t="s">
        <v>77</v>
      </c>
      <c r="E205" t="s">
        <v>168</v>
      </c>
      <c r="F205" t="s">
        <v>124</v>
      </c>
      <c r="G205" t="s">
        <v>32</v>
      </c>
      <c r="H205">
        <v>10.9</v>
      </c>
      <c r="I205">
        <v>22.8</v>
      </c>
      <c r="J205" t="s">
        <v>20</v>
      </c>
      <c r="K205" t="s">
        <v>664</v>
      </c>
      <c r="L205" t="s">
        <v>60</v>
      </c>
      <c r="M205" t="s">
        <v>432</v>
      </c>
      <c r="N205" t="s">
        <v>71</v>
      </c>
      <c r="O205">
        <v>132</v>
      </c>
      <c r="P205" t="s">
        <v>72</v>
      </c>
      <c r="Q205">
        <v>3072</v>
      </c>
      <c r="R205">
        <v>500</v>
      </c>
      <c r="S205" t="s">
        <v>90</v>
      </c>
      <c r="T205" t="s">
        <v>136</v>
      </c>
      <c r="U205" t="s">
        <v>39</v>
      </c>
      <c r="V205" t="s">
        <v>52</v>
      </c>
      <c r="W205" t="s">
        <v>52</v>
      </c>
      <c r="X205">
        <v>2024</v>
      </c>
      <c r="Y205" t="s">
        <v>74</v>
      </c>
      <c r="Z205" t="s">
        <v>54</v>
      </c>
    </row>
    <row r="206" spans="1:26">
      <c r="A206" t="s">
        <v>665</v>
      </c>
      <c r="B206" t="s">
        <v>66</v>
      </c>
      <c r="C206" t="s">
        <v>67</v>
      </c>
      <c r="D206" t="s">
        <v>77</v>
      </c>
      <c r="E206" t="s">
        <v>78</v>
      </c>
      <c r="F206" t="s">
        <v>109</v>
      </c>
      <c r="G206" t="s">
        <v>32</v>
      </c>
      <c r="H206">
        <v>7.1</v>
      </c>
      <c r="I206">
        <v>0.8</v>
      </c>
      <c r="J206" t="s">
        <v>33</v>
      </c>
      <c r="K206" t="s">
        <v>290</v>
      </c>
      <c r="L206" t="s">
        <v>98</v>
      </c>
      <c r="M206" t="s">
        <v>666</v>
      </c>
      <c r="N206" t="s">
        <v>100</v>
      </c>
      <c r="O206">
        <v>174</v>
      </c>
      <c r="Q206">
        <v>0</v>
      </c>
      <c r="R206">
        <v>0</v>
      </c>
      <c r="T206" t="s">
        <v>38</v>
      </c>
      <c r="U206" t="s">
        <v>52</v>
      </c>
      <c r="V206" t="s">
        <v>39</v>
      </c>
      <c r="W206" t="s">
        <v>52</v>
      </c>
      <c r="X206">
        <v>2023</v>
      </c>
      <c r="Y206" t="s">
        <v>114</v>
      </c>
      <c r="Z206" t="s">
        <v>41</v>
      </c>
    </row>
    <row r="207" spans="1:26">
      <c r="A207" t="s">
        <v>667</v>
      </c>
      <c r="B207" t="s">
        <v>66</v>
      </c>
      <c r="C207" t="s">
        <v>173</v>
      </c>
      <c r="D207" t="s">
        <v>29</v>
      </c>
      <c r="E207" t="s">
        <v>94</v>
      </c>
      <c r="F207" t="s">
        <v>124</v>
      </c>
      <c r="G207" t="s">
        <v>58</v>
      </c>
      <c r="H207">
        <v>7.9</v>
      </c>
      <c r="I207">
        <v>33.4</v>
      </c>
      <c r="J207" t="s">
        <v>20</v>
      </c>
      <c r="K207" t="s">
        <v>668</v>
      </c>
      <c r="L207" t="s">
        <v>48</v>
      </c>
      <c r="M207" t="s">
        <v>488</v>
      </c>
      <c r="N207" t="s">
        <v>61</v>
      </c>
      <c r="O207">
        <v>71</v>
      </c>
      <c r="Q207">
        <v>0</v>
      </c>
      <c r="R207">
        <v>0</v>
      </c>
      <c r="T207" t="s">
        <v>38</v>
      </c>
      <c r="U207" t="s">
        <v>52</v>
      </c>
      <c r="V207" t="s">
        <v>52</v>
      </c>
      <c r="W207" t="s">
        <v>52</v>
      </c>
      <c r="X207">
        <v>2023</v>
      </c>
      <c r="Y207" t="s">
        <v>91</v>
      </c>
      <c r="Z207" t="s">
        <v>64</v>
      </c>
    </row>
    <row r="208" spans="1:26">
      <c r="A208" t="s">
        <v>669</v>
      </c>
      <c r="B208" t="s">
        <v>66</v>
      </c>
      <c r="C208" t="s">
        <v>76</v>
      </c>
      <c r="D208" t="s">
        <v>77</v>
      </c>
      <c r="E208" t="s">
        <v>220</v>
      </c>
      <c r="F208" t="s">
        <v>31</v>
      </c>
      <c r="G208" t="s">
        <v>58</v>
      </c>
      <c r="H208">
        <v>10.9</v>
      </c>
      <c r="I208">
        <v>14.5</v>
      </c>
      <c r="J208" t="s">
        <v>33</v>
      </c>
      <c r="K208" t="s">
        <v>407</v>
      </c>
      <c r="L208" t="s">
        <v>98</v>
      </c>
      <c r="M208" t="s">
        <v>670</v>
      </c>
      <c r="N208" t="s">
        <v>61</v>
      </c>
      <c r="O208">
        <v>76</v>
      </c>
      <c r="Q208">
        <v>0</v>
      </c>
      <c r="R208">
        <v>0</v>
      </c>
      <c r="T208" t="s">
        <v>81</v>
      </c>
      <c r="U208" t="s">
        <v>52</v>
      </c>
      <c r="V208" t="s">
        <v>52</v>
      </c>
      <c r="W208" t="s">
        <v>52</v>
      </c>
      <c r="X208">
        <v>2024</v>
      </c>
      <c r="Y208" t="s">
        <v>91</v>
      </c>
      <c r="Z208" t="s">
        <v>64</v>
      </c>
    </row>
    <row r="209" spans="1:26">
      <c r="A209" t="s">
        <v>671</v>
      </c>
      <c r="B209" t="s">
        <v>66</v>
      </c>
      <c r="C209" t="s">
        <v>164</v>
      </c>
      <c r="D209" t="s">
        <v>29</v>
      </c>
      <c r="E209" t="s">
        <v>56</v>
      </c>
      <c r="F209" t="s">
        <v>46</v>
      </c>
      <c r="G209" t="s">
        <v>58</v>
      </c>
      <c r="H209">
        <v>5.7</v>
      </c>
      <c r="I209">
        <v>26.1</v>
      </c>
      <c r="J209" t="s">
        <v>33</v>
      </c>
      <c r="K209" t="s">
        <v>672</v>
      </c>
      <c r="L209" t="s">
        <v>60</v>
      </c>
      <c r="M209" t="s">
        <v>673</v>
      </c>
      <c r="N209" t="s">
        <v>71</v>
      </c>
      <c r="O209">
        <v>169</v>
      </c>
      <c r="P209" t="s">
        <v>89</v>
      </c>
      <c r="Q209">
        <v>2703</v>
      </c>
      <c r="R209">
        <v>0</v>
      </c>
      <c r="S209" t="s">
        <v>152</v>
      </c>
      <c r="T209" t="s">
        <v>136</v>
      </c>
      <c r="U209" t="s">
        <v>39</v>
      </c>
      <c r="V209" t="s">
        <v>52</v>
      </c>
      <c r="W209" t="s">
        <v>52</v>
      </c>
      <c r="X209">
        <v>2022</v>
      </c>
      <c r="Y209" t="s">
        <v>63</v>
      </c>
      <c r="Z209" t="s">
        <v>64</v>
      </c>
    </row>
    <row r="210" spans="1:26">
      <c r="A210" t="s">
        <v>674</v>
      </c>
      <c r="B210" t="s">
        <v>27</v>
      </c>
      <c r="C210" t="s">
        <v>28</v>
      </c>
      <c r="D210" t="s">
        <v>77</v>
      </c>
      <c r="E210" t="s">
        <v>168</v>
      </c>
      <c r="F210" t="s">
        <v>149</v>
      </c>
      <c r="G210" t="s">
        <v>58</v>
      </c>
      <c r="H210">
        <v>10.4</v>
      </c>
      <c r="I210">
        <v>20.6</v>
      </c>
      <c r="J210" t="s">
        <v>20</v>
      </c>
      <c r="K210" t="s">
        <v>675</v>
      </c>
      <c r="L210" t="s">
        <v>35</v>
      </c>
      <c r="M210" t="s">
        <v>676</v>
      </c>
      <c r="N210" t="s">
        <v>50</v>
      </c>
      <c r="O210">
        <v>31</v>
      </c>
      <c r="Q210">
        <v>0</v>
      </c>
      <c r="R210">
        <v>0</v>
      </c>
      <c r="T210" t="s">
        <v>136</v>
      </c>
      <c r="U210" t="s">
        <v>39</v>
      </c>
      <c r="V210" t="s">
        <v>52</v>
      </c>
      <c r="W210" t="s">
        <v>39</v>
      </c>
      <c r="X210">
        <v>2024</v>
      </c>
      <c r="Y210" t="s">
        <v>211</v>
      </c>
      <c r="Z210" t="s">
        <v>41</v>
      </c>
    </row>
    <row r="211" spans="1:26">
      <c r="A211" t="s">
        <v>677</v>
      </c>
      <c r="B211" t="s">
        <v>108</v>
      </c>
      <c r="C211" t="s">
        <v>164</v>
      </c>
      <c r="D211" t="s">
        <v>77</v>
      </c>
      <c r="E211" t="s">
        <v>216</v>
      </c>
      <c r="F211" t="s">
        <v>46</v>
      </c>
      <c r="G211" t="s">
        <v>58</v>
      </c>
      <c r="H211">
        <v>11.8</v>
      </c>
      <c r="I211">
        <v>31.3</v>
      </c>
      <c r="J211" t="s">
        <v>96</v>
      </c>
      <c r="K211" t="s">
        <v>678</v>
      </c>
      <c r="L211" t="s">
        <v>35</v>
      </c>
      <c r="M211" t="s">
        <v>679</v>
      </c>
      <c r="N211" t="s">
        <v>100</v>
      </c>
      <c r="O211">
        <v>88</v>
      </c>
      <c r="Q211">
        <v>0</v>
      </c>
      <c r="R211">
        <v>0</v>
      </c>
      <c r="T211" t="s">
        <v>136</v>
      </c>
      <c r="U211" t="s">
        <v>39</v>
      </c>
      <c r="V211" t="s">
        <v>52</v>
      </c>
      <c r="W211" t="s">
        <v>52</v>
      </c>
      <c r="X211">
        <v>2023</v>
      </c>
      <c r="Y211" t="s">
        <v>82</v>
      </c>
      <c r="Z211" t="s">
        <v>83</v>
      </c>
    </row>
    <row r="212" spans="1:26">
      <c r="A212" t="s">
        <v>680</v>
      </c>
      <c r="B212" t="s">
        <v>27</v>
      </c>
      <c r="C212" t="s">
        <v>164</v>
      </c>
      <c r="D212" t="s">
        <v>122</v>
      </c>
      <c r="E212" t="s">
        <v>123</v>
      </c>
      <c r="F212" t="s">
        <v>149</v>
      </c>
      <c r="G212" t="s">
        <v>58</v>
      </c>
      <c r="H212">
        <v>2.6</v>
      </c>
      <c r="I212">
        <v>27.2</v>
      </c>
      <c r="J212" t="s">
        <v>33</v>
      </c>
      <c r="K212" t="s">
        <v>681</v>
      </c>
      <c r="L212" t="s">
        <v>140</v>
      </c>
      <c r="M212" t="s">
        <v>682</v>
      </c>
      <c r="N212" t="s">
        <v>61</v>
      </c>
      <c r="O212">
        <v>116</v>
      </c>
      <c r="Q212">
        <v>0</v>
      </c>
      <c r="R212">
        <v>0</v>
      </c>
      <c r="T212" t="s">
        <v>136</v>
      </c>
      <c r="U212" t="s">
        <v>52</v>
      </c>
      <c r="V212" t="s">
        <v>52</v>
      </c>
      <c r="W212" t="s">
        <v>52</v>
      </c>
      <c r="X212">
        <v>2022</v>
      </c>
      <c r="Y212" t="s">
        <v>106</v>
      </c>
      <c r="Z212" t="s">
        <v>83</v>
      </c>
    </row>
    <row r="213" spans="1:26">
      <c r="A213" t="s">
        <v>683</v>
      </c>
      <c r="B213" t="s">
        <v>27</v>
      </c>
      <c r="C213" t="s">
        <v>102</v>
      </c>
      <c r="D213" t="s">
        <v>77</v>
      </c>
      <c r="E213" t="s">
        <v>94</v>
      </c>
      <c r="F213" t="s">
        <v>238</v>
      </c>
      <c r="G213" t="s">
        <v>58</v>
      </c>
      <c r="H213">
        <v>11.4</v>
      </c>
      <c r="I213">
        <v>31.3</v>
      </c>
      <c r="J213" t="s">
        <v>156</v>
      </c>
      <c r="K213" t="s">
        <v>681</v>
      </c>
      <c r="L213" t="s">
        <v>98</v>
      </c>
      <c r="M213" t="s">
        <v>684</v>
      </c>
      <c r="N213" t="s">
        <v>37</v>
      </c>
      <c r="O213">
        <v>10</v>
      </c>
      <c r="Q213">
        <v>0</v>
      </c>
      <c r="R213">
        <v>500</v>
      </c>
      <c r="T213" t="s">
        <v>81</v>
      </c>
      <c r="U213" t="s">
        <v>39</v>
      </c>
      <c r="V213" t="s">
        <v>52</v>
      </c>
      <c r="W213" t="s">
        <v>52</v>
      </c>
      <c r="X213">
        <v>2022</v>
      </c>
      <c r="Y213" t="s">
        <v>106</v>
      </c>
      <c r="Z213" t="s">
        <v>83</v>
      </c>
    </row>
    <row r="214" spans="1:26">
      <c r="A214" t="s">
        <v>685</v>
      </c>
      <c r="B214" t="s">
        <v>93</v>
      </c>
      <c r="C214" t="s">
        <v>173</v>
      </c>
      <c r="D214" t="s">
        <v>29</v>
      </c>
      <c r="E214" t="s">
        <v>45</v>
      </c>
      <c r="F214" t="s">
        <v>149</v>
      </c>
      <c r="G214" t="s">
        <v>32</v>
      </c>
      <c r="H214">
        <v>2.1</v>
      </c>
      <c r="I214">
        <v>28.9</v>
      </c>
      <c r="J214" t="s">
        <v>144</v>
      </c>
      <c r="K214" t="s">
        <v>686</v>
      </c>
      <c r="L214" t="s">
        <v>98</v>
      </c>
      <c r="M214" t="s">
        <v>687</v>
      </c>
      <c r="N214" t="s">
        <v>61</v>
      </c>
      <c r="O214">
        <v>99</v>
      </c>
      <c r="Q214">
        <v>0</v>
      </c>
      <c r="R214">
        <v>0</v>
      </c>
      <c r="T214" t="s">
        <v>81</v>
      </c>
      <c r="U214" t="s">
        <v>39</v>
      </c>
      <c r="V214" t="s">
        <v>52</v>
      </c>
      <c r="W214" t="s">
        <v>52</v>
      </c>
      <c r="X214">
        <v>2022</v>
      </c>
      <c r="Y214" t="s">
        <v>40</v>
      </c>
      <c r="Z214" t="s">
        <v>41</v>
      </c>
    </row>
    <row r="215" spans="1:26">
      <c r="A215" t="s">
        <v>688</v>
      </c>
      <c r="B215" t="s">
        <v>66</v>
      </c>
      <c r="C215" t="s">
        <v>76</v>
      </c>
      <c r="D215" t="s">
        <v>77</v>
      </c>
      <c r="E215" t="s">
        <v>216</v>
      </c>
      <c r="F215" t="s">
        <v>31</v>
      </c>
      <c r="G215" t="s">
        <v>58</v>
      </c>
      <c r="H215">
        <v>8.8000000000000007</v>
      </c>
      <c r="I215">
        <v>5</v>
      </c>
      <c r="J215" t="s">
        <v>33</v>
      </c>
      <c r="K215" t="s">
        <v>689</v>
      </c>
      <c r="L215" t="s">
        <v>60</v>
      </c>
      <c r="M215" t="s">
        <v>690</v>
      </c>
      <c r="N215" t="s">
        <v>37</v>
      </c>
      <c r="O215">
        <v>5</v>
      </c>
      <c r="Q215">
        <v>0</v>
      </c>
      <c r="R215">
        <v>0</v>
      </c>
      <c r="T215" t="s">
        <v>38</v>
      </c>
      <c r="U215" t="s">
        <v>52</v>
      </c>
      <c r="V215" t="s">
        <v>52</v>
      </c>
      <c r="W215" t="s">
        <v>52</v>
      </c>
      <c r="X215">
        <v>2024</v>
      </c>
      <c r="Y215" t="s">
        <v>74</v>
      </c>
      <c r="Z215" t="s">
        <v>54</v>
      </c>
    </row>
    <row r="216" spans="1:26">
      <c r="A216" t="s">
        <v>691</v>
      </c>
      <c r="B216" t="s">
        <v>66</v>
      </c>
      <c r="C216" t="s">
        <v>28</v>
      </c>
      <c r="D216" t="s">
        <v>29</v>
      </c>
      <c r="E216" t="s">
        <v>244</v>
      </c>
      <c r="F216" t="s">
        <v>57</v>
      </c>
      <c r="G216" t="s">
        <v>32</v>
      </c>
      <c r="H216">
        <v>7.9</v>
      </c>
      <c r="I216">
        <v>1.2</v>
      </c>
      <c r="J216" t="s">
        <v>144</v>
      </c>
      <c r="K216" t="s">
        <v>692</v>
      </c>
      <c r="L216" t="s">
        <v>35</v>
      </c>
      <c r="M216" t="s">
        <v>572</v>
      </c>
      <c r="N216" t="s">
        <v>71</v>
      </c>
      <c r="O216">
        <v>153</v>
      </c>
      <c r="P216" t="s">
        <v>105</v>
      </c>
      <c r="Q216">
        <v>4211</v>
      </c>
      <c r="R216">
        <v>0</v>
      </c>
      <c r="S216" t="s">
        <v>152</v>
      </c>
      <c r="T216" t="s">
        <v>136</v>
      </c>
      <c r="U216" t="s">
        <v>39</v>
      </c>
      <c r="V216" t="s">
        <v>39</v>
      </c>
      <c r="W216" t="s">
        <v>39</v>
      </c>
      <c r="X216">
        <v>2022</v>
      </c>
      <c r="Y216" t="s">
        <v>74</v>
      </c>
      <c r="Z216" t="s">
        <v>54</v>
      </c>
    </row>
    <row r="217" spans="1:26">
      <c r="A217" t="s">
        <v>693</v>
      </c>
      <c r="B217" t="s">
        <v>108</v>
      </c>
      <c r="C217" t="s">
        <v>28</v>
      </c>
      <c r="D217" t="s">
        <v>29</v>
      </c>
      <c r="E217" t="s">
        <v>117</v>
      </c>
      <c r="F217" t="s">
        <v>109</v>
      </c>
      <c r="G217" t="s">
        <v>58</v>
      </c>
      <c r="H217">
        <v>7.5</v>
      </c>
      <c r="I217">
        <v>24.7</v>
      </c>
      <c r="J217" t="s">
        <v>33</v>
      </c>
      <c r="K217" t="s">
        <v>694</v>
      </c>
      <c r="L217" t="s">
        <v>35</v>
      </c>
      <c r="M217" t="s">
        <v>494</v>
      </c>
      <c r="N217" t="s">
        <v>61</v>
      </c>
      <c r="O217">
        <v>170</v>
      </c>
      <c r="Q217">
        <v>0</v>
      </c>
      <c r="R217">
        <v>0</v>
      </c>
      <c r="T217" t="s">
        <v>38</v>
      </c>
      <c r="U217" t="s">
        <v>52</v>
      </c>
      <c r="V217" t="s">
        <v>39</v>
      </c>
      <c r="W217" t="s">
        <v>52</v>
      </c>
      <c r="X217">
        <v>2022</v>
      </c>
      <c r="Y217" t="s">
        <v>40</v>
      </c>
      <c r="Z217" t="s">
        <v>41</v>
      </c>
    </row>
    <row r="218" spans="1:26">
      <c r="A218" t="s">
        <v>695</v>
      </c>
      <c r="B218" t="s">
        <v>116</v>
      </c>
      <c r="C218" t="s">
        <v>121</v>
      </c>
      <c r="D218" t="s">
        <v>29</v>
      </c>
      <c r="E218" t="s">
        <v>195</v>
      </c>
      <c r="F218" t="s">
        <v>124</v>
      </c>
      <c r="G218" t="s">
        <v>32</v>
      </c>
      <c r="H218">
        <v>8.5</v>
      </c>
      <c r="I218">
        <v>10.7</v>
      </c>
      <c r="J218" t="s">
        <v>33</v>
      </c>
      <c r="K218" t="s">
        <v>696</v>
      </c>
      <c r="L218" t="s">
        <v>48</v>
      </c>
      <c r="M218" t="s">
        <v>127</v>
      </c>
      <c r="N218" t="s">
        <v>171</v>
      </c>
      <c r="O218">
        <v>52</v>
      </c>
      <c r="Q218">
        <v>0</v>
      </c>
      <c r="R218">
        <v>0</v>
      </c>
      <c r="T218" t="s">
        <v>38</v>
      </c>
      <c r="U218" t="s">
        <v>39</v>
      </c>
      <c r="V218" t="s">
        <v>52</v>
      </c>
      <c r="W218" t="s">
        <v>39</v>
      </c>
      <c r="X218">
        <v>2024</v>
      </c>
      <c r="Y218" t="s">
        <v>63</v>
      </c>
      <c r="Z218" t="s">
        <v>64</v>
      </c>
    </row>
    <row r="219" spans="1:26">
      <c r="A219" t="s">
        <v>697</v>
      </c>
      <c r="B219" t="s">
        <v>93</v>
      </c>
      <c r="C219" t="s">
        <v>102</v>
      </c>
      <c r="D219" t="s">
        <v>29</v>
      </c>
      <c r="E219" t="s">
        <v>195</v>
      </c>
      <c r="F219" t="s">
        <v>149</v>
      </c>
      <c r="G219" t="s">
        <v>32</v>
      </c>
      <c r="H219">
        <v>1</v>
      </c>
      <c r="I219">
        <v>25.5</v>
      </c>
      <c r="J219" t="s">
        <v>33</v>
      </c>
      <c r="K219" t="s">
        <v>406</v>
      </c>
      <c r="L219" t="s">
        <v>126</v>
      </c>
      <c r="M219" t="s">
        <v>698</v>
      </c>
      <c r="N219" t="s">
        <v>71</v>
      </c>
      <c r="O219">
        <v>39</v>
      </c>
      <c r="P219" t="s">
        <v>230</v>
      </c>
      <c r="Q219">
        <v>4692</v>
      </c>
      <c r="R219">
        <v>1000</v>
      </c>
      <c r="S219" t="s">
        <v>73</v>
      </c>
      <c r="T219" t="s">
        <v>81</v>
      </c>
      <c r="U219" t="s">
        <v>39</v>
      </c>
      <c r="V219" t="s">
        <v>52</v>
      </c>
      <c r="W219" t="s">
        <v>52</v>
      </c>
      <c r="X219">
        <v>2024</v>
      </c>
      <c r="Y219" t="s">
        <v>91</v>
      </c>
      <c r="Z219" t="s">
        <v>64</v>
      </c>
    </row>
    <row r="220" spans="1:26">
      <c r="A220" t="s">
        <v>699</v>
      </c>
      <c r="B220" t="s">
        <v>93</v>
      </c>
      <c r="C220" t="s">
        <v>67</v>
      </c>
      <c r="D220" t="s">
        <v>122</v>
      </c>
      <c r="E220" t="s">
        <v>130</v>
      </c>
      <c r="F220" t="s">
        <v>149</v>
      </c>
      <c r="G220" t="s">
        <v>32</v>
      </c>
      <c r="H220">
        <v>1.7</v>
      </c>
      <c r="I220">
        <v>22.8</v>
      </c>
      <c r="J220" t="s">
        <v>156</v>
      </c>
      <c r="K220" t="s">
        <v>513</v>
      </c>
      <c r="L220" t="s">
        <v>35</v>
      </c>
      <c r="M220" t="s">
        <v>700</v>
      </c>
      <c r="N220" t="s">
        <v>71</v>
      </c>
      <c r="O220">
        <v>25</v>
      </c>
      <c r="P220" t="s">
        <v>72</v>
      </c>
      <c r="Q220">
        <v>539</v>
      </c>
      <c r="R220">
        <v>5000</v>
      </c>
      <c r="S220" t="s">
        <v>152</v>
      </c>
      <c r="T220" t="s">
        <v>81</v>
      </c>
      <c r="U220" t="s">
        <v>39</v>
      </c>
      <c r="V220" t="s">
        <v>52</v>
      </c>
      <c r="W220" t="s">
        <v>52</v>
      </c>
      <c r="X220">
        <v>2022</v>
      </c>
      <c r="Y220" t="s">
        <v>211</v>
      </c>
      <c r="Z220" t="s">
        <v>41</v>
      </c>
    </row>
    <row r="221" spans="1:26">
      <c r="A221" t="s">
        <v>701</v>
      </c>
      <c r="B221" t="s">
        <v>116</v>
      </c>
      <c r="C221" t="s">
        <v>164</v>
      </c>
      <c r="D221" t="s">
        <v>77</v>
      </c>
      <c r="E221" t="s">
        <v>168</v>
      </c>
      <c r="F221" t="s">
        <v>238</v>
      </c>
      <c r="G221" t="s">
        <v>58</v>
      </c>
      <c r="H221">
        <v>7.8</v>
      </c>
      <c r="I221">
        <v>28</v>
      </c>
      <c r="J221" t="s">
        <v>33</v>
      </c>
      <c r="K221" t="s">
        <v>702</v>
      </c>
      <c r="L221" t="s">
        <v>126</v>
      </c>
      <c r="M221" t="s">
        <v>590</v>
      </c>
      <c r="N221" t="s">
        <v>50</v>
      </c>
      <c r="O221">
        <v>177</v>
      </c>
      <c r="Q221">
        <v>0</v>
      </c>
      <c r="R221">
        <v>1000</v>
      </c>
      <c r="T221" t="s">
        <v>62</v>
      </c>
      <c r="U221" t="s">
        <v>52</v>
      </c>
      <c r="V221" t="s">
        <v>52</v>
      </c>
      <c r="W221" t="s">
        <v>52</v>
      </c>
      <c r="X221">
        <v>2024</v>
      </c>
      <c r="Y221" t="s">
        <v>82</v>
      </c>
      <c r="Z221" t="s">
        <v>83</v>
      </c>
    </row>
    <row r="222" spans="1:26">
      <c r="A222" t="s">
        <v>703</v>
      </c>
      <c r="B222" t="s">
        <v>108</v>
      </c>
      <c r="C222" t="s">
        <v>121</v>
      </c>
      <c r="D222" t="s">
        <v>77</v>
      </c>
      <c r="E222" t="s">
        <v>94</v>
      </c>
      <c r="F222" t="s">
        <v>238</v>
      </c>
      <c r="G222" t="s">
        <v>58</v>
      </c>
      <c r="H222">
        <v>11.1</v>
      </c>
      <c r="I222">
        <v>4.4000000000000004</v>
      </c>
      <c r="J222" t="s">
        <v>33</v>
      </c>
      <c r="K222" t="s">
        <v>285</v>
      </c>
      <c r="L222" t="s">
        <v>98</v>
      </c>
      <c r="M222" t="s">
        <v>704</v>
      </c>
      <c r="N222" t="s">
        <v>71</v>
      </c>
      <c r="O222">
        <v>157</v>
      </c>
      <c r="P222" t="s">
        <v>72</v>
      </c>
      <c r="Q222">
        <v>4070</v>
      </c>
      <c r="R222">
        <v>500</v>
      </c>
      <c r="S222" t="s">
        <v>73</v>
      </c>
      <c r="T222" t="s">
        <v>62</v>
      </c>
      <c r="U222" t="s">
        <v>39</v>
      </c>
      <c r="V222" t="s">
        <v>52</v>
      </c>
      <c r="W222" t="s">
        <v>52</v>
      </c>
      <c r="X222">
        <v>2024</v>
      </c>
      <c r="Y222" t="s">
        <v>106</v>
      </c>
      <c r="Z222" t="s">
        <v>83</v>
      </c>
    </row>
    <row r="223" spans="1:26">
      <c r="A223" t="s">
        <v>705</v>
      </c>
      <c r="B223" t="s">
        <v>108</v>
      </c>
      <c r="C223" t="s">
        <v>164</v>
      </c>
      <c r="D223" t="s">
        <v>29</v>
      </c>
      <c r="E223" t="s">
        <v>244</v>
      </c>
      <c r="F223" t="s">
        <v>109</v>
      </c>
      <c r="G223" t="s">
        <v>58</v>
      </c>
      <c r="H223">
        <v>4.2</v>
      </c>
      <c r="I223">
        <v>23.8</v>
      </c>
      <c r="J223" t="s">
        <v>33</v>
      </c>
      <c r="K223" t="s">
        <v>706</v>
      </c>
      <c r="L223" t="s">
        <v>98</v>
      </c>
      <c r="M223" t="s">
        <v>707</v>
      </c>
      <c r="N223" t="s">
        <v>37</v>
      </c>
      <c r="O223">
        <v>111</v>
      </c>
      <c r="Q223">
        <v>0</v>
      </c>
      <c r="R223">
        <v>1000</v>
      </c>
      <c r="T223" t="s">
        <v>81</v>
      </c>
      <c r="U223" t="s">
        <v>52</v>
      </c>
      <c r="V223" t="s">
        <v>52</v>
      </c>
      <c r="W223" t="s">
        <v>52</v>
      </c>
      <c r="X223">
        <v>2022</v>
      </c>
      <c r="Y223" t="s">
        <v>40</v>
      </c>
      <c r="Z223" t="s">
        <v>41</v>
      </c>
    </row>
    <row r="224" spans="1:26">
      <c r="A224" t="s">
        <v>708</v>
      </c>
      <c r="B224" t="s">
        <v>43</v>
      </c>
      <c r="C224" t="s">
        <v>44</v>
      </c>
      <c r="D224" t="s">
        <v>29</v>
      </c>
      <c r="E224" t="s">
        <v>195</v>
      </c>
      <c r="F224" t="s">
        <v>57</v>
      </c>
      <c r="G224" t="s">
        <v>58</v>
      </c>
      <c r="H224">
        <v>11.6</v>
      </c>
      <c r="I224">
        <v>2.2000000000000002</v>
      </c>
      <c r="J224" t="s">
        <v>33</v>
      </c>
      <c r="K224" t="s">
        <v>709</v>
      </c>
      <c r="L224" t="s">
        <v>126</v>
      </c>
      <c r="M224" t="s">
        <v>710</v>
      </c>
      <c r="N224" t="s">
        <v>37</v>
      </c>
      <c r="O224">
        <v>83</v>
      </c>
      <c r="Q224">
        <v>0</v>
      </c>
      <c r="R224">
        <v>500</v>
      </c>
      <c r="T224" t="s">
        <v>136</v>
      </c>
      <c r="U224" t="s">
        <v>52</v>
      </c>
      <c r="V224" t="s">
        <v>39</v>
      </c>
      <c r="W224" t="s">
        <v>52</v>
      </c>
      <c r="X224">
        <v>2024</v>
      </c>
      <c r="Y224" t="s">
        <v>91</v>
      </c>
      <c r="Z224" t="s">
        <v>64</v>
      </c>
    </row>
    <row r="225" spans="1:26">
      <c r="A225" t="s">
        <v>711</v>
      </c>
      <c r="B225" t="s">
        <v>116</v>
      </c>
      <c r="C225" t="s">
        <v>28</v>
      </c>
      <c r="D225" t="s">
        <v>77</v>
      </c>
      <c r="E225" t="s">
        <v>260</v>
      </c>
      <c r="F225" t="s">
        <v>31</v>
      </c>
      <c r="G225" t="s">
        <v>32</v>
      </c>
      <c r="H225">
        <v>5</v>
      </c>
      <c r="I225">
        <v>19.7</v>
      </c>
      <c r="J225" t="s">
        <v>20</v>
      </c>
      <c r="K225" t="s">
        <v>712</v>
      </c>
      <c r="L225" t="s">
        <v>140</v>
      </c>
      <c r="M225" t="s">
        <v>713</v>
      </c>
      <c r="N225" t="s">
        <v>71</v>
      </c>
      <c r="O225">
        <v>128</v>
      </c>
      <c r="P225" t="s">
        <v>89</v>
      </c>
      <c r="Q225">
        <v>3840</v>
      </c>
      <c r="R225">
        <v>500</v>
      </c>
      <c r="S225" t="s">
        <v>90</v>
      </c>
      <c r="T225" t="s">
        <v>51</v>
      </c>
      <c r="U225" t="s">
        <v>39</v>
      </c>
      <c r="V225" t="s">
        <v>39</v>
      </c>
      <c r="W225" t="s">
        <v>52</v>
      </c>
      <c r="X225">
        <v>2022</v>
      </c>
      <c r="Y225" t="s">
        <v>114</v>
      </c>
      <c r="Z225" t="s">
        <v>41</v>
      </c>
    </row>
    <row r="226" spans="1:26">
      <c r="A226" t="s">
        <v>714</v>
      </c>
      <c r="B226" t="s">
        <v>66</v>
      </c>
      <c r="C226" t="s">
        <v>102</v>
      </c>
      <c r="D226" t="s">
        <v>77</v>
      </c>
      <c r="E226" t="s">
        <v>260</v>
      </c>
      <c r="F226" t="s">
        <v>238</v>
      </c>
      <c r="G226" t="s">
        <v>32</v>
      </c>
      <c r="H226">
        <v>8.6</v>
      </c>
      <c r="I226">
        <v>4.4000000000000004</v>
      </c>
      <c r="J226" t="s">
        <v>33</v>
      </c>
      <c r="K226" t="s">
        <v>276</v>
      </c>
      <c r="L226" t="s">
        <v>98</v>
      </c>
      <c r="M226" t="s">
        <v>127</v>
      </c>
      <c r="N226" t="s">
        <v>171</v>
      </c>
      <c r="O226">
        <v>169</v>
      </c>
      <c r="Q226">
        <v>0</v>
      </c>
      <c r="R226">
        <v>0</v>
      </c>
      <c r="T226" t="s">
        <v>51</v>
      </c>
      <c r="U226" t="s">
        <v>39</v>
      </c>
      <c r="V226" t="s">
        <v>52</v>
      </c>
      <c r="W226" t="s">
        <v>39</v>
      </c>
      <c r="X226">
        <v>2024</v>
      </c>
      <c r="Y226" t="s">
        <v>211</v>
      </c>
      <c r="Z226" t="s">
        <v>41</v>
      </c>
    </row>
    <row r="227" spans="1:26">
      <c r="A227" t="s">
        <v>715</v>
      </c>
      <c r="B227" t="s">
        <v>43</v>
      </c>
      <c r="C227" t="s">
        <v>28</v>
      </c>
      <c r="D227" t="s">
        <v>77</v>
      </c>
      <c r="E227" t="s">
        <v>216</v>
      </c>
      <c r="F227" t="s">
        <v>57</v>
      </c>
      <c r="G227" t="s">
        <v>58</v>
      </c>
      <c r="H227">
        <v>1.4</v>
      </c>
      <c r="I227">
        <v>21.6</v>
      </c>
      <c r="J227" t="s">
        <v>144</v>
      </c>
      <c r="K227" t="s">
        <v>246</v>
      </c>
      <c r="L227" t="s">
        <v>48</v>
      </c>
      <c r="M227" t="s">
        <v>716</v>
      </c>
      <c r="N227" t="s">
        <v>100</v>
      </c>
      <c r="O227">
        <v>36</v>
      </c>
      <c r="Q227">
        <v>0</v>
      </c>
      <c r="R227">
        <v>0</v>
      </c>
      <c r="T227" t="s">
        <v>51</v>
      </c>
      <c r="U227" t="s">
        <v>39</v>
      </c>
      <c r="V227" t="s">
        <v>52</v>
      </c>
      <c r="W227" t="s">
        <v>39</v>
      </c>
      <c r="X227">
        <v>2024</v>
      </c>
      <c r="Y227" t="s">
        <v>91</v>
      </c>
      <c r="Z227" t="s">
        <v>64</v>
      </c>
    </row>
    <row r="228" spans="1:26">
      <c r="A228" t="s">
        <v>717</v>
      </c>
      <c r="B228" t="s">
        <v>108</v>
      </c>
      <c r="C228" t="s">
        <v>121</v>
      </c>
      <c r="D228" t="s">
        <v>77</v>
      </c>
      <c r="E228" t="s">
        <v>143</v>
      </c>
      <c r="F228" t="s">
        <v>109</v>
      </c>
      <c r="G228" t="s">
        <v>58</v>
      </c>
      <c r="H228">
        <v>6.4</v>
      </c>
      <c r="I228">
        <v>2.2000000000000002</v>
      </c>
      <c r="J228" t="s">
        <v>156</v>
      </c>
      <c r="K228" t="s">
        <v>233</v>
      </c>
      <c r="L228" t="s">
        <v>140</v>
      </c>
      <c r="M228" t="s">
        <v>718</v>
      </c>
      <c r="N228" t="s">
        <v>71</v>
      </c>
      <c r="O228">
        <v>118</v>
      </c>
      <c r="P228" t="s">
        <v>89</v>
      </c>
      <c r="Q228">
        <v>7086</v>
      </c>
      <c r="R228">
        <v>0</v>
      </c>
      <c r="S228" t="s">
        <v>113</v>
      </c>
      <c r="T228" t="s">
        <v>38</v>
      </c>
      <c r="U228" t="s">
        <v>52</v>
      </c>
      <c r="V228" t="s">
        <v>52</v>
      </c>
      <c r="W228" t="s">
        <v>52</v>
      </c>
      <c r="X228">
        <v>2024</v>
      </c>
      <c r="Y228" t="s">
        <v>40</v>
      </c>
      <c r="Z228" t="s">
        <v>41</v>
      </c>
    </row>
    <row r="229" spans="1:26">
      <c r="A229" t="s">
        <v>719</v>
      </c>
      <c r="B229" t="s">
        <v>93</v>
      </c>
      <c r="C229" t="s">
        <v>121</v>
      </c>
      <c r="D229" t="s">
        <v>29</v>
      </c>
      <c r="E229" t="s">
        <v>117</v>
      </c>
      <c r="F229" t="s">
        <v>68</v>
      </c>
      <c r="G229" t="s">
        <v>58</v>
      </c>
      <c r="H229">
        <v>4.8</v>
      </c>
      <c r="I229">
        <v>12.3</v>
      </c>
      <c r="J229" t="s">
        <v>144</v>
      </c>
      <c r="K229" t="s">
        <v>644</v>
      </c>
      <c r="L229" t="s">
        <v>140</v>
      </c>
      <c r="M229" t="s">
        <v>720</v>
      </c>
      <c r="N229" t="s">
        <v>37</v>
      </c>
      <c r="O229">
        <v>156</v>
      </c>
      <c r="Q229">
        <v>0</v>
      </c>
      <c r="R229">
        <v>500</v>
      </c>
      <c r="T229" t="s">
        <v>62</v>
      </c>
      <c r="U229" t="s">
        <v>39</v>
      </c>
      <c r="V229" t="s">
        <v>52</v>
      </c>
      <c r="W229" t="s">
        <v>52</v>
      </c>
      <c r="X229">
        <v>2024</v>
      </c>
      <c r="Y229" t="s">
        <v>53</v>
      </c>
      <c r="Z229" t="s">
        <v>54</v>
      </c>
    </row>
    <row r="230" spans="1:26">
      <c r="A230" t="s">
        <v>721</v>
      </c>
      <c r="B230" t="s">
        <v>43</v>
      </c>
      <c r="C230" t="s">
        <v>164</v>
      </c>
      <c r="D230" t="s">
        <v>29</v>
      </c>
      <c r="E230" t="s">
        <v>94</v>
      </c>
      <c r="F230" t="s">
        <v>109</v>
      </c>
      <c r="G230" t="s">
        <v>32</v>
      </c>
      <c r="H230">
        <v>8.3000000000000007</v>
      </c>
      <c r="I230">
        <v>32.299999999999997</v>
      </c>
      <c r="J230" t="s">
        <v>156</v>
      </c>
      <c r="K230" t="s">
        <v>193</v>
      </c>
      <c r="L230" t="s">
        <v>35</v>
      </c>
      <c r="M230" t="s">
        <v>518</v>
      </c>
      <c r="N230" t="s">
        <v>37</v>
      </c>
      <c r="O230">
        <v>52</v>
      </c>
      <c r="Q230">
        <v>0</v>
      </c>
      <c r="R230">
        <v>500</v>
      </c>
      <c r="T230" t="s">
        <v>51</v>
      </c>
      <c r="U230" t="s">
        <v>52</v>
      </c>
      <c r="V230" t="s">
        <v>52</v>
      </c>
      <c r="W230" t="s">
        <v>52</v>
      </c>
      <c r="X230">
        <v>2023</v>
      </c>
      <c r="Y230" t="s">
        <v>312</v>
      </c>
      <c r="Z230" t="s">
        <v>83</v>
      </c>
    </row>
    <row r="231" spans="1:26">
      <c r="A231" t="s">
        <v>722</v>
      </c>
      <c r="B231" t="s">
        <v>43</v>
      </c>
      <c r="C231" t="s">
        <v>173</v>
      </c>
      <c r="D231" t="s">
        <v>29</v>
      </c>
      <c r="E231" t="s">
        <v>56</v>
      </c>
      <c r="F231" t="s">
        <v>68</v>
      </c>
      <c r="G231" t="s">
        <v>32</v>
      </c>
      <c r="H231">
        <v>1.8</v>
      </c>
      <c r="I231">
        <v>23.6</v>
      </c>
      <c r="J231" t="s">
        <v>156</v>
      </c>
      <c r="K231" t="s">
        <v>723</v>
      </c>
      <c r="L231" t="s">
        <v>60</v>
      </c>
      <c r="M231" t="s">
        <v>724</v>
      </c>
      <c r="N231" t="s">
        <v>71</v>
      </c>
      <c r="O231">
        <v>4</v>
      </c>
      <c r="P231" t="s">
        <v>89</v>
      </c>
      <c r="Q231">
        <v>1603</v>
      </c>
      <c r="R231">
        <v>500</v>
      </c>
      <c r="S231" t="s">
        <v>73</v>
      </c>
      <c r="T231" t="s">
        <v>51</v>
      </c>
      <c r="U231" t="s">
        <v>39</v>
      </c>
      <c r="V231" t="s">
        <v>52</v>
      </c>
      <c r="W231" t="s">
        <v>39</v>
      </c>
      <c r="X231">
        <v>2024</v>
      </c>
      <c r="Y231" t="s">
        <v>53</v>
      </c>
      <c r="Z231" t="s">
        <v>54</v>
      </c>
    </row>
    <row r="232" spans="1:26">
      <c r="A232" t="s">
        <v>725</v>
      </c>
      <c r="B232" t="s">
        <v>66</v>
      </c>
      <c r="C232" t="s">
        <v>173</v>
      </c>
      <c r="D232" t="s">
        <v>122</v>
      </c>
      <c r="E232" t="s">
        <v>130</v>
      </c>
      <c r="F232" t="s">
        <v>238</v>
      </c>
      <c r="G232" t="s">
        <v>32</v>
      </c>
      <c r="H232">
        <v>2.9</v>
      </c>
      <c r="I232">
        <v>27.6</v>
      </c>
      <c r="J232" t="s">
        <v>144</v>
      </c>
      <c r="K232" t="s">
        <v>726</v>
      </c>
      <c r="L232" t="s">
        <v>126</v>
      </c>
      <c r="M232" t="s">
        <v>175</v>
      </c>
      <c r="N232" t="s">
        <v>37</v>
      </c>
      <c r="O232">
        <v>158</v>
      </c>
      <c r="Q232">
        <v>0</v>
      </c>
      <c r="R232">
        <v>1000</v>
      </c>
      <c r="T232" t="s">
        <v>51</v>
      </c>
      <c r="U232" t="s">
        <v>39</v>
      </c>
      <c r="V232" t="s">
        <v>39</v>
      </c>
      <c r="W232" t="s">
        <v>52</v>
      </c>
      <c r="X232">
        <v>2022</v>
      </c>
      <c r="Y232" t="s">
        <v>40</v>
      </c>
      <c r="Z232" t="s">
        <v>41</v>
      </c>
    </row>
    <row r="233" spans="1:26">
      <c r="A233" t="s">
        <v>727</v>
      </c>
      <c r="B233" t="s">
        <v>27</v>
      </c>
      <c r="C233" t="s">
        <v>102</v>
      </c>
      <c r="D233" t="s">
        <v>77</v>
      </c>
      <c r="E233" t="s">
        <v>78</v>
      </c>
      <c r="F233" t="s">
        <v>124</v>
      </c>
      <c r="G233" t="s">
        <v>32</v>
      </c>
      <c r="H233">
        <v>9.1</v>
      </c>
      <c r="I233">
        <v>19.399999999999999</v>
      </c>
      <c r="J233" t="s">
        <v>144</v>
      </c>
      <c r="K233" t="s">
        <v>585</v>
      </c>
      <c r="L233" t="s">
        <v>48</v>
      </c>
      <c r="M233" t="s">
        <v>728</v>
      </c>
      <c r="N233" t="s">
        <v>171</v>
      </c>
      <c r="O233">
        <v>163</v>
      </c>
      <c r="Q233">
        <v>0</v>
      </c>
      <c r="R233">
        <v>0</v>
      </c>
      <c r="T233" t="s">
        <v>38</v>
      </c>
      <c r="U233" t="s">
        <v>39</v>
      </c>
      <c r="V233" t="s">
        <v>39</v>
      </c>
      <c r="W233" t="s">
        <v>39</v>
      </c>
      <c r="X233">
        <v>2023</v>
      </c>
      <c r="Y233" t="s">
        <v>74</v>
      </c>
      <c r="Z233" t="s">
        <v>54</v>
      </c>
    </row>
    <row r="234" spans="1:26">
      <c r="A234" t="s">
        <v>729</v>
      </c>
      <c r="B234" t="s">
        <v>93</v>
      </c>
      <c r="C234" t="s">
        <v>76</v>
      </c>
      <c r="D234" t="s">
        <v>85</v>
      </c>
      <c r="E234" t="s">
        <v>174</v>
      </c>
      <c r="F234" t="s">
        <v>46</v>
      </c>
      <c r="G234" t="s">
        <v>32</v>
      </c>
      <c r="H234">
        <v>1.6</v>
      </c>
      <c r="I234">
        <v>20.6</v>
      </c>
      <c r="J234" t="s">
        <v>156</v>
      </c>
      <c r="K234" t="s">
        <v>119</v>
      </c>
      <c r="L234" t="s">
        <v>48</v>
      </c>
      <c r="M234" t="s">
        <v>675</v>
      </c>
      <c r="N234" t="s">
        <v>61</v>
      </c>
      <c r="O234">
        <v>72</v>
      </c>
      <c r="Q234">
        <v>0</v>
      </c>
      <c r="R234">
        <v>0</v>
      </c>
      <c r="T234" t="s">
        <v>38</v>
      </c>
      <c r="U234" t="s">
        <v>39</v>
      </c>
      <c r="V234" t="s">
        <v>52</v>
      </c>
      <c r="W234" t="s">
        <v>39</v>
      </c>
      <c r="X234">
        <v>2024</v>
      </c>
      <c r="Y234" t="s">
        <v>53</v>
      </c>
      <c r="Z234" t="s">
        <v>54</v>
      </c>
    </row>
    <row r="235" spans="1:26">
      <c r="A235" t="s">
        <v>730</v>
      </c>
      <c r="B235" t="s">
        <v>27</v>
      </c>
      <c r="C235" t="s">
        <v>102</v>
      </c>
      <c r="D235" t="s">
        <v>77</v>
      </c>
      <c r="E235" t="s">
        <v>168</v>
      </c>
      <c r="F235" t="s">
        <v>68</v>
      </c>
      <c r="G235" t="s">
        <v>58</v>
      </c>
      <c r="H235">
        <v>1</v>
      </c>
      <c r="I235">
        <v>24.9</v>
      </c>
      <c r="J235" t="s">
        <v>96</v>
      </c>
      <c r="K235" t="s">
        <v>731</v>
      </c>
      <c r="L235" t="s">
        <v>140</v>
      </c>
      <c r="M235" t="s">
        <v>127</v>
      </c>
      <c r="N235" t="s">
        <v>171</v>
      </c>
      <c r="O235">
        <v>147</v>
      </c>
      <c r="Q235">
        <v>0</v>
      </c>
      <c r="R235">
        <v>0</v>
      </c>
      <c r="T235" t="s">
        <v>81</v>
      </c>
      <c r="U235" t="s">
        <v>52</v>
      </c>
      <c r="V235" t="s">
        <v>52</v>
      </c>
      <c r="W235" t="s">
        <v>52</v>
      </c>
      <c r="X235">
        <v>2024</v>
      </c>
      <c r="Y235" t="s">
        <v>91</v>
      </c>
      <c r="Z235" t="s">
        <v>64</v>
      </c>
    </row>
    <row r="236" spans="1:26">
      <c r="A236" t="s">
        <v>732</v>
      </c>
      <c r="B236" t="s">
        <v>27</v>
      </c>
      <c r="C236" t="s">
        <v>121</v>
      </c>
      <c r="D236" t="s">
        <v>29</v>
      </c>
      <c r="E236" t="s">
        <v>56</v>
      </c>
      <c r="F236" t="s">
        <v>109</v>
      </c>
      <c r="G236" t="s">
        <v>58</v>
      </c>
      <c r="H236">
        <v>4</v>
      </c>
      <c r="I236">
        <v>10.6</v>
      </c>
      <c r="J236" t="s">
        <v>33</v>
      </c>
      <c r="K236" t="s">
        <v>176</v>
      </c>
      <c r="L236" t="s">
        <v>98</v>
      </c>
      <c r="M236" t="s">
        <v>733</v>
      </c>
      <c r="N236" t="s">
        <v>171</v>
      </c>
      <c r="O236">
        <v>55</v>
      </c>
      <c r="Q236">
        <v>0</v>
      </c>
      <c r="R236">
        <v>0</v>
      </c>
      <c r="T236" t="s">
        <v>51</v>
      </c>
      <c r="U236" t="s">
        <v>52</v>
      </c>
      <c r="V236" t="s">
        <v>39</v>
      </c>
      <c r="W236" t="s">
        <v>52</v>
      </c>
      <c r="X236">
        <v>2023</v>
      </c>
      <c r="Y236" t="s">
        <v>312</v>
      </c>
      <c r="Z236" t="s">
        <v>83</v>
      </c>
    </row>
    <row r="237" spans="1:26">
      <c r="A237" t="s">
        <v>734</v>
      </c>
      <c r="B237" t="s">
        <v>116</v>
      </c>
      <c r="C237" t="s">
        <v>67</v>
      </c>
      <c r="D237" t="s">
        <v>77</v>
      </c>
      <c r="E237" t="s">
        <v>260</v>
      </c>
      <c r="F237" t="s">
        <v>109</v>
      </c>
      <c r="G237" t="s">
        <v>32</v>
      </c>
      <c r="H237">
        <v>3.2</v>
      </c>
      <c r="I237">
        <v>25.5</v>
      </c>
      <c r="J237" t="s">
        <v>144</v>
      </c>
      <c r="K237" t="s">
        <v>735</v>
      </c>
      <c r="L237" t="s">
        <v>35</v>
      </c>
      <c r="M237" t="s">
        <v>736</v>
      </c>
      <c r="N237" t="s">
        <v>100</v>
      </c>
      <c r="O237">
        <v>30</v>
      </c>
      <c r="Q237">
        <v>0</v>
      </c>
      <c r="R237">
        <v>0</v>
      </c>
      <c r="T237" t="s">
        <v>51</v>
      </c>
      <c r="U237" t="s">
        <v>39</v>
      </c>
      <c r="V237" t="s">
        <v>52</v>
      </c>
      <c r="W237" t="s">
        <v>39</v>
      </c>
      <c r="X237">
        <v>2024</v>
      </c>
      <c r="Y237" t="s">
        <v>82</v>
      </c>
      <c r="Z237" t="s">
        <v>83</v>
      </c>
    </row>
    <row r="238" spans="1:26">
      <c r="A238" t="s">
        <v>737</v>
      </c>
      <c r="B238" t="s">
        <v>66</v>
      </c>
      <c r="C238" t="s">
        <v>44</v>
      </c>
      <c r="D238" t="s">
        <v>29</v>
      </c>
      <c r="E238" t="s">
        <v>45</v>
      </c>
      <c r="F238" t="s">
        <v>95</v>
      </c>
      <c r="G238" t="s">
        <v>58</v>
      </c>
      <c r="H238">
        <v>7.6</v>
      </c>
      <c r="I238">
        <v>7.9</v>
      </c>
      <c r="J238" t="s">
        <v>20</v>
      </c>
      <c r="K238" t="s">
        <v>619</v>
      </c>
      <c r="L238" t="s">
        <v>98</v>
      </c>
      <c r="M238" t="s">
        <v>670</v>
      </c>
      <c r="N238" t="s">
        <v>71</v>
      </c>
      <c r="O238">
        <v>2</v>
      </c>
      <c r="P238" t="s">
        <v>112</v>
      </c>
      <c r="Q238">
        <v>2363</v>
      </c>
      <c r="R238">
        <v>2000</v>
      </c>
      <c r="S238" t="s">
        <v>73</v>
      </c>
      <c r="T238" t="s">
        <v>81</v>
      </c>
      <c r="U238" t="s">
        <v>39</v>
      </c>
      <c r="V238" t="s">
        <v>52</v>
      </c>
      <c r="W238" t="s">
        <v>52</v>
      </c>
      <c r="X238">
        <v>2024</v>
      </c>
      <c r="Y238" t="s">
        <v>63</v>
      </c>
      <c r="Z238" t="s">
        <v>64</v>
      </c>
    </row>
    <row r="239" spans="1:26">
      <c r="A239" t="s">
        <v>738</v>
      </c>
      <c r="B239" t="s">
        <v>93</v>
      </c>
      <c r="C239" t="s">
        <v>44</v>
      </c>
      <c r="D239" t="s">
        <v>77</v>
      </c>
      <c r="E239" t="s">
        <v>143</v>
      </c>
      <c r="F239" t="s">
        <v>57</v>
      </c>
      <c r="G239" t="s">
        <v>32</v>
      </c>
      <c r="H239">
        <v>0.9</v>
      </c>
      <c r="I239">
        <v>28.8</v>
      </c>
      <c r="J239" t="s">
        <v>156</v>
      </c>
      <c r="K239" t="s">
        <v>739</v>
      </c>
      <c r="L239" t="s">
        <v>126</v>
      </c>
      <c r="M239" t="s">
        <v>740</v>
      </c>
      <c r="N239" t="s">
        <v>71</v>
      </c>
      <c r="O239">
        <v>14</v>
      </c>
      <c r="P239" t="s">
        <v>112</v>
      </c>
      <c r="Q239">
        <v>5063</v>
      </c>
      <c r="R239">
        <v>1000</v>
      </c>
      <c r="S239" t="s">
        <v>152</v>
      </c>
      <c r="T239" t="s">
        <v>38</v>
      </c>
      <c r="U239" t="s">
        <v>52</v>
      </c>
      <c r="V239" t="s">
        <v>52</v>
      </c>
      <c r="W239" t="s">
        <v>39</v>
      </c>
      <c r="X239">
        <v>2022</v>
      </c>
      <c r="Y239" t="s">
        <v>53</v>
      </c>
      <c r="Z239" t="s">
        <v>54</v>
      </c>
    </row>
    <row r="240" spans="1:26">
      <c r="A240" t="s">
        <v>741</v>
      </c>
      <c r="B240" t="s">
        <v>116</v>
      </c>
      <c r="C240" t="s">
        <v>173</v>
      </c>
      <c r="D240" t="s">
        <v>29</v>
      </c>
      <c r="E240" t="s">
        <v>30</v>
      </c>
      <c r="F240" t="s">
        <v>160</v>
      </c>
      <c r="G240" t="s">
        <v>58</v>
      </c>
      <c r="H240">
        <v>1</v>
      </c>
      <c r="I240">
        <v>32.5</v>
      </c>
      <c r="J240" t="s">
        <v>33</v>
      </c>
      <c r="K240" t="s">
        <v>742</v>
      </c>
      <c r="L240" t="s">
        <v>126</v>
      </c>
      <c r="M240" t="s">
        <v>345</v>
      </c>
      <c r="N240" t="s">
        <v>71</v>
      </c>
      <c r="O240">
        <v>150</v>
      </c>
      <c r="P240" t="s">
        <v>112</v>
      </c>
      <c r="Q240">
        <v>4370</v>
      </c>
      <c r="R240">
        <v>5000</v>
      </c>
      <c r="S240" t="s">
        <v>90</v>
      </c>
      <c r="T240" t="s">
        <v>38</v>
      </c>
      <c r="U240" t="s">
        <v>52</v>
      </c>
      <c r="V240" t="s">
        <v>39</v>
      </c>
      <c r="W240" t="s">
        <v>52</v>
      </c>
      <c r="X240">
        <v>2022</v>
      </c>
      <c r="Y240" t="s">
        <v>53</v>
      </c>
      <c r="Z240" t="s">
        <v>54</v>
      </c>
    </row>
    <row r="241" spans="1:26">
      <c r="A241" t="s">
        <v>743</v>
      </c>
      <c r="B241" t="s">
        <v>66</v>
      </c>
      <c r="C241" t="s">
        <v>67</v>
      </c>
      <c r="D241" t="s">
        <v>77</v>
      </c>
      <c r="E241" t="s">
        <v>94</v>
      </c>
      <c r="F241" t="s">
        <v>238</v>
      </c>
      <c r="G241" t="s">
        <v>58</v>
      </c>
      <c r="H241">
        <v>10.7</v>
      </c>
      <c r="I241">
        <v>33.799999999999997</v>
      </c>
      <c r="J241" t="s">
        <v>33</v>
      </c>
      <c r="K241" t="s">
        <v>744</v>
      </c>
      <c r="L241" t="s">
        <v>35</v>
      </c>
      <c r="M241" t="s">
        <v>544</v>
      </c>
      <c r="N241" t="s">
        <v>71</v>
      </c>
      <c r="O241">
        <v>163</v>
      </c>
      <c r="P241" t="s">
        <v>230</v>
      </c>
      <c r="Q241">
        <v>5441</v>
      </c>
      <c r="R241">
        <v>2000</v>
      </c>
      <c r="S241" t="s">
        <v>90</v>
      </c>
      <c r="T241" t="s">
        <v>62</v>
      </c>
      <c r="U241" t="s">
        <v>39</v>
      </c>
      <c r="V241" t="s">
        <v>52</v>
      </c>
      <c r="W241" t="s">
        <v>52</v>
      </c>
      <c r="X241">
        <v>2023</v>
      </c>
      <c r="Y241" t="s">
        <v>211</v>
      </c>
      <c r="Z241" t="s">
        <v>41</v>
      </c>
    </row>
    <row r="242" spans="1:26">
      <c r="A242" t="s">
        <v>745</v>
      </c>
      <c r="B242" t="s">
        <v>43</v>
      </c>
      <c r="C242" t="s">
        <v>28</v>
      </c>
      <c r="D242" t="s">
        <v>122</v>
      </c>
      <c r="E242" t="s">
        <v>148</v>
      </c>
      <c r="F242" t="s">
        <v>68</v>
      </c>
      <c r="G242" t="s">
        <v>58</v>
      </c>
      <c r="H242">
        <v>2.7</v>
      </c>
      <c r="I242">
        <v>29.3</v>
      </c>
      <c r="J242" t="s">
        <v>96</v>
      </c>
      <c r="K242" t="s">
        <v>746</v>
      </c>
      <c r="L242" t="s">
        <v>140</v>
      </c>
      <c r="M242" t="s">
        <v>406</v>
      </c>
      <c r="N242" t="s">
        <v>71</v>
      </c>
      <c r="O242">
        <v>166</v>
      </c>
      <c r="P242" t="s">
        <v>112</v>
      </c>
      <c r="Q242">
        <v>1159</v>
      </c>
      <c r="R242">
        <v>0</v>
      </c>
      <c r="S242" t="s">
        <v>73</v>
      </c>
      <c r="T242" t="s">
        <v>51</v>
      </c>
      <c r="U242" t="s">
        <v>39</v>
      </c>
      <c r="V242" t="s">
        <v>52</v>
      </c>
      <c r="W242" t="s">
        <v>39</v>
      </c>
      <c r="X242">
        <v>2024</v>
      </c>
      <c r="Y242" t="s">
        <v>74</v>
      </c>
      <c r="Z242" t="s">
        <v>54</v>
      </c>
    </row>
    <row r="243" spans="1:26">
      <c r="A243" t="s">
        <v>747</v>
      </c>
      <c r="B243" t="s">
        <v>43</v>
      </c>
      <c r="C243" t="s">
        <v>67</v>
      </c>
      <c r="D243" t="s">
        <v>77</v>
      </c>
      <c r="E243" t="s">
        <v>78</v>
      </c>
      <c r="F243" t="s">
        <v>149</v>
      </c>
      <c r="G243" t="s">
        <v>32</v>
      </c>
      <c r="H243">
        <v>3.5</v>
      </c>
      <c r="I243">
        <v>2.9</v>
      </c>
      <c r="J243" t="s">
        <v>33</v>
      </c>
      <c r="K243" t="s">
        <v>214</v>
      </c>
      <c r="L243" t="s">
        <v>140</v>
      </c>
      <c r="M243" t="s">
        <v>748</v>
      </c>
      <c r="N243" t="s">
        <v>71</v>
      </c>
      <c r="O243">
        <v>92</v>
      </c>
      <c r="P243" t="s">
        <v>72</v>
      </c>
      <c r="Q243">
        <v>4921</v>
      </c>
      <c r="R243">
        <v>0</v>
      </c>
      <c r="S243" t="s">
        <v>113</v>
      </c>
      <c r="T243" t="s">
        <v>62</v>
      </c>
      <c r="U243" t="s">
        <v>39</v>
      </c>
      <c r="V243" t="s">
        <v>52</v>
      </c>
      <c r="W243" t="s">
        <v>52</v>
      </c>
      <c r="X243">
        <v>2023</v>
      </c>
      <c r="Y243" t="s">
        <v>128</v>
      </c>
      <c r="Z243" t="s">
        <v>64</v>
      </c>
    </row>
    <row r="244" spans="1:26">
      <c r="A244" t="s">
        <v>749</v>
      </c>
      <c r="B244" t="s">
        <v>66</v>
      </c>
      <c r="C244" t="s">
        <v>67</v>
      </c>
      <c r="D244" t="s">
        <v>77</v>
      </c>
      <c r="E244" t="s">
        <v>220</v>
      </c>
      <c r="F244" t="s">
        <v>149</v>
      </c>
      <c r="G244" t="s">
        <v>32</v>
      </c>
      <c r="H244">
        <v>3.4</v>
      </c>
      <c r="I244">
        <v>12.9</v>
      </c>
      <c r="J244" t="s">
        <v>144</v>
      </c>
      <c r="K244" t="s">
        <v>750</v>
      </c>
      <c r="L244" t="s">
        <v>60</v>
      </c>
      <c r="M244" t="s">
        <v>751</v>
      </c>
      <c r="N244" t="s">
        <v>37</v>
      </c>
      <c r="O244">
        <v>64</v>
      </c>
      <c r="Q244">
        <v>0</v>
      </c>
      <c r="R244">
        <v>1000</v>
      </c>
      <c r="T244" t="s">
        <v>51</v>
      </c>
      <c r="U244" t="s">
        <v>52</v>
      </c>
      <c r="V244" t="s">
        <v>52</v>
      </c>
      <c r="W244" t="s">
        <v>39</v>
      </c>
      <c r="X244">
        <v>2023</v>
      </c>
      <c r="Y244" t="s">
        <v>91</v>
      </c>
      <c r="Z244" t="s">
        <v>64</v>
      </c>
    </row>
    <row r="245" spans="1:26">
      <c r="A245" t="s">
        <v>752</v>
      </c>
      <c r="B245" t="s">
        <v>66</v>
      </c>
      <c r="C245" t="s">
        <v>28</v>
      </c>
      <c r="D245" t="s">
        <v>77</v>
      </c>
      <c r="E245" t="s">
        <v>143</v>
      </c>
      <c r="F245" t="s">
        <v>238</v>
      </c>
      <c r="G245" t="s">
        <v>58</v>
      </c>
      <c r="H245">
        <v>8.8000000000000007</v>
      </c>
      <c r="I245">
        <v>22.1</v>
      </c>
      <c r="J245" t="s">
        <v>96</v>
      </c>
      <c r="K245" t="s">
        <v>753</v>
      </c>
      <c r="L245" t="s">
        <v>140</v>
      </c>
      <c r="M245" t="s">
        <v>754</v>
      </c>
      <c r="N245" t="s">
        <v>37</v>
      </c>
      <c r="O245">
        <v>36</v>
      </c>
      <c r="Q245">
        <v>0</v>
      </c>
      <c r="R245">
        <v>500</v>
      </c>
      <c r="T245" t="s">
        <v>62</v>
      </c>
      <c r="U245" t="s">
        <v>52</v>
      </c>
      <c r="V245" t="s">
        <v>52</v>
      </c>
      <c r="W245" t="s">
        <v>52</v>
      </c>
      <c r="X245">
        <v>2023</v>
      </c>
      <c r="Y245" t="s">
        <v>40</v>
      </c>
      <c r="Z245" t="s">
        <v>41</v>
      </c>
    </row>
    <row r="246" spans="1:26">
      <c r="A246" t="s">
        <v>755</v>
      </c>
      <c r="B246" t="s">
        <v>66</v>
      </c>
      <c r="C246" t="s">
        <v>173</v>
      </c>
      <c r="D246" t="s">
        <v>77</v>
      </c>
      <c r="E246" t="s">
        <v>168</v>
      </c>
      <c r="F246" t="s">
        <v>68</v>
      </c>
      <c r="G246" t="s">
        <v>32</v>
      </c>
      <c r="H246">
        <v>2.8</v>
      </c>
      <c r="I246">
        <v>27.1</v>
      </c>
      <c r="J246" t="s">
        <v>20</v>
      </c>
      <c r="K246" t="s">
        <v>590</v>
      </c>
      <c r="L246" t="s">
        <v>140</v>
      </c>
      <c r="M246" t="s">
        <v>127</v>
      </c>
      <c r="N246" t="s">
        <v>71</v>
      </c>
      <c r="O246">
        <v>168</v>
      </c>
      <c r="P246" t="s">
        <v>230</v>
      </c>
      <c r="Q246">
        <v>5996</v>
      </c>
      <c r="R246">
        <v>500</v>
      </c>
      <c r="S246" t="s">
        <v>90</v>
      </c>
      <c r="T246" t="s">
        <v>51</v>
      </c>
      <c r="U246" t="s">
        <v>39</v>
      </c>
      <c r="V246" t="s">
        <v>52</v>
      </c>
      <c r="W246" t="s">
        <v>52</v>
      </c>
      <c r="X246">
        <v>2024</v>
      </c>
      <c r="Y246" t="s">
        <v>211</v>
      </c>
      <c r="Z246" t="s">
        <v>41</v>
      </c>
    </row>
    <row r="247" spans="1:26">
      <c r="A247" t="s">
        <v>756</v>
      </c>
      <c r="B247" t="s">
        <v>66</v>
      </c>
      <c r="C247" t="s">
        <v>164</v>
      </c>
      <c r="D247" t="s">
        <v>77</v>
      </c>
      <c r="E247" t="s">
        <v>216</v>
      </c>
      <c r="F247" t="s">
        <v>149</v>
      </c>
      <c r="G247" t="s">
        <v>32</v>
      </c>
      <c r="H247">
        <v>2.2000000000000002</v>
      </c>
      <c r="I247">
        <v>33.200000000000003</v>
      </c>
      <c r="J247" t="s">
        <v>33</v>
      </c>
      <c r="K247" t="s">
        <v>125</v>
      </c>
      <c r="L247" t="s">
        <v>48</v>
      </c>
      <c r="M247" t="s">
        <v>757</v>
      </c>
      <c r="N247" t="s">
        <v>50</v>
      </c>
      <c r="O247">
        <v>36</v>
      </c>
      <c r="Q247">
        <v>0</v>
      </c>
      <c r="R247">
        <v>0</v>
      </c>
      <c r="T247" t="s">
        <v>136</v>
      </c>
      <c r="U247" t="s">
        <v>39</v>
      </c>
      <c r="V247" t="s">
        <v>39</v>
      </c>
      <c r="W247" t="s">
        <v>52</v>
      </c>
      <c r="X247">
        <v>2024</v>
      </c>
      <c r="Y247" t="s">
        <v>128</v>
      </c>
      <c r="Z247" t="s">
        <v>64</v>
      </c>
    </row>
    <row r="248" spans="1:26">
      <c r="A248" t="s">
        <v>758</v>
      </c>
      <c r="B248" t="s">
        <v>116</v>
      </c>
      <c r="C248" t="s">
        <v>76</v>
      </c>
      <c r="D248" t="s">
        <v>122</v>
      </c>
      <c r="E248" t="s">
        <v>148</v>
      </c>
      <c r="F248" t="s">
        <v>46</v>
      </c>
      <c r="G248" t="s">
        <v>58</v>
      </c>
      <c r="H248">
        <v>4.7</v>
      </c>
      <c r="I248">
        <v>32.200000000000003</v>
      </c>
      <c r="J248" t="s">
        <v>156</v>
      </c>
      <c r="K248" t="s">
        <v>759</v>
      </c>
      <c r="L248" t="s">
        <v>140</v>
      </c>
      <c r="M248" t="s">
        <v>760</v>
      </c>
      <c r="N248" t="s">
        <v>37</v>
      </c>
      <c r="O248">
        <v>172</v>
      </c>
      <c r="Q248">
        <v>0</v>
      </c>
      <c r="R248">
        <v>500</v>
      </c>
      <c r="T248" t="s">
        <v>51</v>
      </c>
      <c r="U248" t="s">
        <v>39</v>
      </c>
      <c r="V248" t="s">
        <v>52</v>
      </c>
      <c r="W248" t="s">
        <v>52</v>
      </c>
      <c r="X248">
        <v>2022</v>
      </c>
      <c r="Y248" t="s">
        <v>312</v>
      </c>
      <c r="Z248" t="s">
        <v>83</v>
      </c>
    </row>
    <row r="249" spans="1:26">
      <c r="A249" t="s">
        <v>761</v>
      </c>
      <c r="B249" t="s">
        <v>27</v>
      </c>
      <c r="C249" t="s">
        <v>44</v>
      </c>
      <c r="D249" t="s">
        <v>85</v>
      </c>
      <c r="E249" t="s">
        <v>86</v>
      </c>
      <c r="F249" t="s">
        <v>46</v>
      </c>
      <c r="G249" t="s">
        <v>32</v>
      </c>
      <c r="H249">
        <v>4.5999999999999996</v>
      </c>
      <c r="I249">
        <v>31.8</v>
      </c>
      <c r="J249" t="s">
        <v>144</v>
      </c>
      <c r="K249" t="s">
        <v>762</v>
      </c>
      <c r="L249" t="s">
        <v>126</v>
      </c>
      <c r="M249" t="s">
        <v>763</v>
      </c>
      <c r="N249" t="s">
        <v>71</v>
      </c>
      <c r="O249">
        <v>151</v>
      </c>
      <c r="P249" t="s">
        <v>105</v>
      </c>
      <c r="Q249">
        <v>2616</v>
      </c>
      <c r="R249">
        <v>0</v>
      </c>
      <c r="S249" t="s">
        <v>73</v>
      </c>
      <c r="T249" t="s">
        <v>62</v>
      </c>
      <c r="U249" t="s">
        <v>39</v>
      </c>
      <c r="V249" t="s">
        <v>52</v>
      </c>
      <c r="W249" t="s">
        <v>52</v>
      </c>
      <c r="X249">
        <v>2024</v>
      </c>
      <c r="Y249" t="s">
        <v>106</v>
      </c>
      <c r="Z249" t="s">
        <v>83</v>
      </c>
    </row>
    <row r="250" spans="1:26">
      <c r="A250" t="s">
        <v>764</v>
      </c>
      <c r="B250" t="s">
        <v>93</v>
      </c>
      <c r="C250" t="s">
        <v>28</v>
      </c>
      <c r="D250" t="s">
        <v>77</v>
      </c>
      <c r="E250" t="s">
        <v>143</v>
      </c>
      <c r="F250" t="s">
        <v>124</v>
      </c>
      <c r="G250" t="s">
        <v>32</v>
      </c>
      <c r="H250">
        <v>2.6</v>
      </c>
      <c r="I250">
        <v>6.9</v>
      </c>
      <c r="J250" t="s">
        <v>96</v>
      </c>
      <c r="K250" t="s">
        <v>765</v>
      </c>
      <c r="L250" t="s">
        <v>60</v>
      </c>
      <c r="M250" t="s">
        <v>127</v>
      </c>
      <c r="N250" t="s">
        <v>61</v>
      </c>
      <c r="O250">
        <v>165</v>
      </c>
      <c r="Q250">
        <v>0</v>
      </c>
      <c r="R250">
        <v>0</v>
      </c>
      <c r="T250" t="s">
        <v>38</v>
      </c>
      <c r="U250" t="s">
        <v>52</v>
      </c>
      <c r="V250" t="s">
        <v>52</v>
      </c>
      <c r="W250" t="s">
        <v>52</v>
      </c>
      <c r="X250">
        <v>2024</v>
      </c>
      <c r="Y250" t="s">
        <v>128</v>
      </c>
      <c r="Z250" t="s">
        <v>64</v>
      </c>
    </row>
    <row r="251" spans="1:26">
      <c r="A251" t="s">
        <v>766</v>
      </c>
      <c r="B251" t="s">
        <v>27</v>
      </c>
      <c r="C251" t="s">
        <v>164</v>
      </c>
      <c r="D251" t="s">
        <v>77</v>
      </c>
      <c r="E251" t="s">
        <v>363</v>
      </c>
      <c r="F251" t="s">
        <v>68</v>
      </c>
      <c r="G251" t="s">
        <v>58</v>
      </c>
      <c r="H251">
        <v>0.4</v>
      </c>
      <c r="I251">
        <v>2</v>
      </c>
      <c r="J251" t="s">
        <v>20</v>
      </c>
      <c r="K251" t="s">
        <v>633</v>
      </c>
      <c r="L251" t="s">
        <v>48</v>
      </c>
      <c r="M251" t="s">
        <v>767</v>
      </c>
      <c r="N251" t="s">
        <v>100</v>
      </c>
      <c r="O251">
        <v>166</v>
      </c>
      <c r="Q251">
        <v>0</v>
      </c>
      <c r="R251">
        <v>0</v>
      </c>
      <c r="T251" t="s">
        <v>38</v>
      </c>
      <c r="U251" t="s">
        <v>39</v>
      </c>
      <c r="V251" t="s">
        <v>52</v>
      </c>
      <c r="W251" t="s">
        <v>52</v>
      </c>
      <c r="X251">
        <v>2022</v>
      </c>
      <c r="Y251" t="s">
        <v>128</v>
      </c>
      <c r="Z251" t="s">
        <v>64</v>
      </c>
    </row>
    <row r="252" spans="1:26">
      <c r="A252" t="s">
        <v>768</v>
      </c>
      <c r="B252" t="s">
        <v>27</v>
      </c>
      <c r="C252" t="s">
        <v>121</v>
      </c>
      <c r="D252" t="s">
        <v>29</v>
      </c>
      <c r="E252" t="s">
        <v>117</v>
      </c>
      <c r="F252" t="s">
        <v>149</v>
      </c>
      <c r="G252" t="s">
        <v>58</v>
      </c>
      <c r="H252">
        <v>11.4</v>
      </c>
      <c r="I252">
        <v>8</v>
      </c>
      <c r="J252" t="s">
        <v>33</v>
      </c>
      <c r="K252" t="s">
        <v>341</v>
      </c>
      <c r="L252" t="s">
        <v>126</v>
      </c>
      <c r="M252" t="s">
        <v>565</v>
      </c>
      <c r="N252" t="s">
        <v>61</v>
      </c>
      <c r="O252">
        <v>170</v>
      </c>
      <c r="Q252">
        <v>0</v>
      </c>
      <c r="R252">
        <v>0</v>
      </c>
      <c r="T252" t="s">
        <v>62</v>
      </c>
      <c r="U252" t="s">
        <v>39</v>
      </c>
      <c r="V252" t="s">
        <v>52</v>
      </c>
      <c r="W252" t="s">
        <v>52</v>
      </c>
      <c r="X252">
        <v>2022</v>
      </c>
      <c r="Y252" t="s">
        <v>82</v>
      </c>
      <c r="Z252" t="s">
        <v>83</v>
      </c>
    </row>
    <row r="253" spans="1:26">
      <c r="A253" t="s">
        <v>769</v>
      </c>
      <c r="B253" t="s">
        <v>116</v>
      </c>
      <c r="C253" t="s">
        <v>102</v>
      </c>
      <c r="D253" t="s">
        <v>77</v>
      </c>
      <c r="E253" t="s">
        <v>168</v>
      </c>
      <c r="F253" t="s">
        <v>57</v>
      </c>
      <c r="G253" t="s">
        <v>32</v>
      </c>
      <c r="H253">
        <v>11.1</v>
      </c>
      <c r="I253">
        <v>21.1</v>
      </c>
      <c r="J253" t="s">
        <v>33</v>
      </c>
      <c r="K253" t="s">
        <v>770</v>
      </c>
      <c r="L253" t="s">
        <v>35</v>
      </c>
      <c r="M253" t="s">
        <v>660</v>
      </c>
      <c r="N253" t="s">
        <v>171</v>
      </c>
      <c r="O253">
        <v>176</v>
      </c>
      <c r="Q253">
        <v>0</v>
      </c>
      <c r="R253">
        <v>0</v>
      </c>
      <c r="T253" t="s">
        <v>38</v>
      </c>
      <c r="U253" t="s">
        <v>39</v>
      </c>
      <c r="V253" t="s">
        <v>52</v>
      </c>
      <c r="W253" t="s">
        <v>52</v>
      </c>
      <c r="X253">
        <v>2022</v>
      </c>
      <c r="Y253" t="s">
        <v>63</v>
      </c>
      <c r="Z253" t="s">
        <v>64</v>
      </c>
    </row>
    <row r="254" spans="1:26">
      <c r="A254" t="s">
        <v>771</v>
      </c>
      <c r="B254" t="s">
        <v>66</v>
      </c>
      <c r="C254" t="s">
        <v>164</v>
      </c>
      <c r="D254" t="s">
        <v>77</v>
      </c>
      <c r="E254" t="s">
        <v>143</v>
      </c>
      <c r="F254" t="s">
        <v>31</v>
      </c>
      <c r="G254" t="s">
        <v>58</v>
      </c>
      <c r="H254">
        <v>9.1</v>
      </c>
      <c r="I254">
        <v>3.7</v>
      </c>
      <c r="J254" t="s">
        <v>96</v>
      </c>
      <c r="K254" t="s">
        <v>348</v>
      </c>
      <c r="L254" t="s">
        <v>98</v>
      </c>
      <c r="M254" t="s">
        <v>662</v>
      </c>
      <c r="N254" t="s">
        <v>71</v>
      </c>
      <c r="O254">
        <v>122</v>
      </c>
      <c r="P254" t="s">
        <v>112</v>
      </c>
      <c r="Q254">
        <v>7353</v>
      </c>
      <c r="R254">
        <v>1000</v>
      </c>
      <c r="S254" t="s">
        <v>90</v>
      </c>
      <c r="T254" t="s">
        <v>51</v>
      </c>
      <c r="U254" t="s">
        <v>39</v>
      </c>
      <c r="V254" t="s">
        <v>52</v>
      </c>
      <c r="W254" t="s">
        <v>52</v>
      </c>
      <c r="X254">
        <v>2022</v>
      </c>
      <c r="Y254" t="s">
        <v>63</v>
      </c>
      <c r="Z254" t="s">
        <v>64</v>
      </c>
    </row>
    <row r="255" spans="1:26">
      <c r="A255" t="s">
        <v>772</v>
      </c>
      <c r="B255" t="s">
        <v>116</v>
      </c>
      <c r="C255" t="s">
        <v>173</v>
      </c>
      <c r="D255" t="s">
        <v>77</v>
      </c>
      <c r="E255" t="s">
        <v>78</v>
      </c>
      <c r="F255" t="s">
        <v>31</v>
      </c>
      <c r="G255" t="s">
        <v>32</v>
      </c>
      <c r="H255">
        <v>3.1</v>
      </c>
      <c r="I255">
        <v>26.9</v>
      </c>
      <c r="J255" t="s">
        <v>33</v>
      </c>
      <c r="K255" t="s">
        <v>773</v>
      </c>
      <c r="L255" t="s">
        <v>48</v>
      </c>
      <c r="M255" t="s">
        <v>196</v>
      </c>
      <c r="N255" t="s">
        <v>71</v>
      </c>
      <c r="O255">
        <v>90</v>
      </c>
      <c r="P255" t="s">
        <v>230</v>
      </c>
      <c r="Q255">
        <v>6485</v>
      </c>
      <c r="R255">
        <v>0</v>
      </c>
      <c r="S255" t="s">
        <v>73</v>
      </c>
      <c r="T255" t="s">
        <v>62</v>
      </c>
      <c r="U255" t="s">
        <v>39</v>
      </c>
      <c r="V255" t="s">
        <v>52</v>
      </c>
      <c r="W255" t="s">
        <v>39</v>
      </c>
      <c r="X255">
        <v>2024</v>
      </c>
      <c r="Y255" t="s">
        <v>82</v>
      </c>
      <c r="Z255" t="s">
        <v>83</v>
      </c>
    </row>
    <row r="256" spans="1:26">
      <c r="A256" t="s">
        <v>774</v>
      </c>
      <c r="B256" t="s">
        <v>27</v>
      </c>
      <c r="C256" t="s">
        <v>173</v>
      </c>
      <c r="D256" t="s">
        <v>85</v>
      </c>
      <c r="E256" t="s">
        <v>208</v>
      </c>
      <c r="F256" t="s">
        <v>160</v>
      </c>
      <c r="G256" t="s">
        <v>32</v>
      </c>
      <c r="H256">
        <v>1.4</v>
      </c>
      <c r="I256">
        <v>15.2</v>
      </c>
      <c r="J256" t="s">
        <v>20</v>
      </c>
      <c r="K256" t="s">
        <v>775</v>
      </c>
      <c r="L256" t="s">
        <v>60</v>
      </c>
      <c r="M256" t="s">
        <v>776</v>
      </c>
      <c r="N256" t="s">
        <v>171</v>
      </c>
      <c r="O256">
        <v>105</v>
      </c>
      <c r="Q256">
        <v>0</v>
      </c>
      <c r="R256">
        <v>0</v>
      </c>
      <c r="T256" t="s">
        <v>62</v>
      </c>
      <c r="U256" t="s">
        <v>39</v>
      </c>
      <c r="V256" t="s">
        <v>52</v>
      </c>
      <c r="W256" t="s">
        <v>52</v>
      </c>
      <c r="X256">
        <v>2023</v>
      </c>
      <c r="Y256" t="s">
        <v>91</v>
      </c>
      <c r="Z256" t="s">
        <v>64</v>
      </c>
    </row>
    <row r="257" spans="1:26">
      <c r="A257" t="s">
        <v>777</v>
      </c>
      <c r="B257" t="s">
        <v>93</v>
      </c>
      <c r="C257" t="s">
        <v>67</v>
      </c>
      <c r="D257" t="s">
        <v>77</v>
      </c>
      <c r="E257" t="s">
        <v>94</v>
      </c>
      <c r="F257" t="s">
        <v>57</v>
      </c>
      <c r="G257" t="s">
        <v>58</v>
      </c>
      <c r="H257">
        <v>6.8</v>
      </c>
      <c r="I257">
        <v>17.2</v>
      </c>
      <c r="J257" t="s">
        <v>96</v>
      </c>
      <c r="K257" t="s">
        <v>200</v>
      </c>
      <c r="L257" t="s">
        <v>98</v>
      </c>
      <c r="M257" t="s">
        <v>778</v>
      </c>
      <c r="N257" t="s">
        <v>171</v>
      </c>
      <c r="O257">
        <v>46</v>
      </c>
      <c r="Q257">
        <v>0</v>
      </c>
      <c r="R257">
        <v>0</v>
      </c>
      <c r="T257" t="s">
        <v>38</v>
      </c>
      <c r="U257" t="s">
        <v>39</v>
      </c>
      <c r="V257" t="s">
        <v>52</v>
      </c>
      <c r="W257" t="s">
        <v>52</v>
      </c>
      <c r="X257">
        <v>2024</v>
      </c>
      <c r="Y257" t="s">
        <v>114</v>
      </c>
      <c r="Z257" t="s">
        <v>41</v>
      </c>
    </row>
    <row r="258" spans="1:26">
      <c r="A258" t="s">
        <v>779</v>
      </c>
      <c r="B258" t="s">
        <v>66</v>
      </c>
      <c r="C258" t="s">
        <v>76</v>
      </c>
      <c r="D258" t="s">
        <v>29</v>
      </c>
      <c r="E258" t="s">
        <v>45</v>
      </c>
      <c r="F258" t="s">
        <v>68</v>
      </c>
      <c r="G258" t="s">
        <v>32</v>
      </c>
      <c r="H258">
        <v>9.6</v>
      </c>
      <c r="I258">
        <v>21.7</v>
      </c>
      <c r="J258" t="s">
        <v>156</v>
      </c>
      <c r="K258" t="s">
        <v>780</v>
      </c>
      <c r="L258" t="s">
        <v>35</v>
      </c>
      <c r="M258" t="s">
        <v>127</v>
      </c>
      <c r="N258" t="s">
        <v>171</v>
      </c>
      <c r="O258">
        <v>103</v>
      </c>
      <c r="Q258">
        <v>0</v>
      </c>
      <c r="R258">
        <v>0</v>
      </c>
      <c r="T258" t="s">
        <v>38</v>
      </c>
      <c r="U258" t="s">
        <v>39</v>
      </c>
      <c r="V258" t="s">
        <v>52</v>
      </c>
      <c r="W258" t="s">
        <v>52</v>
      </c>
      <c r="X258">
        <v>2024</v>
      </c>
      <c r="Y258" t="s">
        <v>128</v>
      </c>
      <c r="Z258" t="s">
        <v>64</v>
      </c>
    </row>
    <row r="259" spans="1:26">
      <c r="A259" t="s">
        <v>781</v>
      </c>
      <c r="B259" t="s">
        <v>108</v>
      </c>
      <c r="C259" t="s">
        <v>44</v>
      </c>
      <c r="D259" t="s">
        <v>29</v>
      </c>
      <c r="E259" t="s">
        <v>30</v>
      </c>
      <c r="F259" t="s">
        <v>31</v>
      </c>
      <c r="G259" t="s">
        <v>32</v>
      </c>
      <c r="H259">
        <v>1.1000000000000001</v>
      </c>
      <c r="I259">
        <v>1.8</v>
      </c>
      <c r="J259" t="s">
        <v>156</v>
      </c>
      <c r="K259" t="s">
        <v>587</v>
      </c>
      <c r="L259" t="s">
        <v>140</v>
      </c>
      <c r="M259" t="s">
        <v>782</v>
      </c>
      <c r="N259" t="s">
        <v>171</v>
      </c>
      <c r="O259">
        <v>57</v>
      </c>
      <c r="Q259">
        <v>0</v>
      </c>
      <c r="R259">
        <v>0</v>
      </c>
      <c r="T259" t="s">
        <v>38</v>
      </c>
      <c r="U259" t="s">
        <v>39</v>
      </c>
      <c r="V259" t="s">
        <v>52</v>
      </c>
      <c r="W259" t="s">
        <v>52</v>
      </c>
      <c r="X259">
        <v>2023</v>
      </c>
      <c r="Y259" t="s">
        <v>153</v>
      </c>
      <c r="Z259" t="s">
        <v>54</v>
      </c>
    </row>
    <row r="260" spans="1:26">
      <c r="A260" t="s">
        <v>783</v>
      </c>
      <c r="B260" t="s">
        <v>27</v>
      </c>
      <c r="C260" t="s">
        <v>102</v>
      </c>
      <c r="D260" t="s">
        <v>77</v>
      </c>
      <c r="E260" t="s">
        <v>220</v>
      </c>
      <c r="F260" t="s">
        <v>31</v>
      </c>
      <c r="G260" t="s">
        <v>58</v>
      </c>
      <c r="H260">
        <v>2.4</v>
      </c>
      <c r="I260">
        <v>27.5</v>
      </c>
      <c r="J260" t="s">
        <v>156</v>
      </c>
      <c r="K260" t="s">
        <v>784</v>
      </c>
      <c r="L260" t="s">
        <v>35</v>
      </c>
      <c r="M260" t="s">
        <v>785</v>
      </c>
      <c r="N260" t="s">
        <v>61</v>
      </c>
      <c r="O260">
        <v>169</v>
      </c>
      <c r="Q260">
        <v>0</v>
      </c>
      <c r="R260">
        <v>0</v>
      </c>
      <c r="T260" t="s">
        <v>51</v>
      </c>
      <c r="U260" t="s">
        <v>39</v>
      </c>
      <c r="V260" t="s">
        <v>52</v>
      </c>
      <c r="W260" t="s">
        <v>39</v>
      </c>
      <c r="X260">
        <v>2023</v>
      </c>
      <c r="Y260" t="s">
        <v>82</v>
      </c>
      <c r="Z260" t="s">
        <v>83</v>
      </c>
    </row>
    <row r="261" spans="1:26">
      <c r="A261" t="s">
        <v>786</v>
      </c>
      <c r="B261" t="s">
        <v>43</v>
      </c>
      <c r="C261" t="s">
        <v>76</v>
      </c>
      <c r="D261" t="s">
        <v>77</v>
      </c>
      <c r="E261" t="s">
        <v>143</v>
      </c>
      <c r="F261" t="s">
        <v>95</v>
      </c>
      <c r="G261" t="s">
        <v>58</v>
      </c>
      <c r="H261">
        <v>8.1</v>
      </c>
      <c r="I261">
        <v>14.5</v>
      </c>
      <c r="J261" t="s">
        <v>20</v>
      </c>
      <c r="K261" t="s">
        <v>787</v>
      </c>
      <c r="L261" t="s">
        <v>60</v>
      </c>
      <c r="M261" t="s">
        <v>509</v>
      </c>
      <c r="N261" t="s">
        <v>171</v>
      </c>
      <c r="O261">
        <v>103</v>
      </c>
      <c r="Q261">
        <v>0</v>
      </c>
      <c r="R261">
        <v>0</v>
      </c>
      <c r="T261" t="s">
        <v>62</v>
      </c>
      <c r="U261" t="s">
        <v>39</v>
      </c>
      <c r="V261" t="s">
        <v>52</v>
      </c>
      <c r="W261" t="s">
        <v>52</v>
      </c>
      <c r="X261">
        <v>2023</v>
      </c>
      <c r="Y261" t="s">
        <v>40</v>
      </c>
      <c r="Z261" t="s">
        <v>41</v>
      </c>
    </row>
    <row r="262" spans="1:26">
      <c r="A262" t="s">
        <v>788</v>
      </c>
      <c r="B262" t="s">
        <v>116</v>
      </c>
      <c r="C262" t="s">
        <v>173</v>
      </c>
      <c r="D262" t="s">
        <v>77</v>
      </c>
      <c r="E262" t="s">
        <v>363</v>
      </c>
      <c r="F262" t="s">
        <v>46</v>
      </c>
      <c r="G262" t="s">
        <v>58</v>
      </c>
      <c r="H262">
        <v>4.9000000000000004</v>
      </c>
      <c r="I262">
        <v>4.2</v>
      </c>
      <c r="J262" t="s">
        <v>96</v>
      </c>
      <c r="K262" t="s">
        <v>492</v>
      </c>
      <c r="L262" t="s">
        <v>140</v>
      </c>
      <c r="M262" t="s">
        <v>426</v>
      </c>
      <c r="N262" t="s">
        <v>71</v>
      </c>
      <c r="O262">
        <v>104</v>
      </c>
      <c r="P262" t="s">
        <v>72</v>
      </c>
      <c r="Q262">
        <v>5138</v>
      </c>
      <c r="R262">
        <v>0</v>
      </c>
      <c r="S262" t="s">
        <v>152</v>
      </c>
      <c r="T262" t="s">
        <v>136</v>
      </c>
      <c r="U262" t="s">
        <v>52</v>
      </c>
      <c r="V262" t="s">
        <v>52</v>
      </c>
      <c r="W262" t="s">
        <v>52</v>
      </c>
      <c r="X262">
        <v>2024</v>
      </c>
      <c r="Y262" t="s">
        <v>40</v>
      </c>
      <c r="Z262" t="s">
        <v>41</v>
      </c>
    </row>
    <row r="263" spans="1:26">
      <c r="A263" t="s">
        <v>789</v>
      </c>
      <c r="B263" t="s">
        <v>108</v>
      </c>
      <c r="C263" t="s">
        <v>102</v>
      </c>
      <c r="D263" t="s">
        <v>77</v>
      </c>
      <c r="E263" t="s">
        <v>260</v>
      </c>
      <c r="F263" t="s">
        <v>124</v>
      </c>
      <c r="G263" t="s">
        <v>32</v>
      </c>
      <c r="H263">
        <v>5.8</v>
      </c>
      <c r="I263">
        <v>9.4</v>
      </c>
      <c r="J263" t="s">
        <v>144</v>
      </c>
      <c r="K263" t="s">
        <v>280</v>
      </c>
      <c r="L263" t="s">
        <v>60</v>
      </c>
      <c r="M263" t="s">
        <v>127</v>
      </c>
      <c r="N263" t="s">
        <v>50</v>
      </c>
      <c r="O263">
        <v>175</v>
      </c>
      <c r="Q263">
        <v>0</v>
      </c>
      <c r="R263">
        <v>0</v>
      </c>
      <c r="T263" t="s">
        <v>62</v>
      </c>
      <c r="U263" t="s">
        <v>39</v>
      </c>
      <c r="V263" t="s">
        <v>52</v>
      </c>
      <c r="W263" t="s">
        <v>52</v>
      </c>
      <c r="X263">
        <v>2024</v>
      </c>
      <c r="Y263" t="s">
        <v>40</v>
      </c>
      <c r="Z263" t="s">
        <v>41</v>
      </c>
    </row>
    <row r="264" spans="1:26">
      <c r="A264" t="s">
        <v>790</v>
      </c>
      <c r="B264" t="s">
        <v>108</v>
      </c>
      <c r="C264" t="s">
        <v>67</v>
      </c>
      <c r="D264" t="s">
        <v>77</v>
      </c>
      <c r="E264" t="s">
        <v>168</v>
      </c>
      <c r="F264" t="s">
        <v>46</v>
      </c>
      <c r="G264" t="s">
        <v>58</v>
      </c>
      <c r="H264">
        <v>1</v>
      </c>
      <c r="I264">
        <v>32.6</v>
      </c>
      <c r="J264" t="s">
        <v>20</v>
      </c>
      <c r="K264" t="s">
        <v>418</v>
      </c>
      <c r="L264" t="s">
        <v>60</v>
      </c>
      <c r="M264" t="s">
        <v>791</v>
      </c>
      <c r="N264" t="s">
        <v>171</v>
      </c>
      <c r="O264">
        <v>103</v>
      </c>
      <c r="Q264">
        <v>0</v>
      </c>
      <c r="R264">
        <v>0</v>
      </c>
      <c r="T264" t="s">
        <v>81</v>
      </c>
      <c r="U264" t="s">
        <v>39</v>
      </c>
      <c r="V264" t="s">
        <v>52</v>
      </c>
      <c r="W264" t="s">
        <v>52</v>
      </c>
      <c r="X264">
        <v>2022</v>
      </c>
      <c r="Y264" t="s">
        <v>40</v>
      </c>
      <c r="Z264" t="s">
        <v>41</v>
      </c>
    </row>
    <row r="265" spans="1:26">
      <c r="A265" t="s">
        <v>792</v>
      </c>
      <c r="B265" t="s">
        <v>93</v>
      </c>
      <c r="C265" t="s">
        <v>164</v>
      </c>
      <c r="D265" t="s">
        <v>77</v>
      </c>
      <c r="E265" t="s">
        <v>363</v>
      </c>
      <c r="F265" t="s">
        <v>95</v>
      </c>
      <c r="G265" t="s">
        <v>58</v>
      </c>
      <c r="H265">
        <v>10</v>
      </c>
      <c r="I265">
        <v>29.4</v>
      </c>
      <c r="J265" t="s">
        <v>33</v>
      </c>
      <c r="K265" t="s">
        <v>150</v>
      </c>
      <c r="L265" t="s">
        <v>98</v>
      </c>
      <c r="M265" t="s">
        <v>793</v>
      </c>
      <c r="N265" t="s">
        <v>37</v>
      </c>
      <c r="O265">
        <v>53</v>
      </c>
      <c r="Q265">
        <v>0</v>
      </c>
      <c r="R265">
        <v>0</v>
      </c>
      <c r="T265" t="s">
        <v>136</v>
      </c>
      <c r="U265" t="s">
        <v>39</v>
      </c>
      <c r="V265" t="s">
        <v>52</v>
      </c>
      <c r="W265" t="s">
        <v>39</v>
      </c>
      <c r="X265">
        <v>2023</v>
      </c>
      <c r="Y265" t="s">
        <v>153</v>
      </c>
      <c r="Z265" t="s">
        <v>54</v>
      </c>
    </row>
    <row r="266" spans="1:26">
      <c r="A266" t="s">
        <v>794</v>
      </c>
      <c r="B266" t="s">
        <v>27</v>
      </c>
      <c r="C266" t="s">
        <v>173</v>
      </c>
      <c r="D266" t="s">
        <v>77</v>
      </c>
      <c r="E266" t="s">
        <v>260</v>
      </c>
      <c r="F266" t="s">
        <v>57</v>
      </c>
      <c r="G266" t="s">
        <v>58</v>
      </c>
      <c r="H266">
        <v>5.9</v>
      </c>
      <c r="I266">
        <v>34.5</v>
      </c>
      <c r="J266" t="s">
        <v>96</v>
      </c>
      <c r="K266" t="s">
        <v>151</v>
      </c>
      <c r="L266" t="s">
        <v>140</v>
      </c>
      <c r="M266" t="s">
        <v>795</v>
      </c>
      <c r="N266" t="s">
        <v>61</v>
      </c>
      <c r="O266">
        <v>127</v>
      </c>
      <c r="Q266">
        <v>0</v>
      </c>
      <c r="R266">
        <v>0</v>
      </c>
      <c r="T266" t="s">
        <v>81</v>
      </c>
      <c r="U266" t="s">
        <v>39</v>
      </c>
      <c r="V266" t="s">
        <v>52</v>
      </c>
      <c r="W266" t="s">
        <v>52</v>
      </c>
      <c r="X266">
        <v>2023</v>
      </c>
      <c r="Y266" t="s">
        <v>91</v>
      </c>
      <c r="Z266" t="s">
        <v>64</v>
      </c>
    </row>
    <row r="267" spans="1:26">
      <c r="A267" t="s">
        <v>796</v>
      </c>
      <c r="B267" t="s">
        <v>108</v>
      </c>
      <c r="C267" t="s">
        <v>28</v>
      </c>
      <c r="D267" t="s">
        <v>77</v>
      </c>
      <c r="E267" t="s">
        <v>220</v>
      </c>
      <c r="F267" t="s">
        <v>109</v>
      </c>
      <c r="G267" t="s">
        <v>32</v>
      </c>
      <c r="H267">
        <v>10.3</v>
      </c>
      <c r="I267">
        <v>27.3</v>
      </c>
      <c r="J267" t="s">
        <v>33</v>
      </c>
      <c r="K267" t="s">
        <v>415</v>
      </c>
      <c r="L267" t="s">
        <v>98</v>
      </c>
      <c r="M267" t="s">
        <v>127</v>
      </c>
      <c r="N267" t="s">
        <v>100</v>
      </c>
      <c r="O267">
        <v>89</v>
      </c>
      <c r="Q267">
        <v>0</v>
      </c>
      <c r="R267">
        <v>0</v>
      </c>
      <c r="T267" t="s">
        <v>38</v>
      </c>
      <c r="U267" t="s">
        <v>39</v>
      </c>
      <c r="V267" t="s">
        <v>52</v>
      </c>
      <c r="W267" t="s">
        <v>52</v>
      </c>
      <c r="X267">
        <v>2024</v>
      </c>
      <c r="Y267" t="s">
        <v>91</v>
      </c>
      <c r="Z267" t="s">
        <v>64</v>
      </c>
    </row>
    <row r="268" spans="1:26">
      <c r="A268" t="s">
        <v>797</v>
      </c>
      <c r="B268" t="s">
        <v>27</v>
      </c>
      <c r="C268" t="s">
        <v>173</v>
      </c>
      <c r="D268" t="s">
        <v>85</v>
      </c>
      <c r="E268" t="s">
        <v>138</v>
      </c>
      <c r="F268" t="s">
        <v>124</v>
      </c>
      <c r="G268" t="s">
        <v>32</v>
      </c>
      <c r="H268">
        <v>7.4</v>
      </c>
      <c r="I268">
        <v>9.5</v>
      </c>
      <c r="J268" t="s">
        <v>144</v>
      </c>
      <c r="K268" t="s">
        <v>694</v>
      </c>
      <c r="L268" t="s">
        <v>140</v>
      </c>
      <c r="M268" t="s">
        <v>798</v>
      </c>
      <c r="N268" t="s">
        <v>171</v>
      </c>
      <c r="O268">
        <v>84</v>
      </c>
      <c r="Q268">
        <v>0</v>
      </c>
      <c r="R268">
        <v>0</v>
      </c>
      <c r="T268" t="s">
        <v>51</v>
      </c>
      <c r="U268" t="s">
        <v>39</v>
      </c>
      <c r="V268" t="s">
        <v>39</v>
      </c>
      <c r="W268" t="s">
        <v>52</v>
      </c>
      <c r="X268">
        <v>2022</v>
      </c>
      <c r="Y268" t="s">
        <v>40</v>
      </c>
      <c r="Z268" t="s">
        <v>41</v>
      </c>
    </row>
    <row r="269" spans="1:26">
      <c r="A269" t="s">
        <v>799</v>
      </c>
      <c r="B269" t="s">
        <v>108</v>
      </c>
      <c r="C269" t="s">
        <v>164</v>
      </c>
      <c r="D269" t="s">
        <v>85</v>
      </c>
      <c r="E269" t="s">
        <v>208</v>
      </c>
      <c r="F269" t="s">
        <v>31</v>
      </c>
      <c r="G269" t="s">
        <v>58</v>
      </c>
      <c r="H269">
        <v>4.4000000000000004</v>
      </c>
      <c r="I269">
        <v>14.3</v>
      </c>
      <c r="J269" t="s">
        <v>20</v>
      </c>
      <c r="K269" t="s">
        <v>800</v>
      </c>
      <c r="L269" t="s">
        <v>98</v>
      </c>
      <c r="M269" t="s">
        <v>352</v>
      </c>
      <c r="N269" t="s">
        <v>171</v>
      </c>
      <c r="O269">
        <v>180</v>
      </c>
      <c r="Q269">
        <v>0</v>
      </c>
      <c r="R269">
        <v>0</v>
      </c>
      <c r="T269" t="s">
        <v>81</v>
      </c>
      <c r="U269" t="s">
        <v>39</v>
      </c>
      <c r="V269" t="s">
        <v>52</v>
      </c>
      <c r="W269" t="s">
        <v>52</v>
      </c>
      <c r="X269">
        <v>2024</v>
      </c>
      <c r="Y269" t="s">
        <v>53</v>
      </c>
      <c r="Z269" t="s">
        <v>54</v>
      </c>
    </row>
    <row r="270" spans="1:26">
      <c r="A270" t="s">
        <v>801</v>
      </c>
      <c r="B270" t="s">
        <v>108</v>
      </c>
      <c r="C270" t="s">
        <v>164</v>
      </c>
      <c r="D270" t="s">
        <v>77</v>
      </c>
      <c r="E270" t="s">
        <v>94</v>
      </c>
      <c r="F270" t="s">
        <v>109</v>
      </c>
      <c r="G270" t="s">
        <v>32</v>
      </c>
      <c r="H270">
        <v>9.6999999999999993</v>
      </c>
      <c r="I270">
        <v>6.6</v>
      </c>
      <c r="J270" t="s">
        <v>96</v>
      </c>
      <c r="K270" t="s">
        <v>773</v>
      </c>
      <c r="L270" t="s">
        <v>126</v>
      </c>
      <c r="M270" t="s">
        <v>690</v>
      </c>
      <c r="N270" t="s">
        <v>71</v>
      </c>
      <c r="O270">
        <v>51</v>
      </c>
      <c r="P270" t="s">
        <v>72</v>
      </c>
      <c r="Q270">
        <v>4225</v>
      </c>
      <c r="R270">
        <v>500</v>
      </c>
      <c r="S270" t="s">
        <v>152</v>
      </c>
      <c r="T270" t="s">
        <v>62</v>
      </c>
      <c r="U270" t="s">
        <v>39</v>
      </c>
      <c r="V270" t="s">
        <v>52</v>
      </c>
      <c r="W270" t="s">
        <v>39</v>
      </c>
      <c r="X270">
        <v>2024</v>
      </c>
      <c r="Y270" t="s">
        <v>82</v>
      </c>
      <c r="Z270" t="s">
        <v>83</v>
      </c>
    </row>
    <row r="271" spans="1:26">
      <c r="A271" t="s">
        <v>802</v>
      </c>
      <c r="B271" t="s">
        <v>93</v>
      </c>
      <c r="C271" t="s">
        <v>67</v>
      </c>
      <c r="D271" t="s">
        <v>77</v>
      </c>
      <c r="E271" t="s">
        <v>220</v>
      </c>
      <c r="F271" t="s">
        <v>109</v>
      </c>
      <c r="G271" t="s">
        <v>32</v>
      </c>
      <c r="H271">
        <v>5.5</v>
      </c>
      <c r="I271">
        <v>12</v>
      </c>
      <c r="J271" t="s">
        <v>33</v>
      </c>
      <c r="K271" t="s">
        <v>803</v>
      </c>
      <c r="L271" t="s">
        <v>35</v>
      </c>
      <c r="M271" t="s">
        <v>804</v>
      </c>
      <c r="N271" t="s">
        <v>50</v>
      </c>
      <c r="O271">
        <v>66</v>
      </c>
      <c r="Q271">
        <v>0</v>
      </c>
      <c r="R271">
        <v>0</v>
      </c>
      <c r="T271" t="s">
        <v>136</v>
      </c>
      <c r="U271" t="s">
        <v>39</v>
      </c>
      <c r="V271" t="s">
        <v>52</v>
      </c>
      <c r="W271" t="s">
        <v>52</v>
      </c>
      <c r="X271">
        <v>2023</v>
      </c>
      <c r="Y271" t="s">
        <v>312</v>
      </c>
      <c r="Z271" t="s">
        <v>83</v>
      </c>
    </row>
    <row r="272" spans="1:26">
      <c r="A272" t="s">
        <v>805</v>
      </c>
      <c r="B272" t="s">
        <v>66</v>
      </c>
      <c r="C272" t="s">
        <v>121</v>
      </c>
      <c r="D272" t="s">
        <v>77</v>
      </c>
      <c r="E272" t="s">
        <v>216</v>
      </c>
      <c r="F272" t="s">
        <v>95</v>
      </c>
      <c r="G272" t="s">
        <v>32</v>
      </c>
      <c r="H272">
        <v>8.1</v>
      </c>
      <c r="I272">
        <v>17.3</v>
      </c>
      <c r="J272" t="s">
        <v>20</v>
      </c>
      <c r="K272" t="s">
        <v>785</v>
      </c>
      <c r="L272" t="s">
        <v>60</v>
      </c>
      <c r="M272" t="s">
        <v>806</v>
      </c>
      <c r="N272" t="s">
        <v>171</v>
      </c>
      <c r="O272">
        <v>91</v>
      </c>
      <c r="Q272">
        <v>0</v>
      </c>
      <c r="R272">
        <v>0</v>
      </c>
      <c r="T272" t="s">
        <v>136</v>
      </c>
      <c r="U272" t="s">
        <v>39</v>
      </c>
      <c r="V272" t="s">
        <v>39</v>
      </c>
      <c r="W272" t="s">
        <v>52</v>
      </c>
      <c r="X272">
        <v>2023</v>
      </c>
      <c r="Y272" t="s">
        <v>211</v>
      </c>
      <c r="Z272" t="s">
        <v>41</v>
      </c>
    </row>
    <row r="273" spans="1:26">
      <c r="A273" t="s">
        <v>807</v>
      </c>
      <c r="B273" t="s">
        <v>93</v>
      </c>
      <c r="C273" t="s">
        <v>173</v>
      </c>
      <c r="D273" t="s">
        <v>85</v>
      </c>
      <c r="E273" t="s">
        <v>138</v>
      </c>
      <c r="F273" t="s">
        <v>31</v>
      </c>
      <c r="G273" t="s">
        <v>32</v>
      </c>
      <c r="H273">
        <v>2.8</v>
      </c>
      <c r="I273">
        <v>11.4</v>
      </c>
      <c r="J273" t="s">
        <v>33</v>
      </c>
      <c r="K273" t="s">
        <v>302</v>
      </c>
      <c r="L273" t="s">
        <v>126</v>
      </c>
      <c r="M273" t="s">
        <v>80</v>
      </c>
      <c r="N273" t="s">
        <v>71</v>
      </c>
      <c r="O273">
        <v>19</v>
      </c>
      <c r="P273" t="s">
        <v>72</v>
      </c>
      <c r="Q273">
        <v>1163</v>
      </c>
      <c r="R273">
        <v>0</v>
      </c>
      <c r="S273" t="s">
        <v>90</v>
      </c>
      <c r="T273" t="s">
        <v>136</v>
      </c>
      <c r="U273" t="s">
        <v>39</v>
      </c>
      <c r="V273" t="s">
        <v>39</v>
      </c>
      <c r="W273" t="s">
        <v>39</v>
      </c>
      <c r="X273">
        <v>2024</v>
      </c>
      <c r="Y273" t="s">
        <v>74</v>
      </c>
      <c r="Z273" t="s">
        <v>54</v>
      </c>
    </row>
    <row r="274" spans="1:26">
      <c r="A274" t="s">
        <v>808</v>
      </c>
      <c r="B274" t="s">
        <v>108</v>
      </c>
      <c r="C274" t="s">
        <v>76</v>
      </c>
      <c r="D274" t="s">
        <v>77</v>
      </c>
      <c r="E274" t="s">
        <v>363</v>
      </c>
      <c r="F274" t="s">
        <v>238</v>
      </c>
      <c r="G274" t="s">
        <v>32</v>
      </c>
      <c r="H274">
        <v>4.8</v>
      </c>
      <c r="I274">
        <v>3.8</v>
      </c>
      <c r="J274" t="s">
        <v>20</v>
      </c>
      <c r="K274" t="s">
        <v>495</v>
      </c>
      <c r="L274" t="s">
        <v>35</v>
      </c>
      <c r="M274" t="s">
        <v>809</v>
      </c>
      <c r="N274" t="s">
        <v>71</v>
      </c>
      <c r="O274">
        <v>180</v>
      </c>
      <c r="P274" t="s">
        <v>230</v>
      </c>
      <c r="Q274">
        <v>4725</v>
      </c>
      <c r="R274">
        <v>0</v>
      </c>
      <c r="S274" t="s">
        <v>152</v>
      </c>
      <c r="T274" t="s">
        <v>62</v>
      </c>
      <c r="U274" t="s">
        <v>39</v>
      </c>
      <c r="V274" t="s">
        <v>39</v>
      </c>
      <c r="W274" t="s">
        <v>52</v>
      </c>
      <c r="X274">
        <v>2023</v>
      </c>
      <c r="Y274" t="s">
        <v>53</v>
      </c>
      <c r="Z274" t="s">
        <v>54</v>
      </c>
    </row>
    <row r="275" spans="1:26">
      <c r="A275" t="s">
        <v>810</v>
      </c>
      <c r="B275" t="s">
        <v>116</v>
      </c>
      <c r="C275" t="s">
        <v>76</v>
      </c>
      <c r="D275" t="s">
        <v>29</v>
      </c>
      <c r="E275" t="s">
        <v>45</v>
      </c>
      <c r="F275" t="s">
        <v>46</v>
      </c>
      <c r="G275" t="s">
        <v>32</v>
      </c>
      <c r="H275">
        <v>1.7</v>
      </c>
      <c r="I275">
        <v>29.4</v>
      </c>
      <c r="J275" t="s">
        <v>96</v>
      </c>
      <c r="K275" t="s">
        <v>811</v>
      </c>
      <c r="L275" t="s">
        <v>126</v>
      </c>
      <c r="M275" t="s">
        <v>812</v>
      </c>
      <c r="N275" t="s">
        <v>50</v>
      </c>
      <c r="O275">
        <v>73</v>
      </c>
      <c r="Q275">
        <v>0</v>
      </c>
      <c r="R275">
        <v>0</v>
      </c>
      <c r="T275" t="s">
        <v>136</v>
      </c>
      <c r="U275" t="s">
        <v>39</v>
      </c>
      <c r="V275" t="s">
        <v>52</v>
      </c>
      <c r="W275" t="s">
        <v>52</v>
      </c>
      <c r="X275">
        <v>2023</v>
      </c>
      <c r="Y275" t="s">
        <v>53</v>
      </c>
      <c r="Z275" t="s">
        <v>54</v>
      </c>
    </row>
    <row r="276" spans="1:26">
      <c r="A276" t="s">
        <v>813</v>
      </c>
      <c r="B276" t="s">
        <v>93</v>
      </c>
      <c r="C276" t="s">
        <v>67</v>
      </c>
      <c r="D276" t="s">
        <v>77</v>
      </c>
      <c r="E276" t="s">
        <v>216</v>
      </c>
      <c r="F276" t="s">
        <v>149</v>
      </c>
      <c r="G276" t="s">
        <v>58</v>
      </c>
      <c r="H276">
        <v>6.3</v>
      </c>
      <c r="I276">
        <v>22.6</v>
      </c>
      <c r="J276" t="s">
        <v>96</v>
      </c>
      <c r="K276" t="s">
        <v>279</v>
      </c>
      <c r="L276" t="s">
        <v>35</v>
      </c>
      <c r="M276" t="s">
        <v>127</v>
      </c>
      <c r="N276" t="s">
        <v>100</v>
      </c>
      <c r="O276">
        <v>162</v>
      </c>
      <c r="Q276">
        <v>0</v>
      </c>
      <c r="R276">
        <v>0</v>
      </c>
      <c r="T276" t="s">
        <v>136</v>
      </c>
      <c r="U276" t="s">
        <v>39</v>
      </c>
      <c r="V276" t="s">
        <v>52</v>
      </c>
      <c r="W276" t="s">
        <v>52</v>
      </c>
      <c r="X276">
        <v>2024</v>
      </c>
      <c r="Y276" t="s">
        <v>40</v>
      </c>
      <c r="Z276" t="s">
        <v>41</v>
      </c>
    </row>
    <row r="277" spans="1:26">
      <c r="A277" t="s">
        <v>814</v>
      </c>
      <c r="B277" t="s">
        <v>93</v>
      </c>
      <c r="C277" t="s">
        <v>121</v>
      </c>
      <c r="D277" t="s">
        <v>29</v>
      </c>
      <c r="E277" t="s">
        <v>45</v>
      </c>
      <c r="F277" t="s">
        <v>109</v>
      </c>
      <c r="G277" t="s">
        <v>58</v>
      </c>
      <c r="H277">
        <v>9.1</v>
      </c>
      <c r="I277">
        <v>5.2</v>
      </c>
      <c r="J277" t="s">
        <v>156</v>
      </c>
      <c r="K277" t="s">
        <v>815</v>
      </c>
      <c r="L277" t="s">
        <v>126</v>
      </c>
      <c r="M277" t="s">
        <v>728</v>
      </c>
      <c r="N277" t="s">
        <v>71</v>
      </c>
      <c r="O277">
        <v>3</v>
      </c>
      <c r="P277" t="s">
        <v>112</v>
      </c>
      <c r="Q277">
        <v>3643</v>
      </c>
      <c r="R277">
        <v>5000</v>
      </c>
      <c r="S277" t="s">
        <v>152</v>
      </c>
      <c r="T277" t="s">
        <v>38</v>
      </c>
      <c r="U277" t="s">
        <v>52</v>
      </c>
      <c r="V277" t="s">
        <v>52</v>
      </c>
      <c r="W277" t="s">
        <v>52</v>
      </c>
      <c r="X277">
        <v>2023</v>
      </c>
      <c r="Y277" t="s">
        <v>114</v>
      </c>
      <c r="Z277" t="s">
        <v>41</v>
      </c>
    </row>
    <row r="278" spans="1:26">
      <c r="A278" t="s">
        <v>816</v>
      </c>
      <c r="B278" t="s">
        <v>66</v>
      </c>
      <c r="C278" t="s">
        <v>44</v>
      </c>
      <c r="D278" t="s">
        <v>77</v>
      </c>
      <c r="E278" t="s">
        <v>260</v>
      </c>
      <c r="F278" t="s">
        <v>57</v>
      </c>
      <c r="G278" t="s">
        <v>58</v>
      </c>
      <c r="H278">
        <v>4.8</v>
      </c>
      <c r="I278">
        <v>6.1</v>
      </c>
      <c r="J278" t="s">
        <v>33</v>
      </c>
      <c r="K278" t="s">
        <v>315</v>
      </c>
      <c r="L278" t="s">
        <v>35</v>
      </c>
      <c r="M278" t="s">
        <v>817</v>
      </c>
      <c r="N278" t="s">
        <v>100</v>
      </c>
      <c r="O278">
        <v>106</v>
      </c>
      <c r="Q278">
        <v>0</v>
      </c>
      <c r="R278">
        <v>0</v>
      </c>
      <c r="T278" t="s">
        <v>136</v>
      </c>
      <c r="U278" t="s">
        <v>39</v>
      </c>
      <c r="V278" t="s">
        <v>52</v>
      </c>
      <c r="W278" t="s">
        <v>52</v>
      </c>
      <c r="X278">
        <v>2023</v>
      </c>
      <c r="Y278" t="s">
        <v>106</v>
      </c>
      <c r="Z278" t="s">
        <v>83</v>
      </c>
    </row>
    <row r="279" spans="1:26">
      <c r="A279" t="s">
        <v>818</v>
      </c>
      <c r="B279" t="s">
        <v>43</v>
      </c>
      <c r="C279" t="s">
        <v>173</v>
      </c>
      <c r="D279" t="s">
        <v>29</v>
      </c>
      <c r="E279" t="s">
        <v>94</v>
      </c>
      <c r="F279" t="s">
        <v>95</v>
      </c>
      <c r="G279" t="s">
        <v>32</v>
      </c>
      <c r="H279">
        <v>2.2999999999999998</v>
      </c>
      <c r="I279">
        <v>2.9</v>
      </c>
      <c r="J279" t="s">
        <v>20</v>
      </c>
      <c r="K279" t="s">
        <v>710</v>
      </c>
      <c r="L279" t="s">
        <v>126</v>
      </c>
      <c r="M279" t="s">
        <v>127</v>
      </c>
      <c r="N279" t="s">
        <v>100</v>
      </c>
      <c r="O279">
        <v>69</v>
      </c>
      <c r="Q279">
        <v>0</v>
      </c>
      <c r="R279">
        <v>0</v>
      </c>
      <c r="T279" t="s">
        <v>51</v>
      </c>
      <c r="U279" t="s">
        <v>52</v>
      </c>
      <c r="V279" t="s">
        <v>39</v>
      </c>
      <c r="W279" t="s">
        <v>52</v>
      </c>
      <c r="X279">
        <v>2024</v>
      </c>
      <c r="Y279" t="s">
        <v>63</v>
      </c>
      <c r="Z279" t="s">
        <v>64</v>
      </c>
    </row>
    <row r="280" spans="1:26">
      <c r="A280" t="s">
        <v>819</v>
      </c>
      <c r="B280" t="s">
        <v>108</v>
      </c>
      <c r="C280" t="s">
        <v>76</v>
      </c>
      <c r="D280" t="s">
        <v>77</v>
      </c>
      <c r="E280" t="s">
        <v>216</v>
      </c>
      <c r="F280" t="s">
        <v>124</v>
      </c>
      <c r="G280" t="s">
        <v>58</v>
      </c>
      <c r="H280">
        <v>3.5</v>
      </c>
      <c r="I280">
        <v>4.8</v>
      </c>
      <c r="J280" t="s">
        <v>33</v>
      </c>
      <c r="K280" t="s">
        <v>820</v>
      </c>
      <c r="L280" t="s">
        <v>35</v>
      </c>
      <c r="M280" t="s">
        <v>821</v>
      </c>
      <c r="N280" t="s">
        <v>71</v>
      </c>
      <c r="O280">
        <v>137</v>
      </c>
      <c r="P280" t="s">
        <v>112</v>
      </c>
      <c r="Q280">
        <v>4523</v>
      </c>
      <c r="R280">
        <v>0</v>
      </c>
      <c r="S280" t="s">
        <v>113</v>
      </c>
      <c r="T280" t="s">
        <v>51</v>
      </c>
      <c r="U280" t="s">
        <v>52</v>
      </c>
      <c r="V280" t="s">
        <v>52</v>
      </c>
      <c r="W280" t="s">
        <v>52</v>
      </c>
      <c r="X280">
        <v>2022</v>
      </c>
      <c r="Y280" t="s">
        <v>74</v>
      </c>
      <c r="Z280" t="s">
        <v>54</v>
      </c>
    </row>
    <row r="281" spans="1:26">
      <c r="A281" t="s">
        <v>822</v>
      </c>
      <c r="B281" t="s">
        <v>27</v>
      </c>
      <c r="C281" t="s">
        <v>121</v>
      </c>
      <c r="D281" t="s">
        <v>122</v>
      </c>
      <c r="E281" t="s">
        <v>130</v>
      </c>
      <c r="F281" t="s">
        <v>68</v>
      </c>
      <c r="G281" t="s">
        <v>58</v>
      </c>
      <c r="H281">
        <v>3.3</v>
      </c>
      <c r="I281">
        <v>14</v>
      </c>
      <c r="J281" t="s">
        <v>96</v>
      </c>
      <c r="K281" t="s">
        <v>468</v>
      </c>
      <c r="L281" t="s">
        <v>60</v>
      </c>
      <c r="M281" t="s">
        <v>823</v>
      </c>
      <c r="N281" t="s">
        <v>71</v>
      </c>
      <c r="O281">
        <v>85</v>
      </c>
      <c r="P281" t="s">
        <v>112</v>
      </c>
      <c r="Q281">
        <v>1098</v>
      </c>
      <c r="R281">
        <v>0</v>
      </c>
      <c r="S281" t="s">
        <v>73</v>
      </c>
      <c r="T281" t="s">
        <v>38</v>
      </c>
      <c r="U281" t="s">
        <v>39</v>
      </c>
      <c r="V281" t="s">
        <v>52</v>
      </c>
      <c r="W281" t="s">
        <v>52</v>
      </c>
      <c r="X281">
        <v>2022</v>
      </c>
      <c r="Y281" t="s">
        <v>312</v>
      </c>
      <c r="Z281" t="s">
        <v>83</v>
      </c>
    </row>
    <row r="282" spans="1:26">
      <c r="A282" t="s">
        <v>824</v>
      </c>
      <c r="B282" t="s">
        <v>66</v>
      </c>
      <c r="C282" t="s">
        <v>173</v>
      </c>
      <c r="D282" t="s">
        <v>77</v>
      </c>
      <c r="E282" t="s">
        <v>220</v>
      </c>
      <c r="F282" t="s">
        <v>46</v>
      </c>
      <c r="G282" t="s">
        <v>58</v>
      </c>
      <c r="H282">
        <v>11.8</v>
      </c>
      <c r="I282">
        <v>16.8</v>
      </c>
      <c r="J282" t="s">
        <v>156</v>
      </c>
      <c r="K282" t="s">
        <v>192</v>
      </c>
      <c r="L282" t="s">
        <v>98</v>
      </c>
      <c r="M282" t="s">
        <v>825</v>
      </c>
      <c r="N282" t="s">
        <v>71</v>
      </c>
      <c r="O282">
        <v>118</v>
      </c>
      <c r="P282" t="s">
        <v>230</v>
      </c>
      <c r="Q282">
        <v>7269</v>
      </c>
      <c r="R282">
        <v>2000</v>
      </c>
      <c r="S282" t="s">
        <v>73</v>
      </c>
      <c r="T282" t="s">
        <v>51</v>
      </c>
      <c r="U282" t="s">
        <v>52</v>
      </c>
      <c r="V282" t="s">
        <v>52</v>
      </c>
      <c r="W282" t="s">
        <v>52</v>
      </c>
      <c r="X282">
        <v>2023</v>
      </c>
      <c r="Y282" t="s">
        <v>82</v>
      </c>
      <c r="Z282" t="s">
        <v>83</v>
      </c>
    </row>
    <row r="283" spans="1:26">
      <c r="A283" t="s">
        <v>826</v>
      </c>
      <c r="B283" t="s">
        <v>116</v>
      </c>
      <c r="C283" t="s">
        <v>164</v>
      </c>
      <c r="D283" t="s">
        <v>77</v>
      </c>
      <c r="E283" t="s">
        <v>260</v>
      </c>
      <c r="F283" t="s">
        <v>160</v>
      </c>
      <c r="G283" t="s">
        <v>58</v>
      </c>
      <c r="H283">
        <v>2.9</v>
      </c>
      <c r="I283">
        <v>15.5</v>
      </c>
      <c r="J283" t="s">
        <v>144</v>
      </c>
      <c r="K283" t="s">
        <v>564</v>
      </c>
      <c r="L283" t="s">
        <v>48</v>
      </c>
      <c r="M283" t="s">
        <v>304</v>
      </c>
      <c r="N283" t="s">
        <v>37</v>
      </c>
      <c r="O283">
        <v>171</v>
      </c>
      <c r="Q283">
        <v>0</v>
      </c>
      <c r="R283">
        <v>0</v>
      </c>
      <c r="T283" t="s">
        <v>38</v>
      </c>
      <c r="U283" t="s">
        <v>39</v>
      </c>
      <c r="V283" t="s">
        <v>52</v>
      </c>
      <c r="W283" t="s">
        <v>52</v>
      </c>
      <c r="X283">
        <v>2022</v>
      </c>
      <c r="Y283" t="s">
        <v>74</v>
      </c>
      <c r="Z283" t="s">
        <v>54</v>
      </c>
    </row>
    <row r="284" spans="1:26">
      <c r="A284" t="s">
        <v>827</v>
      </c>
      <c r="B284" t="s">
        <v>93</v>
      </c>
      <c r="C284" t="s">
        <v>76</v>
      </c>
      <c r="D284" t="s">
        <v>77</v>
      </c>
      <c r="E284" t="s">
        <v>216</v>
      </c>
      <c r="F284" t="s">
        <v>238</v>
      </c>
      <c r="G284" t="s">
        <v>32</v>
      </c>
      <c r="H284">
        <v>6</v>
      </c>
      <c r="I284">
        <v>24.2</v>
      </c>
      <c r="J284" t="s">
        <v>156</v>
      </c>
      <c r="K284" t="s">
        <v>828</v>
      </c>
      <c r="L284" t="s">
        <v>48</v>
      </c>
      <c r="M284" t="s">
        <v>829</v>
      </c>
      <c r="N284" t="s">
        <v>37</v>
      </c>
      <c r="O284">
        <v>23</v>
      </c>
      <c r="Q284">
        <v>0</v>
      </c>
      <c r="R284">
        <v>0</v>
      </c>
      <c r="T284" t="s">
        <v>62</v>
      </c>
      <c r="U284" t="s">
        <v>39</v>
      </c>
      <c r="V284" t="s">
        <v>39</v>
      </c>
      <c r="W284" t="s">
        <v>52</v>
      </c>
      <c r="X284">
        <v>2024</v>
      </c>
      <c r="Y284" t="s">
        <v>106</v>
      </c>
      <c r="Z284" t="s">
        <v>83</v>
      </c>
    </row>
    <row r="285" spans="1:26">
      <c r="A285" t="s">
        <v>830</v>
      </c>
      <c r="B285" t="s">
        <v>43</v>
      </c>
      <c r="C285" t="s">
        <v>173</v>
      </c>
      <c r="D285" t="s">
        <v>77</v>
      </c>
      <c r="E285" t="s">
        <v>260</v>
      </c>
      <c r="F285" t="s">
        <v>238</v>
      </c>
      <c r="G285" t="s">
        <v>32</v>
      </c>
      <c r="H285">
        <v>8.3000000000000007</v>
      </c>
      <c r="I285">
        <v>12.9</v>
      </c>
      <c r="J285" t="s">
        <v>156</v>
      </c>
      <c r="K285" t="s">
        <v>227</v>
      </c>
      <c r="L285" t="s">
        <v>126</v>
      </c>
      <c r="M285" t="s">
        <v>254</v>
      </c>
      <c r="N285" t="s">
        <v>37</v>
      </c>
      <c r="O285">
        <v>113</v>
      </c>
      <c r="Q285">
        <v>0</v>
      </c>
      <c r="R285">
        <v>0</v>
      </c>
      <c r="T285" t="s">
        <v>62</v>
      </c>
      <c r="U285" t="s">
        <v>39</v>
      </c>
      <c r="V285" t="s">
        <v>52</v>
      </c>
      <c r="W285" t="s">
        <v>52</v>
      </c>
      <c r="X285">
        <v>2023</v>
      </c>
      <c r="Y285" t="s">
        <v>63</v>
      </c>
      <c r="Z285" t="s">
        <v>64</v>
      </c>
    </row>
    <row r="286" spans="1:26">
      <c r="A286" t="s">
        <v>831</v>
      </c>
      <c r="B286" t="s">
        <v>27</v>
      </c>
      <c r="C286" t="s">
        <v>164</v>
      </c>
      <c r="D286" t="s">
        <v>77</v>
      </c>
      <c r="E286" t="s">
        <v>216</v>
      </c>
      <c r="F286" t="s">
        <v>95</v>
      </c>
      <c r="G286" t="s">
        <v>58</v>
      </c>
      <c r="H286">
        <v>10.4</v>
      </c>
      <c r="I286">
        <v>21.2</v>
      </c>
      <c r="J286" t="s">
        <v>144</v>
      </c>
      <c r="K286" t="s">
        <v>832</v>
      </c>
      <c r="L286" t="s">
        <v>60</v>
      </c>
      <c r="M286" t="s">
        <v>833</v>
      </c>
      <c r="N286" t="s">
        <v>50</v>
      </c>
      <c r="O286">
        <v>83</v>
      </c>
      <c r="Q286">
        <v>0</v>
      </c>
      <c r="R286">
        <v>500</v>
      </c>
      <c r="T286" t="s">
        <v>51</v>
      </c>
      <c r="U286" t="s">
        <v>39</v>
      </c>
      <c r="V286" t="s">
        <v>52</v>
      </c>
      <c r="W286" t="s">
        <v>39</v>
      </c>
      <c r="X286">
        <v>2023</v>
      </c>
      <c r="Y286" t="s">
        <v>63</v>
      </c>
      <c r="Z286" t="s">
        <v>64</v>
      </c>
    </row>
    <row r="287" spans="1:26">
      <c r="A287" t="s">
        <v>834</v>
      </c>
      <c r="B287" t="s">
        <v>66</v>
      </c>
      <c r="C287" t="s">
        <v>28</v>
      </c>
      <c r="D287" t="s">
        <v>29</v>
      </c>
      <c r="E287" t="s">
        <v>117</v>
      </c>
      <c r="F287" t="s">
        <v>109</v>
      </c>
      <c r="G287" t="s">
        <v>32</v>
      </c>
      <c r="H287">
        <v>9.3000000000000007</v>
      </c>
      <c r="I287">
        <v>8.6999999999999993</v>
      </c>
      <c r="J287" t="s">
        <v>33</v>
      </c>
      <c r="K287" t="s">
        <v>835</v>
      </c>
      <c r="L287" t="s">
        <v>140</v>
      </c>
      <c r="M287" t="s">
        <v>836</v>
      </c>
      <c r="N287" t="s">
        <v>171</v>
      </c>
      <c r="O287">
        <v>5</v>
      </c>
      <c r="Q287">
        <v>0</v>
      </c>
      <c r="R287">
        <v>0</v>
      </c>
      <c r="T287" t="s">
        <v>136</v>
      </c>
      <c r="U287" t="s">
        <v>39</v>
      </c>
      <c r="V287" t="s">
        <v>52</v>
      </c>
      <c r="W287" t="s">
        <v>52</v>
      </c>
      <c r="X287">
        <v>2023</v>
      </c>
      <c r="Y287" t="s">
        <v>106</v>
      </c>
      <c r="Z287" t="s">
        <v>83</v>
      </c>
    </row>
    <row r="288" spans="1:26">
      <c r="A288" t="s">
        <v>837</v>
      </c>
      <c r="B288" t="s">
        <v>43</v>
      </c>
      <c r="C288" t="s">
        <v>164</v>
      </c>
      <c r="D288" t="s">
        <v>122</v>
      </c>
      <c r="E288" t="s">
        <v>130</v>
      </c>
      <c r="F288" t="s">
        <v>238</v>
      </c>
      <c r="G288" t="s">
        <v>58</v>
      </c>
      <c r="H288">
        <v>0.9</v>
      </c>
      <c r="I288">
        <v>29.3</v>
      </c>
      <c r="J288" t="s">
        <v>33</v>
      </c>
      <c r="K288" t="s">
        <v>320</v>
      </c>
      <c r="L288" t="s">
        <v>126</v>
      </c>
      <c r="M288" t="s">
        <v>838</v>
      </c>
      <c r="N288" t="s">
        <v>71</v>
      </c>
      <c r="O288">
        <v>29</v>
      </c>
      <c r="P288" t="s">
        <v>89</v>
      </c>
      <c r="Q288">
        <v>2643</v>
      </c>
      <c r="R288">
        <v>2000</v>
      </c>
      <c r="S288" t="s">
        <v>73</v>
      </c>
      <c r="T288" t="s">
        <v>38</v>
      </c>
      <c r="U288" t="s">
        <v>52</v>
      </c>
      <c r="V288" t="s">
        <v>52</v>
      </c>
      <c r="W288" t="s">
        <v>52</v>
      </c>
      <c r="X288">
        <v>2023</v>
      </c>
      <c r="Y288" t="s">
        <v>91</v>
      </c>
      <c r="Z288" t="s">
        <v>64</v>
      </c>
    </row>
    <row r="289" spans="1:26">
      <c r="A289" t="s">
        <v>839</v>
      </c>
      <c r="B289" t="s">
        <v>116</v>
      </c>
      <c r="C289" t="s">
        <v>102</v>
      </c>
      <c r="D289" t="s">
        <v>29</v>
      </c>
      <c r="E289" t="s">
        <v>244</v>
      </c>
      <c r="F289" t="s">
        <v>149</v>
      </c>
      <c r="G289" t="s">
        <v>58</v>
      </c>
      <c r="H289">
        <v>2.7</v>
      </c>
      <c r="I289">
        <v>25.3</v>
      </c>
      <c r="J289" t="s">
        <v>144</v>
      </c>
      <c r="K289" t="s">
        <v>178</v>
      </c>
      <c r="L289" t="s">
        <v>98</v>
      </c>
      <c r="M289" t="s">
        <v>840</v>
      </c>
      <c r="N289" t="s">
        <v>171</v>
      </c>
      <c r="O289">
        <v>13</v>
      </c>
      <c r="Q289">
        <v>0</v>
      </c>
      <c r="R289">
        <v>0</v>
      </c>
      <c r="T289" t="s">
        <v>38</v>
      </c>
      <c r="U289" t="s">
        <v>39</v>
      </c>
      <c r="V289" t="s">
        <v>52</v>
      </c>
      <c r="W289" t="s">
        <v>52</v>
      </c>
      <c r="X289">
        <v>2023</v>
      </c>
      <c r="Y289" t="s">
        <v>153</v>
      </c>
      <c r="Z289" t="s">
        <v>54</v>
      </c>
    </row>
    <row r="290" spans="1:26">
      <c r="A290" t="s">
        <v>841</v>
      </c>
      <c r="B290" t="s">
        <v>27</v>
      </c>
      <c r="C290" t="s">
        <v>28</v>
      </c>
      <c r="D290" t="s">
        <v>122</v>
      </c>
      <c r="E290" t="s">
        <v>123</v>
      </c>
      <c r="F290" t="s">
        <v>95</v>
      </c>
      <c r="G290" t="s">
        <v>58</v>
      </c>
      <c r="H290">
        <v>3.7</v>
      </c>
      <c r="I290">
        <v>33.1</v>
      </c>
      <c r="J290" t="s">
        <v>20</v>
      </c>
      <c r="K290" t="s">
        <v>842</v>
      </c>
      <c r="L290" t="s">
        <v>126</v>
      </c>
      <c r="M290" t="s">
        <v>843</v>
      </c>
      <c r="N290" t="s">
        <v>71</v>
      </c>
      <c r="O290">
        <v>136</v>
      </c>
      <c r="P290" t="s">
        <v>89</v>
      </c>
      <c r="Q290">
        <v>788</v>
      </c>
      <c r="R290">
        <v>5000</v>
      </c>
      <c r="S290" t="s">
        <v>113</v>
      </c>
      <c r="T290" t="s">
        <v>62</v>
      </c>
      <c r="U290" t="s">
        <v>39</v>
      </c>
      <c r="V290" t="s">
        <v>52</v>
      </c>
      <c r="W290" t="s">
        <v>52</v>
      </c>
      <c r="X290">
        <v>2023</v>
      </c>
      <c r="Y290" t="s">
        <v>153</v>
      </c>
      <c r="Z290" t="s">
        <v>54</v>
      </c>
    </row>
    <row r="291" spans="1:26">
      <c r="A291" t="s">
        <v>844</v>
      </c>
      <c r="B291" t="s">
        <v>108</v>
      </c>
      <c r="C291" t="s">
        <v>28</v>
      </c>
      <c r="D291" t="s">
        <v>29</v>
      </c>
      <c r="E291" t="s">
        <v>94</v>
      </c>
      <c r="F291" t="s">
        <v>68</v>
      </c>
      <c r="G291" t="s">
        <v>58</v>
      </c>
      <c r="H291">
        <v>8.1</v>
      </c>
      <c r="I291">
        <v>24.7</v>
      </c>
      <c r="J291" t="s">
        <v>20</v>
      </c>
      <c r="K291" t="s">
        <v>845</v>
      </c>
      <c r="L291" t="s">
        <v>126</v>
      </c>
      <c r="M291" t="s">
        <v>846</v>
      </c>
      <c r="N291" t="s">
        <v>171</v>
      </c>
      <c r="O291">
        <v>28</v>
      </c>
      <c r="Q291">
        <v>0</v>
      </c>
      <c r="R291">
        <v>0</v>
      </c>
      <c r="T291" t="s">
        <v>62</v>
      </c>
      <c r="U291" t="s">
        <v>39</v>
      </c>
      <c r="V291" t="s">
        <v>52</v>
      </c>
      <c r="W291" t="s">
        <v>52</v>
      </c>
      <c r="X291">
        <v>2024</v>
      </c>
      <c r="Y291" t="s">
        <v>74</v>
      </c>
      <c r="Z291" t="s">
        <v>54</v>
      </c>
    </row>
    <row r="292" spans="1:26">
      <c r="A292" t="s">
        <v>847</v>
      </c>
      <c r="B292" t="s">
        <v>93</v>
      </c>
      <c r="C292" t="s">
        <v>44</v>
      </c>
      <c r="D292" t="s">
        <v>29</v>
      </c>
      <c r="E292" t="s">
        <v>244</v>
      </c>
      <c r="F292" t="s">
        <v>57</v>
      </c>
      <c r="G292" t="s">
        <v>32</v>
      </c>
      <c r="H292">
        <v>6.6</v>
      </c>
      <c r="I292">
        <v>34.9</v>
      </c>
      <c r="J292" t="s">
        <v>20</v>
      </c>
      <c r="K292" t="s">
        <v>848</v>
      </c>
      <c r="L292" t="s">
        <v>48</v>
      </c>
      <c r="M292" t="s">
        <v>849</v>
      </c>
      <c r="N292" t="s">
        <v>171</v>
      </c>
      <c r="O292">
        <v>91</v>
      </c>
      <c r="Q292">
        <v>0</v>
      </c>
      <c r="R292">
        <v>0</v>
      </c>
      <c r="T292" t="s">
        <v>62</v>
      </c>
      <c r="U292" t="s">
        <v>39</v>
      </c>
      <c r="V292" t="s">
        <v>52</v>
      </c>
      <c r="W292" t="s">
        <v>52</v>
      </c>
      <c r="X292">
        <v>2024</v>
      </c>
      <c r="Y292" t="s">
        <v>153</v>
      </c>
      <c r="Z292" t="s">
        <v>54</v>
      </c>
    </row>
    <row r="293" spans="1:26">
      <c r="A293" t="s">
        <v>850</v>
      </c>
      <c r="B293" t="s">
        <v>93</v>
      </c>
      <c r="C293" t="s">
        <v>76</v>
      </c>
      <c r="D293" t="s">
        <v>122</v>
      </c>
      <c r="E293" t="s">
        <v>130</v>
      </c>
      <c r="F293" t="s">
        <v>160</v>
      </c>
      <c r="G293" t="s">
        <v>58</v>
      </c>
      <c r="H293">
        <v>7.2</v>
      </c>
      <c r="I293">
        <v>18.399999999999999</v>
      </c>
      <c r="J293" t="s">
        <v>33</v>
      </c>
      <c r="K293" t="s">
        <v>49</v>
      </c>
      <c r="L293" t="s">
        <v>60</v>
      </c>
      <c r="M293" t="s">
        <v>407</v>
      </c>
      <c r="N293" t="s">
        <v>71</v>
      </c>
      <c r="O293">
        <v>102</v>
      </c>
      <c r="P293" t="s">
        <v>230</v>
      </c>
      <c r="Q293">
        <v>641</v>
      </c>
      <c r="R293">
        <v>0</v>
      </c>
      <c r="S293" t="s">
        <v>152</v>
      </c>
      <c r="T293" t="s">
        <v>62</v>
      </c>
      <c r="U293" t="s">
        <v>39</v>
      </c>
      <c r="V293" t="s">
        <v>39</v>
      </c>
      <c r="W293" t="s">
        <v>39</v>
      </c>
      <c r="X293">
        <v>2024</v>
      </c>
      <c r="Y293" t="s">
        <v>40</v>
      </c>
      <c r="Z293" t="s">
        <v>41</v>
      </c>
    </row>
    <row r="294" spans="1:26">
      <c r="A294" t="s">
        <v>851</v>
      </c>
      <c r="B294" t="s">
        <v>43</v>
      </c>
      <c r="C294" t="s">
        <v>173</v>
      </c>
      <c r="D294" t="s">
        <v>77</v>
      </c>
      <c r="E294" t="s">
        <v>260</v>
      </c>
      <c r="F294" t="s">
        <v>160</v>
      </c>
      <c r="G294" t="s">
        <v>58</v>
      </c>
      <c r="H294">
        <v>4.5</v>
      </c>
      <c r="I294">
        <v>20.6</v>
      </c>
      <c r="J294" t="s">
        <v>20</v>
      </c>
      <c r="K294" t="s">
        <v>852</v>
      </c>
      <c r="L294" t="s">
        <v>126</v>
      </c>
      <c r="M294" t="s">
        <v>853</v>
      </c>
      <c r="N294" t="s">
        <v>61</v>
      </c>
      <c r="O294">
        <v>36</v>
      </c>
      <c r="Q294">
        <v>0</v>
      </c>
      <c r="R294">
        <v>0</v>
      </c>
      <c r="T294" t="s">
        <v>62</v>
      </c>
      <c r="U294" t="s">
        <v>39</v>
      </c>
      <c r="V294" t="s">
        <v>52</v>
      </c>
      <c r="W294" t="s">
        <v>39</v>
      </c>
      <c r="X294">
        <v>2022</v>
      </c>
      <c r="Y294" t="s">
        <v>128</v>
      </c>
      <c r="Z294" t="s">
        <v>64</v>
      </c>
    </row>
    <row r="295" spans="1:26">
      <c r="A295" t="s">
        <v>854</v>
      </c>
      <c r="B295" t="s">
        <v>27</v>
      </c>
      <c r="C295" t="s">
        <v>44</v>
      </c>
      <c r="D295" t="s">
        <v>122</v>
      </c>
      <c r="E295" t="s">
        <v>130</v>
      </c>
      <c r="F295" t="s">
        <v>95</v>
      </c>
      <c r="G295" t="s">
        <v>58</v>
      </c>
      <c r="H295">
        <v>3.7</v>
      </c>
      <c r="I295">
        <v>25.7</v>
      </c>
      <c r="J295" t="s">
        <v>96</v>
      </c>
      <c r="K295" t="s">
        <v>855</v>
      </c>
      <c r="L295" t="s">
        <v>60</v>
      </c>
      <c r="M295" t="s">
        <v>258</v>
      </c>
      <c r="N295" t="s">
        <v>71</v>
      </c>
      <c r="O295">
        <v>125</v>
      </c>
      <c r="P295" t="s">
        <v>72</v>
      </c>
      <c r="Q295">
        <v>2938</v>
      </c>
      <c r="R295">
        <v>2000</v>
      </c>
      <c r="S295" t="s">
        <v>90</v>
      </c>
      <c r="T295" t="s">
        <v>136</v>
      </c>
      <c r="U295" t="s">
        <v>39</v>
      </c>
      <c r="V295" t="s">
        <v>39</v>
      </c>
      <c r="W295" t="s">
        <v>39</v>
      </c>
      <c r="X295">
        <v>2022</v>
      </c>
      <c r="Y295" t="s">
        <v>63</v>
      </c>
      <c r="Z295" t="s">
        <v>64</v>
      </c>
    </row>
    <row r="296" spans="1:26">
      <c r="A296" t="s">
        <v>856</v>
      </c>
      <c r="B296" t="s">
        <v>66</v>
      </c>
      <c r="C296" t="s">
        <v>102</v>
      </c>
      <c r="D296" t="s">
        <v>85</v>
      </c>
      <c r="E296" t="s">
        <v>174</v>
      </c>
      <c r="F296" t="s">
        <v>68</v>
      </c>
      <c r="G296" t="s">
        <v>58</v>
      </c>
      <c r="H296">
        <v>6.8</v>
      </c>
      <c r="I296">
        <v>11.8</v>
      </c>
      <c r="J296" t="s">
        <v>156</v>
      </c>
      <c r="K296" t="s">
        <v>728</v>
      </c>
      <c r="L296" t="s">
        <v>98</v>
      </c>
      <c r="M296" t="s">
        <v>857</v>
      </c>
      <c r="N296" t="s">
        <v>71</v>
      </c>
      <c r="O296">
        <v>135</v>
      </c>
      <c r="P296" t="s">
        <v>112</v>
      </c>
      <c r="Q296">
        <v>1807</v>
      </c>
      <c r="R296">
        <v>1000</v>
      </c>
      <c r="S296" t="s">
        <v>90</v>
      </c>
      <c r="T296" t="s">
        <v>62</v>
      </c>
      <c r="U296" t="s">
        <v>39</v>
      </c>
      <c r="V296" t="s">
        <v>39</v>
      </c>
      <c r="W296" t="s">
        <v>52</v>
      </c>
      <c r="X296">
        <v>2023</v>
      </c>
      <c r="Y296" t="s">
        <v>114</v>
      </c>
      <c r="Z296" t="s">
        <v>41</v>
      </c>
    </row>
    <row r="297" spans="1:26">
      <c r="A297" t="s">
        <v>858</v>
      </c>
      <c r="B297" t="s">
        <v>27</v>
      </c>
      <c r="C297" t="s">
        <v>44</v>
      </c>
      <c r="D297" t="s">
        <v>29</v>
      </c>
      <c r="E297" t="s">
        <v>195</v>
      </c>
      <c r="F297" t="s">
        <v>160</v>
      </c>
      <c r="G297" t="s">
        <v>58</v>
      </c>
      <c r="H297">
        <v>5.8</v>
      </c>
      <c r="I297">
        <v>26.2</v>
      </c>
      <c r="J297" t="s">
        <v>144</v>
      </c>
      <c r="K297" t="s">
        <v>859</v>
      </c>
      <c r="L297" t="s">
        <v>140</v>
      </c>
      <c r="M297" t="s">
        <v>746</v>
      </c>
      <c r="N297" t="s">
        <v>71</v>
      </c>
      <c r="O297">
        <v>38</v>
      </c>
      <c r="P297" t="s">
        <v>112</v>
      </c>
      <c r="Q297">
        <v>2876</v>
      </c>
      <c r="R297">
        <v>0</v>
      </c>
      <c r="S297" t="s">
        <v>113</v>
      </c>
      <c r="T297" t="s">
        <v>81</v>
      </c>
      <c r="U297" t="s">
        <v>52</v>
      </c>
      <c r="V297" t="s">
        <v>52</v>
      </c>
      <c r="W297" t="s">
        <v>52</v>
      </c>
      <c r="X297">
        <v>2024</v>
      </c>
      <c r="Y297" t="s">
        <v>312</v>
      </c>
      <c r="Z297" t="s">
        <v>83</v>
      </c>
    </row>
    <row r="298" spans="1:26">
      <c r="A298" t="s">
        <v>860</v>
      </c>
      <c r="B298" t="s">
        <v>93</v>
      </c>
      <c r="C298" t="s">
        <v>28</v>
      </c>
      <c r="D298" t="s">
        <v>77</v>
      </c>
      <c r="E298" t="s">
        <v>94</v>
      </c>
      <c r="F298" t="s">
        <v>95</v>
      </c>
      <c r="G298" t="s">
        <v>32</v>
      </c>
      <c r="H298">
        <v>1</v>
      </c>
      <c r="I298">
        <v>27.3</v>
      </c>
      <c r="J298" t="s">
        <v>144</v>
      </c>
      <c r="K298" t="s">
        <v>861</v>
      </c>
      <c r="L298" t="s">
        <v>60</v>
      </c>
      <c r="M298" t="s">
        <v>862</v>
      </c>
      <c r="N298" t="s">
        <v>37</v>
      </c>
      <c r="O298">
        <v>144</v>
      </c>
      <c r="Q298">
        <v>0</v>
      </c>
      <c r="R298">
        <v>0</v>
      </c>
      <c r="T298" t="s">
        <v>51</v>
      </c>
      <c r="U298" t="s">
        <v>39</v>
      </c>
      <c r="V298" t="s">
        <v>52</v>
      </c>
      <c r="W298" t="s">
        <v>52</v>
      </c>
      <c r="X298">
        <v>2023</v>
      </c>
      <c r="Y298" t="s">
        <v>82</v>
      </c>
      <c r="Z298" t="s">
        <v>83</v>
      </c>
    </row>
    <row r="299" spans="1:26">
      <c r="A299" t="s">
        <v>863</v>
      </c>
      <c r="B299" t="s">
        <v>108</v>
      </c>
      <c r="C299" t="s">
        <v>164</v>
      </c>
      <c r="D299" t="s">
        <v>77</v>
      </c>
      <c r="E299" t="s">
        <v>220</v>
      </c>
      <c r="F299" t="s">
        <v>149</v>
      </c>
      <c r="G299" t="s">
        <v>58</v>
      </c>
      <c r="H299">
        <v>7.4</v>
      </c>
      <c r="I299">
        <v>34.700000000000003</v>
      </c>
      <c r="J299" t="s">
        <v>96</v>
      </c>
      <c r="K299" t="s">
        <v>728</v>
      </c>
      <c r="L299" t="s">
        <v>48</v>
      </c>
      <c r="M299" t="s">
        <v>509</v>
      </c>
      <c r="N299" t="s">
        <v>171</v>
      </c>
      <c r="O299">
        <v>44</v>
      </c>
      <c r="Q299">
        <v>0</v>
      </c>
      <c r="R299">
        <v>0</v>
      </c>
      <c r="T299" t="s">
        <v>81</v>
      </c>
      <c r="U299" t="s">
        <v>39</v>
      </c>
      <c r="V299" t="s">
        <v>39</v>
      </c>
      <c r="W299" t="s">
        <v>39</v>
      </c>
      <c r="X299">
        <v>2023</v>
      </c>
      <c r="Y299" t="s">
        <v>114</v>
      </c>
      <c r="Z299" t="s">
        <v>41</v>
      </c>
    </row>
    <row r="300" spans="1:26">
      <c r="A300" t="s">
        <v>864</v>
      </c>
      <c r="B300" t="s">
        <v>116</v>
      </c>
      <c r="C300" t="s">
        <v>173</v>
      </c>
      <c r="D300" t="s">
        <v>29</v>
      </c>
      <c r="E300" t="s">
        <v>94</v>
      </c>
      <c r="F300" t="s">
        <v>149</v>
      </c>
      <c r="G300" t="s">
        <v>32</v>
      </c>
      <c r="H300">
        <v>3.5</v>
      </c>
      <c r="I300">
        <v>12.3</v>
      </c>
      <c r="J300" t="s">
        <v>33</v>
      </c>
      <c r="K300" t="s">
        <v>865</v>
      </c>
      <c r="L300" t="s">
        <v>60</v>
      </c>
      <c r="M300" t="s">
        <v>326</v>
      </c>
      <c r="N300" t="s">
        <v>71</v>
      </c>
      <c r="O300">
        <v>63</v>
      </c>
      <c r="P300" t="s">
        <v>89</v>
      </c>
      <c r="Q300">
        <v>4909</v>
      </c>
      <c r="R300">
        <v>5000</v>
      </c>
      <c r="S300" t="s">
        <v>113</v>
      </c>
      <c r="T300" t="s">
        <v>81</v>
      </c>
      <c r="U300" t="s">
        <v>39</v>
      </c>
      <c r="V300" t="s">
        <v>52</v>
      </c>
      <c r="W300" t="s">
        <v>52</v>
      </c>
      <c r="X300">
        <v>2022</v>
      </c>
      <c r="Y300" t="s">
        <v>74</v>
      </c>
      <c r="Z300" t="s">
        <v>54</v>
      </c>
    </row>
    <row r="301" spans="1:26">
      <c r="A301" t="s">
        <v>866</v>
      </c>
      <c r="B301" t="s">
        <v>66</v>
      </c>
      <c r="C301" t="s">
        <v>173</v>
      </c>
      <c r="D301" t="s">
        <v>77</v>
      </c>
      <c r="E301" t="s">
        <v>216</v>
      </c>
      <c r="F301" t="s">
        <v>238</v>
      </c>
      <c r="G301" t="s">
        <v>32</v>
      </c>
      <c r="H301">
        <v>0.8</v>
      </c>
      <c r="I301">
        <v>7.4</v>
      </c>
      <c r="J301" t="s">
        <v>156</v>
      </c>
      <c r="K301" t="s">
        <v>867</v>
      </c>
      <c r="L301" t="s">
        <v>35</v>
      </c>
      <c r="M301" t="s">
        <v>868</v>
      </c>
      <c r="N301" t="s">
        <v>71</v>
      </c>
      <c r="O301">
        <v>97</v>
      </c>
      <c r="P301" t="s">
        <v>230</v>
      </c>
      <c r="Q301">
        <v>5092</v>
      </c>
      <c r="R301">
        <v>0</v>
      </c>
      <c r="S301" t="s">
        <v>90</v>
      </c>
      <c r="T301" t="s">
        <v>51</v>
      </c>
      <c r="U301" t="s">
        <v>39</v>
      </c>
      <c r="V301" t="s">
        <v>39</v>
      </c>
      <c r="W301" t="s">
        <v>39</v>
      </c>
      <c r="X301">
        <v>2022</v>
      </c>
      <c r="Y301" t="s">
        <v>82</v>
      </c>
      <c r="Z301" t="s">
        <v>83</v>
      </c>
    </row>
    <row r="302" spans="1:26">
      <c r="A302" t="s">
        <v>869</v>
      </c>
      <c r="B302" t="s">
        <v>93</v>
      </c>
      <c r="C302" t="s">
        <v>121</v>
      </c>
      <c r="D302" t="s">
        <v>29</v>
      </c>
      <c r="E302" t="s">
        <v>195</v>
      </c>
      <c r="F302" t="s">
        <v>31</v>
      </c>
      <c r="G302" t="s">
        <v>58</v>
      </c>
      <c r="H302">
        <v>6.2</v>
      </c>
      <c r="I302">
        <v>25</v>
      </c>
      <c r="J302" t="s">
        <v>33</v>
      </c>
      <c r="K302" t="s">
        <v>870</v>
      </c>
      <c r="L302" t="s">
        <v>48</v>
      </c>
      <c r="M302" t="s">
        <v>871</v>
      </c>
      <c r="N302" t="s">
        <v>100</v>
      </c>
      <c r="O302">
        <v>60</v>
      </c>
      <c r="Q302">
        <v>0</v>
      </c>
      <c r="R302">
        <v>0</v>
      </c>
      <c r="T302" t="s">
        <v>62</v>
      </c>
      <c r="U302" t="s">
        <v>52</v>
      </c>
      <c r="V302" t="s">
        <v>52</v>
      </c>
      <c r="W302" t="s">
        <v>39</v>
      </c>
      <c r="X302">
        <v>2024</v>
      </c>
      <c r="Y302" t="s">
        <v>312</v>
      </c>
      <c r="Z302" t="s">
        <v>83</v>
      </c>
    </row>
    <row r="303" spans="1:26">
      <c r="A303" t="s">
        <v>872</v>
      </c>
      <c r="B303" t="s">
        <v>116</v>
      </c>
      <c r="C303" t="s">
        <v>67</v>
      </c>
      <c r="D303" t="s">
        <v>77</v>
      </c>
      <c r="E303" t="s">
        <v>363</v>
      </c>
      <c r="F303" t="s">
        <v>46</v>
      </c>
      <c r="G303" t="s">
        <v>32</v>
      </c>
      <c r="H303">
        <v>5.9</v>
      </c>
      <c r="I303">
        <v>26.2</v>
      </c>
      <c r="J303" t="s">
        <v>156</v>
      </c>
      <c r="K303" t="s">
        <v>873</v>
      </c>
      <c r="L303" t="s">
        <v>60</v>
      </c>
      <c r="M303" t="s">
        <v>127</v>
      </c>
      <c r="N303" t="s">
        <v>171</v>
      </c>
      <c r="O303">
        <v>79</v>
      </c>
      <c r="Q303">
        <v>0</v>
      </c>
      <c r="R303">
        <v>0</v>
      </c>
      <c r="T303" t="s">
        <v>81</v>
      </c>
      <c r="U303" t="s">
        <v>39</v>
      </c>
      <c r="V303" t="s">
        <v>39</v>
      </c>
      <c r="W303" t="s">
        <v>52</v>
      </c>
      <c r="X303">
        <v>2024</v>
      </c>
      <c r="Y303" t="s">
        <v>63</v>
      </c>
      <c r="Z303" t="s">
        <v>64</v>
      </c>
    </row>
    <row r="304" spans="1:26">
      <c r="A304" t="s">
        <v>874</v>
      </c>
      <c r="B304" t="s">
        <v>108</v>
      </c>
      <c r="C304" t="s">
        <v>102</v>
      </c>
      <c r="D304" t="s">
        <v>85</v>
      </c>
      <c r="E304" t="s">
        <v>174</v>
      </c>
      <c r="F304" t="s">
        <v>57</v>
      </c>
      <c r="G304" t="s">
        <v>58</v>
      </c>
      <c r="H304">
        <v>7.9</v>
      </c>
      <c r="I304">
        <v>3.5</v>
      </c>
      <c r="J304" t="s">
        <v>20</v>
      </c>
      <c r="K304" t="s">
        <v>324</v>
      </c>
      <c r="L304" t="s">
        <v>48</v>
      </c>
      <c r="M304" t="s">
        <v>875</v>
      </c>
      <c r="N304" t="s">
        <v>71</v>
      </c>
      <c r="O304">
        <v>58</v>
      </c>
      <c r="P304" t="s">
        <v>112</v>
      </c>
      <c r="Q304">
        <v>1899</v>
      </c>
      <c r="R304">
        <v>500</v>
      </c>
      <c r="S304" t="s">
        <v>152</v>
      </c>
      <c r="T304" t="s">
        <v>62</v>
      </c>
      <c r="U304" t="s">
        <v>39</v>
      </c>
      <c r="V304" t="s">
        <v>52</v>
      </c>
      <c r="W304" t="s">
        <v>52</v>
      </c>
      <c r="X304">
        <v>2023</v>
      </c>
      <c r="Y304" t="s">
        <v>40</v>
      </c>
      <c r="Z304" t="s">
        <v>41</v>
      </c>
    </row>
    <row r="305" spans="1:26">
      <c r="A305" t="s">
        <v>876</v>
      </c>
      <c r="B305" t="s">
        <v>43</v>
      </c>
      <c r="C305" t="s">
        <v>44</v>
      </c>
      <c r="D305" t="s">
        <v>77</v>
      </c>
      <c r="E305" t="s">
        <v>216</v>
      </c>
      <c r="F305" t="s">
        <v>68</v>
      </c>
      <c r="G305" t="s">
        <v>58</v>
      </c>
      <c r="H305">
        <v>8.3000000000000007</v>
      </c>
      <c r="I305">
        <v>31.5</v>
      </c>
      <c r="J305" t="s">
        <v>33</v>
      </c>
      <c r="K305" t="s">
        <v>413</v>
      </c>
      <c r="L305" t="s">
        <v>35</v>
      </c>
      <c r="M305" t="s">
        <v>877</v>
      </c>
      <c r="N305" t="s">
        <v>61</v>
      </c>
      <c r="O305">
        <v>36</v>
      </c>
      <c r="Q305">
        <v>0</v>
      </c>
      <c r="R305">
        <v>0</v>
      </c>
      <c r="T305" t="s">
        <v>62</v>
      </c>
      <c r="U305" t="s">
        <v>39</v>
      </c>
      <c r="V305" t="s">
        <v>39</v>
      </c>
      <c r="W305" t="s">
        <v>52</v>
      </c>
      <c r="X305">
        <v>2023</v>
      </c>
      <c r="Y305" t="s">
        <v>82</v>
      </c>
      <c r="Z305" t="s">
        <v>83</v>
      </c>
    </row>
    <row r="306" spans="1:26">
      <c r="A306" t="s">
        <v>878</v>
      </c>
      <c r="B306" t="s">
        <v>66</v>
      </c>
      <c r="C306" t="s">
        <v>173</v>
      </c>
      <c r="D306" t="s">
        <v>77</v>
      </c>
      <c r="E306" t="s">
        <v>220</v>
      </c>
      <c r="F306" t="s">
        <v>68</v>
      </c>
      <c r="G306" t="s">
        <v>58</v>
      </c>
      <c r="H306">
        <v>3.7</v>
      </c>
      <c r="I306">
        <v>26.2</v>
      </c>
      <c r="J306" t="s">
        <v>33</v>
      </c>
      <c r="K306" t="s">
        <v>879</v>
      </c>
      <c r="L306" t="s">
        <v>48</v>
      </c>
      <c r="M306" t="s">
        <v>307</v>
      </c>
      <c r="N306" t="s">
        <v>100</v>
      </c>
      <c r="O306">
        <v>106</v>
      </c>
      <c r="Q306">
        <v>0</v>
      </c>
      <c r="R306">
        <v>0</v>
      </c>
      <c r="T306" t="s">
        <v>81</v>
      </c>
      <c r="U306" t="s">
        <v>39</v>
      </c>
      <c r="V306" t="s">
        <v>52</v>
      </c>
      <c r="W306" t="s">
        <v>52</v>
      </c>
      <c r="X306">
        <v>2023</v>
      </c>
      <c r="Y306" t="s">
        <v>91</v>
      </c>
      <c r="Z306" t="s">
        <v>64</v>
      </c>
    </row>
    <row r="307" spans="1:26">
      <c r="A307" t="s">
        <v>880</v>
      </c>
      <c r="B307" t="s">
        <v>27</v>
      </c>
      <c r="C307" t="s">
        <v>121</v>
      </c>
      <c r="D307" t="s">
        <v>77</v>
      </c>
      <c r="E307" t="s">
        <v>363</v>
      </c>
      <c r="F307" t="s">
        <v>46</v>
      </c>
      <c r="G307" t="s">
        <v>58</v>
      </c>
      <c r="H307">
        <v>8.3000000000000007</v>
      </c>
      <c r="I307">
        <v>16.899999999999999</v>
      </c>
      <c r="J307" t="s">
        <v>96</v>
      </c>
      <c r="K307" t="s">
        <v>881</v>
      </c>
      <c r="L307" t="s">
        <v>126</v>
      </c>
      <c r="M307" t="s">
        <v>882</v>
      </c>
      <c r="N307" t="s">
        <v>71</v>
      </c>
      <c r="O307">
        <v>60</v>
      </c>
      <c r="P307" t="s">
        <v>112</v>
      </c>
      <c r="Q307">
        <v>5943</v>
      </c>
      <c r="R307">
        <v>0</v>
      </c>
      <c r="S307" t="s">
        <v>90</v>
      </c>
      <c r="T307" t="s">
        <v>81</v>
      </c>
      <c r="U307" t="s">
        <v>39</v>
      </c>
      <c r="V307" t="s">
        <v>39</v>
      </c>
      <c r="W307" t="s">
        <v>52</v>
      </c>
      <c r="X307">
        <v>2023</v>
      </c>
      <c r="Y307" t="s">
        <v>74</v>
      </c>
      <c r="Z307" t="s">
        <v>54</v>
      </c>
    </row>
    <row r="308" spans="1:26">
      <c r="A308" t="s">
        <v>883</v>
      </c>
      <c r="B308" t="s">
        <v>43</v>
      </c>
      <c r="C308" t="s">
        <v>102</v>
      </c>
      <c r="D308" t="s">
        <v>77</v>
      </c>
      <c r="E308" t="s">
        <v>94</v>
      </c>
      <c r="F308" t="s">
        <v>95</v>
      </c>
      <c r="G308" t="s">
        <v>58</v>
      </c>
      <c r="H308">
        <v>2.7</v>
      </c>
      <c r="I308">
        <v>23.7</v>
      </c>
      <c r="J308" t="s">
        <v>144</v>
      </c>
      <c r="K308" t="s">
        <v>884</v>
      </c>
      <c r="L308" t="s">
        <v>140</v>
      </c>
      <c r="M308" t="s">
        <v>885</v>
      </c>
      <c r="N308" t="s">
        <v>100</v>
      </c>
      <c r="O308">
        <v>70</v>
      </c>
      <c r="Q308">
        <v>0</v>
      </c>
      <c r="R308">
        <v>0</v>
      </c>
      <c r="T308" t="s">
        <v>136</v>
      </c>
      <c r="U308" t="s">
        <v>39</v>
      </c>
      <c r="V308" t="s">
        <v>52</v>
      </c>
      <c r="W308" t="s">
        <v>52</v>
      </c>
      <c r="X308">
        <v>2022</v>
      </c>
      <c r="Y308" t="s">
        <v>106</v>
      </c>
      <c r="Z308" t="s">
        <v>83</v>
      </c>
    </row>
    <row r="309" spans="1:26">
      <c r="A309" t="s">
        <v>886</v>
      </c>
      <c r="B309" t="s">
        <v>66</v>
      </c>
      <c r="C309" t="s">
        <v>76</v>
      </c>
      <c r="D309" t="s">
        <v>85</v>
      </c>
      <c r="E309" t="s">
        <v>86</v>
      </c>
      <c r="F309" t="s">
        <v>109</v>
      </c>
      <c r="G309" t="s">
        <v>58</v>
      </c>
      <c r="H309">
        <v>8.6999999999999993</v>
      </c>
      <c r="I309">
        <v>14.1</v>
      </c>
      <c r="J309" t="s">
        <v>144</v>
      </c>
      <c r="K309" t="s">
        <v>887</v>
      </c>
      <c r="L309" t="s">
        <v>126</v>
      </c>
      <c r="M309" t="s">
        <v>888</v>
      </c>
      <c r="N309" t="s">
        <v>100</v>
      </c>
      <c r="O309">
        <v>156</v>
      </c>
      <c r="Q309">
        <v>0</v>
      </c>
      <c r="R309">
        <v>0</v>
      </c>
      <c r="T309" t="s">
        <v>38</v>
      </c>
      <c r="U309" t="s">
        <v>39</v>
      </c>
      <c r="V309" t="s">
        <v>52</v>
      </c>
      <c r="W309" t="s">
        <v>52</v>
      </c>
      <c r="X309">
        <v>2022</v>
      </c>
      <c r="Y309" t="s">
        <v>312</v>
      </c>
      <c r="Z309" t="s">
        <v>83</v>
      </c>
    </row>
    <row r="310" spans="1:26">
      <c r="A310" t="s">
        <v>889</v>
      </c>
      <c r="B310" t="s">
        <v>93</v>
      </c>
      <c r="C310" t="s">
        <v>121</v>
      </c>
      <c r="D310" t="s">
        <v>77</v>
      </c>
      <c r="E310" t="s">
        <v>94</v>
      </c>
      <c r="F310" t="s">
        <v>68</v>
      </c>
      <c r="G310" t="s">
        <v>32</v>
      </c>
      <c r="H310">
        <v>5.3</v>
      </c>
      <c r="I310">
        <v>31</v>
      </c>
      <c r="J310" t="s">
        <v>33</v>
      </c>
      <c r="K310" t="s">
        <v>890</v>
      </c>
      <c r="L310" t="s">
        <v>140</v>
      </c>
      <c r="M310" t="s">
        <v>127</v>
      </c>
      <c r="N310" t="s">
        <v>71</v>
      </c>
      <c r="O310">
        <v>162</v>
      </c>
      <c r="P310" t="s">
        <v>230</v>
      </c>
      <c r="Q310">
        <v>4555</v>
      </c>
      <c r="R310">
        <v>0</v>
      </c>
      <c r="S310" t="s">
        <v>113</v>
      </c>
      <c r="T310" t="s">
        <v>136</v>
      </c>
      <c r="U310" t="s">
        <v>52</v>
      </c>
      <c r="V310" t="s">
        <v>39</v>
      </c>
      <c r="W310" t="s">
        <v>39</v>
      </c>
      <c r="X310">
        <v>2024</v>
      </c>
      <c r="Y310" t="s">
        <v>128</v>
      </c>
      <c r="Z310" t="s">
        <v>64</v>
      </c>
    </row>
    <row r="311" spans="1:26">
      <c r="A311" t="s">
        <v>891</v>
      </c>
      <c r="B311" t="s">
        <v>27</v>
      </c>
      <c r="C311" t="s">
        <v>102</v>
      </c>
      <c r="D311" t="s">
        <v>77</v>
      </c>
      <c r="E311" t="s">
        <v>216</v>
      </c>
      <c r="F311" t="s">
        <v>149</v>
      </c>
      <c r="G311" t="s">
        <v>58</v>
      </c>
      <c r="H311">
        <v>5.5</v>
      </c>
      <c r="I311">
        <v>6.7</v>
      </c>
      <c r="J311" t="s">
        <v>33</v>
      </c>
      <c r="K311" t="s">
        <v>892</v>
      </c>
      <c r="L311" t="s">
        <v>60</v>
      </c>
      <c r="M311" t="s">
        <v>370</v>
      </c>
      <c r="N311" t="s">
        <v>171</v>
      </c>
      <c r="O311">
        <v>106</v>
      </c>
      <c r="Q311">
        <v>0</v>
      </c>
      <c r="R311">
        <v>0</v>
      </c>
      <c r="T311" t="s">
        <v>81</v>
      </c>
      <c r="U311" t="s">
        <v>39</v>
      </c>
      <c r="V311" t="s">
        <v>39</v>
      </c>
      <c r="W311" t="s">
        <v>39</v>
      </c>
      <c r="X311">
        <v>2024</v>
      </c>
      <c r="Y311" t="s">
        <v>312</v>
      </c>
      <c r="Z311" t="s">
        <v>83</v>
      </c>
    </row>
    <row r="312" spans="1:26">
      <c r="A312" t="s">
        <v>893</v>
      </c>
      <c r="B312" t="s">
        <v>27</v>
      </c>
      <c r="C312" t="s">
        <v>164</v>
      </c>
      <c r="D312" t="s">
        <v>77</v>
      </c>
      <c r="E312" t="s">
        <v>260</v>
      </c>
      <c r="F312" t="s">
        <v>57</v>
      </c>
      <c r="G312" t="s">
        <v>32</v>
      </c>
      <c r="H312">
        <v>8.6999999999999993</v>
      </c>
      <c r="I312">
        <v>34.1</v>
      </c>
      <c r="J312" t="s">
        <v>33</v>
      </c>
      <c r="K312" t="s">
        <v>326</v>
      </c>
      <c r="L312" t="s">
        <v>48</v>
      </c>
      <c r="M312" t="s">
        <v>687</v>
      </c>
      <c r="N312" t="s">
        <v>100</v>
      </c>
      <c r="O312">
        <v>135</v>
      </c>
      <c r="Q312">
        <v>0</v>
      </c>
      <c r="R312">
        <v>0</v>
      </c>
      <c r="T312" t="s">
        <v>51</v>
      </c>
      <c r="U312" t="s">
        <v>39</v>
      </c>
      <c r="V312" t="s">
        <v>39</v>
      </c>
      <c r="W312" t="s">
        <v>52</v>
      </c>
      <c r="X312">
        <v>2022</v>
      </c>
      <c r="Y312" t="s">
        <v>153</v>
      </c>
      <c r="Z312" t="s">
        <v>54</v>
      </c>
    </row>
    <row r="313" spans="1:26">
      <c r="A313" t="s">
        <v>894</v>
      </c>
      <c r="B313" t="s">
        <v>93</v>
      </c>
      <c r="C313" t="s">
        <v>164</v>
      </c>
      <c r="D313" t="s">
        <v>77</v>
      </c>
      <c r="E313" t="s">
        <v>220</v>
      </c>
      <c r="F313" t="s">
        <v>95</v>
      </c>
      <c r="G313" t="s">
        <v>58</v>
      </c>
      <c r="H313">
        <v>8.8000000000000007</v>
      </c>
      <c r="I313">
        <v>33.700000000000003</v>
      </c>
      <c r="J313" t="s">
        <v>33</v>
      </c>
      <c r="K313" t="s">
        <v>47</v>
      </c>
      <c r="L313" t="s">
        <v>35</v>
      </c>
      <c r="M313" t="s">
        <v>650</v>
      </c>
      <c r="N313" t="s">
        <v>61</v>
      </c>
      <c r="O313">
        <v>79</v>
      </c>
      <c r="Q313">
        <v>0</v>
      </c>
      <c r="R313">
        <v>0</v>
      </c>
      <c r="T313" t="s">
        <v>62</v>
      </c>
      <c r="U313" t="s">
        <v>39</v>
      </c>
      <c r="V313" t="s">
        <v>39</v>
      </c>
      <c r="W313" t="s">
        <v>52</v>
      </c>
      <c r="X313">
        <v>2024</v>
      </c>
      <c r="Y313" t="s">
        <v>53</v>
      </c>
      <c r="Z313" t="s">
        <v>54</v>
      </c>
    </row>
    <row r="314" spans="1:26">
      <c r="A314" t="s">
        <v>895</v>
      </c>
      <c r="B314" t="s">
        <v>108</v>
      </c>
      <c r="C314" t="s">
        <v>44</v>
      </c>
      <c r="D314" t="s">
        <v>77</v>
      </c>
      <c r="E314" t="s">
        <v>78</v>
      </c>
      <c r="F314" t="s">
        <v>149</v>
      </c>
      <c r="G314" t="s">
        <v>58</v>
      </c>
      <c r="H314">
        <v>2.7</v>
      </c>
      <c r="I314">
        <v>23.3</v>
      </c>
      <c r="J314" t="s">
        <v>20</v>
      </c>
      <c r="K314" t="s">
        <v>896</v>
      </c>
      <c r="L314" t="s">
        <v>140</v>
      </c>
      <c r="M314" t="s">
        <v>378</v>
      </c>
      <c r="N314" t="s">
        <v>50</v>
      </c>
      <c r="O314">
        <v>156</v>
      </c>
      <c r="Q314">
        <v>0</v>
      </c>
      <c r="R314">
        <v>0</v>
      </c>
      <c r="T314" t="s">
        <v>38</v>
      </c>
      <c r="U314" t="s">
        <v>39</v>
      </c>
      <c r="V314" t="s">
        <v>52</v>
      </c>
      <c r="W314" t="s">
        <v>52</v>
      </c>
      <c r="X314">
        <v>2022</v>
      </c>
      <c r="Y314" t="s">
        <v>106</v>
      </c>
      <c r="Z314" t="s">
        <v>83</v>
      </c>
    </row>
    <row r="315" spans="1:26">
      <c r="A315" t="s">
        <v>897</v>
      </c>
      <c r="B315" t="s">
        <v>116</v>
      </c>
      <c r="C315" t="s">
        <v>173</v>
      </c>
      <c r="D315" t="s">
        <v>77</v>
      </c>
      <c r="E315" t="s">
        <v>363</v>
      </c>
      <c r="F315" t="s">
        <v>46</v>
      </c>
      <c r="G315" t="s">
        <v>58</v>
      </c>
      <c r="H315">
        <v>4.3</v>
      </c>
      <c r="I315">
        <v>5.5</v>
      </c>
      <c r="J315" t="s">
        <v>33</v>
      </c>
      <c r="K315" t="s">
        <v>885</v>
      </c>
      <c r="L315" t="s">
        <v>35</v>
      </c>
      <c r="M315" t="s">
        <v>898</v>
      </c>
      <c r="N315" t="s">
        <v>71</v>
      </c>
      <c r="O315">
        <v>48</v>
      </c>
      <c r="P315" t="s">
        <v>112</v>
      </c>
      <c r="Q315">
        <v>3451</v>
      </c>
      <c r="R315">
        <v>2000</v>
      </c>
      <c r="S315" t="s">
        <v>113</v>
      </c>
      <c r="T315" t="s">
        <v>81</v>
      </c>
      <c r="U315" t="s">
        <v>39</v>
      </c>
      <c r="V315" t="s">
        <v>52</v>
      </c>
      <c r="W315" t="s">
        <v>52</v>
      </c>
      <c r="X315">
        <v>2022</v>
      </c>
      <c r="Y315" t="s">
        <v>74</v>
      </c>
      <c r="Z315" t="s">
        <v>54</v>
      </c>
    </row>
    <row r="316" spans="1:26">
      <c r="A316" t="s">
        <v>899</v>
      </c>
      <c r="B316" t="s">
        <v>116</v>
      </c>
      <c r="C316" t="s">
        <v>44</v>
      </c>
      <c r="D316" t="s">
        <v>77</v>
      </c>
      <c r="E316" t="s">
        <v>260</v>
      </c>
      <c r="F316" t="s">
        <v>109</v>
      </c>
      <c r="G316" t="s">
        <v>58</v>
      </c>
      <c r="H316">
        <v>3.9</v>
      </c>
      <c r="I316">
        <v>31.5</v>
      </c>
      <c r="J316" t="s">
        <v>33</v>
      </c>
      <c r="K316" t="s">
        <v>900</v>
      </c>
      <c r="L316" t="s">
        <v>126</v>
      </c>
      <c r="M316" t="s">
        <v>901</v>
      </c>
      <c r="N316" t="s">
        <v>61</v>
      </c>
      <c r="O316">
        <v>24</v>
      </c>
      <c r="Q316">
        <v>0</v>
      </c>
      <c r="R316">
        <v>0</v>
      </c>
      <c r="T316" t="s">
        <v>81</v>
      </c>
      <c r="U316" t="s">
        <v>39</v>
      </c>
      <c r="V316" t="s">
        <v>52</v>
      </c>
      <c r="W316" t="s">
        <v>52</v>
      </c>
      <c r="X316">
        <v>2022</v>
      </c>
      <c r="Y316" t="s">
        <v>312</v>
      </c>
      <c r="Z316" t="s">
        <v>83</v>
      </c>
    </row>
    <row r="317" spans="1:26">
      <c r="A317" t="s">
        <v>902</v>
      </c>
      <c r="B317" t="s">
        <v>66</v>
      </c>
      <c r="C317" t="s">
        <v>28</v>
      </c>
      <c r="D317" t="s">
        <v>122</v>
      </c>
      <c r="E317" t="s">
        <v>202</v>
      </c>
      <c r="F317" t="s">
        <v>149</v>
      </c>
      <c r="G317" t="s">
        <v>32</v>
      </c>
      <c r="H317">
        <v>7.4</v>
      </c>
      <c r="I317">
        <v>4.3</v>
      </c>
      <c r="J317" t="s">
        <v>144</v>
      </c>
      <c r="K317" t="s">
        <v>80</v>
      </c>
      <c r="L317" t="s">
        <v>140</v>
      </c>
      <c r="M317" t="s">
        <v>903</v>
      </c>
      <c r="N317" t="s">
        <v>37</v>
      </c>
      <c r="O317">
        <v>135</v>
      </c>
      <c r="Q317">
        <v>0</v>
      </c>
      <c r="R317">
        <v>0</v>
      </c>
      <c r="T317" t="s">
        <v>51</v>
      </c>
      <c r="U317" t="s">
        <v>39</v>
      </c>
      <c r="V317" t="s">
        <v>52</v>
      </c>
      <c r="W317" t="s">
        <v>52</v>
      </c>
      <c r="X317">
        <v>2024</v>
      </c>
      <c r="Y317" t="s">
        <v>74</v>
      </c>
      <c r="Z317" t="s">
        <v>54</v>
      </c>
    </row>
    <row r="318" spans="1:26">
      <c r="A318" t="s">
        <v>904</v>
      </c>
      <c r="B318" t="s">
        <v>43</v>
      </c>
      <c r="C318" t="s">
        <v>173</v>
      </c>
      <c r="D318" t="s">
        <v>77</v>
      </c>
      <c r="E318" t="s">
        <v>78</v>
      </c>
      <c r="F318" t="s">
        <v>124</v>
      </c>
      <c r="G318" t="s">
        <v>58</v>
      </c>
      <c r="H318">
        <v>9.6999999999999993</v>
      </c>
      <c r="I318">
        <v>31</v>
      </c>
      <c r="J318" t="s">
        <v>33</v>
      </c>
      <c r="K318" t="s">
        <v>905</v>
      </c>
      <c r="L318" t="s">
        <v>35</v>
      </c>
      <c r="M318" t="s">
        <v>127</v>
      </c>
      <c r="N318" t="s">
        <v>50</v>
      </c>
      <c r="O318">
        <v>162</v>
      </c>
      <c r="Q318">
        <v>0</v>
      </c>
      <c r="R318">
        <v>1000</v>
      </c>
      <c r="T318" t="s">
        <v>136</v>
      </c>
      <c r="U318" t="s">
        <v>39</v>
      </c>
      <c r="V318" t="s">
        <v>52</v>
      </c>
      <c r="W318" t="s">
        <v>52</v>
      </c>
      <c r="X318">
        <v>2024</v>
      </c>
      <c r="Y318" t="s">
        <v>128</v>
      </c>
      <c r="Z318" t="s">
        <v>64</v>
      </c>
    </row>
    <row r="319" spans="1:26">
      <c r="A319" t="s">
        <v>906</v>
      </c>
      <c r="B319" t="s">
        <v>43</v>
      </c>
      <c r="C319" t="s">
        <v>76</v>
      </c>
      <c r="D319" t="s">
        <v>77</v>
      </c>
      <c r="E319" t="s">
        <v>94</v>
      </c>
      <c r="F319" t="s">
        <v>124</v>
      </c>
      <c r="G319" t="s">
        <v>32</v>
      </c>
      <c r="H319">
        <v>4.3</v>
      </c>
      <c r="I319">
        <v>28.3</v>
      </c>
      <c r="J319" t="s">
        <v>33</v>
      </c>
      <c r="K319" t="s">
        <v>80</v>
      </c>
      <c r="L319" t="s">
        <v>35</v>
      </c>
      <c r="M319" t="s">
        <v>47</v>
      </c>
      <c r="N319" t="s">
        <v>171</v>
      </c>
      <c r="O319">
        <v>12</v>
      </c>
      <c r="Q319">
        <v>0</v>
      </c>
      <c r="R319">
        <v>0</v>
      </c>
      <c r="T319" t="s">
        <v>51</v>
      </c>
      <c r="U319" t="s">
        <v>39</v>
      </c>
      <c r="V319" t="s">
        <v>52</v>
      </c>
      <c r="W319" t="s">
        <v>52</v>
      </c>
      <c r="X319">
        <v>2024</v>
      </c>
      <c r="Y319" t="s">
        <v>74</v>
      </c>
      <c r="Z319" t="s">
        <v>54</v>
      </c>
    </row>
    <row r="320" spans="1:26">
      <c r="A320" t="s">
        <v>907</v>
      </c>
      <c r="B320" t="s">
        <v>116</v>
      </c>
      <c r="C320" t="s">
        <v>164</v>
      </c>
      <c r="D320" t="s">
        <v>77</v>
      </c>
      <c r="E320" t="s">
        <v>143</v>
      </c>
      <c r="F320" t="s">
        <v>124</v>
      </c>
      <c r="G320" t="s">
        <v>32</v>
      </c>
      <c r="H320">
        <v>8.6999999999999993</v>
      </c>
      <c r="I320">
        <v>21.8</v>
      </c>
      <c r="J320" t="s">
        <v>96</v>
      </c>
      <c r="K320" t="s">
        <v>908</v>
      </c>
      <c r="L320" t="s">
        <v>60</v>
      </c>
      <c r="M320" t="s">
        <v>597</v>
      </c>
      <c r="N320" t="s">
        <v>100</v>
      </c>
      <c r="O320">
        <v>88</v>
      </c>
      <c r="Q320">
        <v>0</v>
      </c>
      <c r="R320">
        <v>0</v>
      </c>
      <c r="T320" t="s">
        <v>136</v>
      </c>
      <c r="U320" t="s">
        <v>52</v>
      </c>
      <c r="V320" t="s">
        <v>39</v>
      </c>
      <c r="W320" t="s">
        <v>52</v>
      </c>
      <c r="X320">
        <v>2023</v>
      </c>
      <c r="Y320" t="s">
        <v>128</v>
      </c>
      <c r="Z320" t="s">
        <v>64</v>
      </c>
    </row>
    <row r="321" spans="1:26">
      <c r="A321" t="s">
        <v>909</v>
      </c>
      <c r="B321" t="s">
        <v>66</v>
      </c>
      <c r="C321" t="s">
        <v>76</v>
      </c>
      <c r="D321" t="s">
        <v>77</v>
      </c>
      <c r="E321" t="s">
        <v>216</v>
      </c>
      <c r="F321" t="s">
        <v>109</v>
      </c>
      <c r="G321" t="s">
        <v>32</v>
      </c>
      <c r="H321">
        <v>5.6</v>
      </c>
      <c r="I321">
        <v>28.6</v>
      </c>
      <c r="J321" t="s">
        <v>20</v>
      </c>
      <c r="K321" t="s">
        <v>474</v>
      </c>
      <c r="L321" t="s">
        <v>98</v>
      </c>
      <c r="M321" t="s">
        <v>910</v>
      </c>
      <c r="N321" t="s">
        <v>171</v>
      </c>
      <c r="O321">
        <v>138</v>
      </c>
      <c r="Q321">
        <v>0</v>
      </c>
      <c r="R321">
        <v>0</v>
      </c>
      <c r="T321" t="s">
        <v>51</v>
      </c>
      <c r="U321" t="s">
        <v>39</v>
      </c>
      <c r="V321" t="s">
        <v>39</v>
      </c>
      <c r="W321" t="s">
        <v>52</v>
      </c>
      <c r="X321">
        <v>2024</v>
      </c>
      <c r="Y321" t="s">
        <v>211</v>
      </c>
      <c r="Z321" t="s">
        <v>41</v>
      </c>
    </row>
    <row r="322" spans="1:26">
      <c r="A322" t="s">
        <v>911</v>
      </c>
      <c r="B322" t="s">
        <v>27</v>
      </c>
      <c r="C322" t="s">
        <v>44</v>
      </c>
      <c r="D322" t="s">
        <v>122</v>
      </c>
      <c r="E322" t="s">
        <v>123</v>
      </c>
      <c r="F322" t="s">
        <v>68</v>
      </c>
      <c r="G322" t="s">
        <v>58</v>
      </c>
      <c r="H322">
        <v>7.6</v>
      </c>
      <c r="I322">
        <v>29.6</v>
      </c>
      <c r="J322" t="s">
        <v>96</v>
      </c>
      <c r="K322" t="s">
        <v>912</v>
      </c>
      <c r="L322" t="s">
        <v>60</v>
      </c>
      <c r="M322" t="s">
        <v>305</v>
      </c>
      <c r="N322" t="s">
        <v>71</v>
      </c>
      <c r="O322">
        <v>72</v>
      </c>
      <c r="P322" t="s">
        <v>72</v>
      </c>
      <c r="Q322">
        <v>1889</v>
      </c>
      <c r="R322">
        <v>500</v>
      </c>
      <c r="S322" t="s">
        <v>73</v>
      </c>
      <c r="T322" t="s">
        <v>51</v>
      </c>
      <c r="U322" t="s">
        <v>52</v>
      </c>
      <c r="V322" t="s">
        <v>39</v>
      </c>
      <c r="W322" t="s">
        <v>52</v>
      </c>
      <c r="X322">
        <v>2022</v>
      </c>
      <c r="Y322" t="s">
        <v>128</v>
      </c>
      <c r="Z322" t="s">
        <v>64</v>
      </c>
    </row>
    <row r="323" spans="1:26">
      <c r="A323" t="s">
        <v>913</v>
      </c>
      <c r="B323" t="s">
        <v>116</v>
      </c>
      <c r="C323" t="s">
        <v>102</v>
      </c>
      <c r="D323" t="s">
        <v>77</v>
      </c>
      <c r="E323" t="s">
        <v>260</v>
      </c>
      <c r="F323" t="s">
        <v>95</v>
      </c>
      <c r="G323" t="s">
        <v>32</v>
      </c>
      <c r="H323">
        <v>2.2000000000000002</v>
      </c>
      <c r="I323">
        <v>13.4</v>
      </c>
      <c r="J323" t="s">
        <v>20</v>
      </c>
      <c r="K323" t="s">
        <v>914</v>
      </c>
      <c r="L323" t="s">
        <v>35</v>
      </c>
      <c r="M323" t="s">
        <v>915</v>
      </c>
      <c r="N323" t="s">
        <v>37</v>
      </c>
      <c r="O323">
        <v>78</v>
      </c>
      <c r="Q323">
        <v>0</v>
      </c>
      <c r="R323">
        <v>500</v>
      </c>
      <c r="T323" t="s">
        <v>136</v>
      </c>
      <c r="U323" t="s">
        <v>39</v>
      </c>
      <c r="V323" t="s">
        <v>39</v>
      </c>
      <c r="W323" t="s">
        <v>52</v>
      </c>
      <c r="X323">
        <v>2024</v>
      </c>
      <c r="Y323" t="s">
        <v>40</v>
      </c>
      <c r="Z323" t="s">
        <v>41</v>
      </c>
    </row>
    <row r="324" spans="1:26">
      <c r="A324" t="s">
        <v>916</v>
      </c>
      <c r="B324" t="s">
        <v>116</v>
      </c>
      <c r="C324" t="s">
        <v>121</v>
      </c>
      <c r="D324" t="s">
        <v>77</v>
      </c>
      <c r="E324" t="s">
        <v>168</v>
      </c>
      <c r="F324" t="s">
        <v>57</v>
      </c>
      <c r="G324" t="s">
        <v>58</v>
      </c>
      <c r="H324">
        <v>11.9</v>
      </c>
      <c r="I324">
        <v>7.6</v>
      </c>
      <c r="J324" t="s">
        <v>33</v>
      </c>
      <c r="K324" t="s">
        <v>917</v>
      </c>
      <c r="L324" t="s">
        <v>60</v>
      </c>
      <c r="M324" t="s">
        <v>918</v>
      </c>
      <c r="N324" t="s">
        <v>71</v>
      </c>
      <c r="O324">
        <v>37</v>
      </c>
      <c r="P324" t="s">
        <v>230</v>
      </c>
      <c r="Q324">
        <v>7228</v>
      </c>
      <c r="R324">
        <v>2000</v>
      </c>
      <c r="S324" t="s">
        <v>73</v>
      </c>
      <c r="T324" t="s">
        <v>51</v>
      </c>
      <c r="U324" t="s">
        <v>52</v>
      </c>
      <c r="V324" t="s">
        <v>39</v>
      </c>
      <c r="W324" t="s">
        <v>39</v>
      </c>
      <c r="X324">
        <v>2023</v>
      </c>
      <c r="Y324" t="s">
        <v>128</v>
      </c>
      <c r="Z324" t="s">
        <v>64</v>
      </c>
    </row>
    <row r="325" spans="1:26">
      <c r="A325" t="s">
        <v>919</v>
      </c>
      <c r="B325" t="s">
        <v>43</v>
      </c>
      <c r="C325" t="s">
        <v>102</v>
      </c>
      <c r="D325" t="s">
        <v>29</v>
      </c>
      <c r="E325" t="s">
        <v>195</v>
      </c>
      <c r="F325" t="s">
        <v>160</v>
      </c>
      <c r="G325" t="s">
        <v>32</v>
      </c>
      <c r="H325">
        <v>7.7</v>
      </c>
      <c r="I325">
        <v>7.7</v>
      </c>
      <c r="J325" t="s">
        <v>20</v>
      </c>
      <c r="K325" t="s">
        <v>329</v>
      </c>
      <c r="L325" t="s">
        <v>60</v>
      </c>
      <c r="M325" t="s">
        <v>151</v>
      </c>
      <c r="N325" t="s">
        <v>61</v>
      </c>
      <c r="O325">
        <v>6</v>
      </c>
      <c r="Q325">
        <v>0</v>
      </c>
      <c r="R325">
        <v>0</v>
      </c>
      <c r="T325" t="s">
        <v>136</v>
      </c>
      <c r="U325" t="s">
        <v>39</v>
      </c>
      <c r="V325" t="s">
        <v>52</v>
      </c>
      <c r="W325" t="s">
        <v>52</v>
      </c>
      <c r="X325">
        <v>2023</v>
      </c>
      <c r="Y325" t="s">
        <v>91</v>
      </c>
      <c r="Z325" t="s">
        <v>64</v>
      </c>
    </row>
    <row r="326" spans="1:26">
      <c r="A326" t="s">
        <v>920</v>
      </c>
      <c r="B326" t="s">
        <v>43</v>
      </c>
      <c r="C326" t="s">
        <v>173</v>
      </c>
      <c r="D326" t="s">
        <v>77</v>
      </c>
      <c r="E326" t="s">
        <v>168</v>
      </c>
      <c r="F326" t="s">
        <v>31</v>
      </c>
      <c r="G326" t="s">
        <v>58</v>
      </c>
      <c r="H326">
        <v>4.3</v>
      </c>
      <c r="I326">
        <v>11.5</v>
      </c>
      <c r="J326" t="s">
        <v>33</v>
      </c>
      <c r="K326" t="s">
        <v>921</v>
      </c>
      <c r="L326" t="s">
        <v>35</v>
      </c>
      <c r="M326" t="s">
        <v>821</v>
      </c>
      <c r="N326" t="s">
        <v>71</v>
      </c>
      <c r="O326">
        <v>4</v>
      </c>
      <c r="P326" t="s">
        <v>72</v>
      </c>
      <c r="Q326">
        <v>4692</v>
      </c>
      <c r="R326">
        <v>1000</v>
      </c>
      <c r="S326" t="s">
        <v>152</v>
      </c>
      <c r="T326" t="s">
        <v>62</v>
      </c>
      <c r="U326" t="s">
        <v>52</v>
      </c>
      <c r="V326" t="s">
        <v>39</v>
      </c>
      <c r="W326" t="s">
        <v>52</v>
      </c>
      <c r="X326">
        <v>2022</v>
      </c>
      <c r="Y326" t="s">
        <v>211</v>
      </c>
      <c r="Z326" t="s">
        <v>41</v>
      </c>
    </row>
    <row r="327" spans="1:26">
      <c r="A327" t="s">
        <v>922</v>
      </c>
      <c r="B327" t="s">
        <v>43</v>
      </c>
      <c r="C327" t="s">
        <v>121</v>
      </c>
      <c r="D327" t="s">
        <v>77</v>
      </c>
      <c r="E327" t="s">
        <v>78</v>
      </c>
      <c r="F327" t="s">
        <v>31</v>
      </c>
      <c r="G327" t="s">
        <v>32</v>
      </c>
      <c r="H327">
        <v>0.7</v>
      </c>
      <c r="I327">
        <v>15.2</v>
      </c>
      <c r="J327" t="s">
        <v>33</v>
      </c>
      <c r="K327" t="s">
        <v>923</v>
      </c>
      <c r="L327" t="s">
        <v>60</v>
      </c>
      <c r="M327" t="s">
        <v>924</v>
      </c>
      <c r="N327" t="s">
        <v>100</v>
      </c>
      <c r="O327">
        <v>28</v>
      </c>
      <c r="Q327">
        <v>0</v>
      </c>
      <c r="R327">
        <v>0</v>
      </c>
      <c r="T327" t="s">
        <v>81</v>
      </c>
      <c r="U327" t="s">
        <v>39</v>
      </c>
      <c r="V327" t="s">
        <v>52</v>
      </c>
      <c r="W327" t="s">
        <v>52</v>
      </c>
      <c r="X327">
        <v>2022</v>
      </c>
      <c r="Y327" t="s">
        <v>74</v>
      </c>
      <c r="Z327" t="s">
        <v>54</v>
      </c>
    </row>
    <row r="328" spans="1:26">
      <c r="A328" t="s">
        <v>925</v>
      </c>
      <c r="B328" t="s">
        <v>108</v>
      </c>
      <c r="C328" t="s">
        <v>121</v>
      </c>
      <c r="D328" t="s">
        <v>29</v>
      </c>
      <c r="E328" t="s">
        <v>195</v>
      </c>
      <c r="F328" t="s">
        <v>124</v>
      </c>
      <c r="G328" t="s">
        <v>58</v>
      </c>
      <c r="H328">
        <v>8.1999999999999993</v>
      </c>
      <c r="I328">
        <v>25</v>
      </c>
      <c r="J328" t="s">
        <v>33</v>
      </c>
      <c r="K328" t="s">
        <v>926</v>
      </c>
      <c r="L328" t="s">
        <v>140</v>
      </c>
      <c r="M328" t="s">
        <v>927</v>
      </c>
      <c r="N328" t="s">
        <v>50</v>
      </c>
      <c r="O328">
        <v>25</v>
      </c>
      <c r="Q328">
        <v>0</v>
      </c>
      <c r="R328">
        <v>500</v>
      </c>
      <c r="T328" t="s">
        <v>51</v>
      </c>
      <c r="U328" t="s">
        <v>39</v>
      </c>
      <c r="V328" t="s">
        <v>52</v>
      </c>
      <c r="W328" t="s">
        <v>52</v>
      </c>
      <c r="X328">
        <v>2024</v>
      </c>
      <c r="Y328" t="s">
        <v>211</v>
      </c>
      <c r="Z328" t="s">
        <v>41</v>
      </c>
    </row>
    <row r="329" spans="1:26">
      <c r="A329" t="s">
        <v>928</v>
      </c>
      <c r="B329" t="s">
        <v>43</v>
      </c>
      <c r="C329" t="s">
        <v>173</v>
      </c>
      <c r="D329" t="s">
        <v>122</v>
      </c>
      <c r="E329" t="s">
        <v>155</v>
      </c>
      <c r="F329" t="s">
        <v>46</v>
      </c>
      <c r="G329" t="s">
        <v>58</v>
      </c>
      <c r="H329">
        <v>1.4</v>
      </c>
      <c r="I329">
        <v>17</v>
      </c>
      <c r="J329" t="s">
        <v>20</v>
      </c>
      <c r="K329" t="s">
        <v>502</v>
      </c>
      <c r="L329" t="s">
        <v>35</v>
      </c>
      <c r="M329" t="s">
        <v>765</v>
      </c>
      <c r="N329" t="s">
        <v>71</v>
      </c>
      <c r="O329">
        <v>125</v>
      </c>
      <c r="P329" t="s">
        <v>112</v>
      </c>
      <c r="Q329">
        <v>767</v>
      </c>
      <c r="R329">
        <v>500</v>
      </c>
      <c r="S329" t="s">
        <v>73</v>
      </c>
      <c r="T329" t="s">
        <v>51</v>
      </c>
      <c r="U329" t="s">
        <v>39</v>
      </c>
      <c r="V329" t="s">
        <v>52</v>
      </c>
      <c r="W329" t="s">
        <v>52</v>
      </c>
      <c r="X329">
        <v>2024</v>
      </c>
      <c r="Y329" t="s">
        <v>40</v>
      </c>
      <c r="Z329" t="s">
        <v>41</v>
      </c>
    </row>
    <row r="330" spans="1:26">
      <c r="A330" t="s">
        <v>929</v>
      </c>
      <c r="B330" t="s">
        <v>93</v>
      </c>
      <c r="C330" t="s">
        <v>102</v>
      </c>
      <c r="D330" t="s">
        <v>85</v>
      </c>
      <c r="E330" t="s">
        <v>138</v>
      </c>
      <c r="F330" t="s">
        <v>31</v>
      </c>
      <c r="G330" t="s">
        <v>32</v>
      </c>
      <c r="H330">
        <v>11.7</v>
      </c>
      <c r="I330">
        <v>13.7</v>
      </c>
      <c r="J330" t="s">
        <v>96</v>
      </c>
      <c r="K330" t="s">
        <v>264</v>
      </c>
      <c r="L330" t="s">
        <v>126</v>
      </c>
      <c r="M330" t="s">
        <v>930</v>
      </c>
      <c r="N330" t="s">
        <v>37</v>
      </c>
      <c r="O330">
        <v>62</v>
      </c>
      <c r="Q330">
        <v>0</v>
      </c>
      <c r="R330">
        <v>0</v>
      </c>
      <c r="T330" t="s">
        <v>62</v>
      </c>
      <c r="U330" t="s">
        <v>39</v>
      </c>
      <c r="V330" t="s">
        <v>52</v>
      </c>
      <c r="W330" t="s">
        <v>52</v>
      </c>
      <c r="X330">
        <v>2024</v>
      </c>
      <c r="Y330" t="s">
        <v>74</v>
      </c>
      <c r="Z330" t="s">
        <v>54</v>
      </c>
    </row>
    <row r="331" spans="1:26">
      <c r="A331" t="s">
        <v>931</v>
      </c>
      <c r="B331" t="s">
        <v>43</v>
      </c>
      <c r="C331" t="s">
        <v>173</v>
      </c>
      <c r="D331" t="s">
        <v>77</v>
      </c>
      <c r="E331" t="s">
        <v>143</v>
      </c>
      <c r="F331" t="s">
        <v>57</v>
      </c>
      <c r="G331" t="s">
        <v>58</v>
      </c>
      <c r="H331">
        <v>6.7</v>
      </c>
      <c r="I331">
        <v>28.9</v>
      </c>
      <c r="J331" t="s">
        <v>20</v>
      </c>
      <c r="K331" t="s">
        <v>139</v>
      </c>
      <c r="L331" t="s">
        <v>35</v>
      </c>
      <c r="M331" t="s">
        <v>580</v>
      </c>
      <c r="N331" t="s">
        <v>50</v>
      </c>
      <c r="O331">
        <v>30</v>
      </c>
      <c r="Q331">
        <v>0</v>
      </c>
      <c r="R331">
        <v>500</v>
      </c>
      <c r="T331" t="s">
        <v>62</v>
      </c>
      <c r="U331" t="s">
        <v>52</v>
      </c>
      <c r="V331" t="s">
        <v>52</v>
      </c>
      <c r="W331" t="s">
        <v>52</v>
      </c>
      <c r="X331">
        <v>2024</v>
      </c>
      <c r="Y331" t="s">
        <v>114</v>
      </c>
      <c r="Z331" t="s">
        <v>41</v>
      </c>
    </row>
    <row r="332" spans="1:26">
      <c r="A332" t="s">
        <v>932</v>
      </c>
      <c r="B332" t="s">
        <v>108</v>
      </c>
      <c r="C332" t="s">
        <v>121</v>
      </c>
      <c r="D332" t="s">
        <v>77</v>
      </c>
      <c r="E332" t="s">
        <v>143</v>
      </c>
      <c r="F332" t="s">
        <v>124</v>
      </c>
      <c r="G332" t="s">
        <v>58</v>
      </c>
      <c r="H332">
        <v>1.9</v>
      </c>
      <c r="I332">
        <v>18.8</v>
      </c>
      <c r="J332" t="s">
        <v>156</v>
      </c>
      <c r="K332" t="s">
        <v>193</v>
      </c>
      <c r="L332" t="s">
        <v>60</v>
      </c>
      <c r="M332" t="s">
        <v>933</v>
      </c>
      <c r="N332" t="s">
        <v>71</v>
      </c>
      <c r="O332">
        <v>36</v>
      </c>
      <c r="P332" t="s">
        <v>72</v>
      </c>
      <c r="Q332">
        <v>4201</v>
      </c>
      <c r="R332">
        <v>2000</v>
      </c>
      <c r="S332" t="s">
        <v>152</v>
      </c>
      <c r="T332" t="s">
        <v>136</v>
      </c>
      <c r="U332" t="s">
        <v>39</v>
      </c>
      <c r="V332" t="s">
        <v>39</v>
      </c>
      <c r="W332" t="s">
        <v>39</v>
      </c>
      <c r="X332">
        <v>2023</v>
      </c>
      <c r="Y332" t="s">
        <v>312</v>
      </c>
      <c r="Z332" t="s">
        <v>83</v>
      </c>
    </row>
    <row r="333" spans="1:26">
      <c r="A333" t="s">
        <v>934</v>
      </c>
      <c r="B333" t="s">
        <v>27</v>
      </c>
      <c r="C333" t="s">
        <v>67</v>
      </c>
      <c r="D333" t="s">
        <v>77</v>
      </c>
      <c r="E333" t="s">
        <v>94</v>
      </c>
      <c r="F333" t="s">
        <v>95</v>
      </c>
      <c r="G333" t="s">
        <v>32</v>
      </c>
      <c r="H333">
        <v>11.6</v>
      </c>
      <c r="I333">
        <v>0.5</v>
      </c>
      <c r="J333" t="s">
        <v>96</v>
      </c>
      <c r="K333" t="s">
        <v>935</v>
      </c>
      <c r="L333" t="s">
        <v>35</v>
      </c>
      <c r="M333" t="s">
        <v>936</v>
      </c>
      <c r="N333" t="s">
        <v>71</v>
      </c>
      <c r="O333">
        <v>76</v>
      </c>
      <c r="P333" t="s">
        <v>89</v>
      </c>
      <c r="Q333">
        <v>6024</v>
      </c>
      <c r="R333">
        <v>1000</v>
      </c>
      <c r="S333" t="s">
        <v>90</v>
      </c>
      <c r="T333" t="s">
        <v>62</v>
      </c>
      <c r="U333" t="s">
        <v>52</v>
      </c>
      <c r="V333" t="s">
        <v>52</v>
      </c>
      <c r="W333" t="s">
        <v>52</v>
      </c>
      <c r="X333">
        <v>2022</v>
      </c>
      <c r="Y333" t="s">
        <v>114</v>
      </c>
      <c r="Z333" t="s">
        <v>41</v>
      </c>
    </row>
    <row r="334" spans="1:26">
      <c r="A334" t="s">
        <v>937</v>
      </c>
      <c r="B334" t="s">
        <v>108</v>
      </c>
      <c r="C334" t="s">
        <v>67</v>
      </c>
      <c r="D334" t="s">
        <v>85</v>
      </c>
      <c r="E334" t="s">
        <v>86</v>
      </c>
      <c r="F334" t="s">
        <v>57</v>
      </c>
      <c r="G334" t="s">
        <v>58</v>
      </c>
      <c r="H334">
        <v>5.8</v>
      </c>
      <c r="I334">
        <v>7</v>
      </c>
      <c r="J334" t="s">
        <v>33</v>
      </c>
      <c r="K334" t="s">
        <v>735</v>
      </c>
      <c r="L334" t="s">
        <v>98</v>
      </c>
      <c r="M334" t="s">
        <v>938</v>
      </c>
      <c r="N334" t="s">
        <v>37</v>
      </c>
      <c r="O334">
        <v>112</v>
      </c>
      <c r="Q334">
        <v>0</v>
      </c>
      <c r="R334">
        <v>0</v>
      </c>
      <c r="T334" t="s">
        <v>81</v>
      </c>
      <c r="U334" t="s">
        <v>39</v>
      </c>
      <c r="V334" t="s">
        <v>39</v>
      </c>
      <c r="W334" t="s">
        <v>39</v>
      </c>
      <c r="X334">
        <v>2024</v>
      </c>
      <c r="Y334" t="s">
        <v>82</v>
      </c>
      <c r="Z334" t="s">
        <v>83</v>
      </c>
    </row>
    <row r="335" spans="1:26">
      <c r="A335" t="s">
        <v>939</v>
      </c>
      <c r="B335" t="s">
        <v>43</v>
      </c>
      <c r="C335" t="s">
        <v>44</v>
      </c>
      <c r="D335" t="s">
        <v>77</v>
      </c>
      <c r="E335" t="s">
        <v>216</v>
      </c>
      <c r="F335" t="s">
        <v>149</v>
      </c>
      <c r="G335" t="s">
        <v>32</v>
      </c>
      <c r="H335">
        <v>11.7</v>
      </c>
      <c r="I335">
        <v>5.2</v>
      </c>
      <c r="J335" t="s">
        <v>20</v>
      </c>
      <c r="K335" t="s">
        <v>139</v>
      </c>
      <c r="L335" t="s">
        <v>48</v>
      </c>
      <c r="M335" t="s">
        <v>127</v>
      </c>
      <c r="N335" t="s">
        <v>100</v>
      </c>
      <c r="O335">
        <v>169</v>
      </c>
      <c r="Q335">
        <v>0</v>
      </c>
      <c r="R335">
        <v>0</v>
      </c>
      <c r="T335" t="s">
        <v>136</v>
      </c>
      <c r="U335" t="s">
        <v>52</v>
      </c>
      <c r="V335" t="s">
        <v>52</v>
      </c>
      <c r="W335" t="s">
        <v>52</v>
      </c>
      <c r="X335">
        <v>2024</v>
      </c>
      <c r="Y335" t="s">
        <v>114</v>
      </c>
      <c r="Z335" t="s">
        <v>41</v>
      </c>
    </row>
    <row r="336" spans="1:26">
      <c r="A336" t="s">
        <v>940</v>
      </c>
      <c r="B336" t="s">
        <v>66</v>
      </c>
      <c r="C336" t="s">
        <v>102</v>
      </c>
      <c r="D336" t="s">
        <v>85</v>
      </c>
      <c r="E336" t="s">
        <v>402</v>
      </c>
      <c r="F336" t="s">
        <v>109</v>
      </c>
      <c r="G336" t="s">
        <v>32</v>
      </c>
      <c r="H336">
        <v>7.3</v>
      </c>
      <c r="I336">
        <v>20.399999999999999</v>
      </c>
      <c r="J336" t="s">
        <v>144</v>
      </c>
      <c r="K336" t="s">
        <v>941</v>
      </c>
      <c r="L336" t="s">
        <v>140</v>
      </c>
      <c r="M336" t="s">
        <v>659</v>
      </c>
      <c r="N336" t="s">
        <v>100</v>
      </c>
      <c r="O336">
        <v>48</v>
      </c>
      <c r="Q336">
        <v>0</v>
      </c>
      <c r="R336">
        <v>0</v>
      </c>
      <c r="T336" t="s">
        <v>62</v>
      </c>
      <c r="U336" t="s">
        <v>39</v>
      </c>
      <c r="V336" t="s">
        <v>39</v>
      </c>
      <c r="W336" t="s">
        <v>39</v>
      </c>
      <c r="X336">
        <v>2023</v>
      </c>
      <c r="Y336" t="s">
        <v>74</v>
      </c>
      <c r="Z336" t="s">
        <v>54</v>
      </c>
    </row>
    <row r="337" spans="1:26">
      <c r="A337" t="s">
        <v>942</v>
      </c>
      <c r="B337" t="s">
        <v>93</v>
      </c>
      <c r="C337" t="s">
        <v>121</v>
      </c>
      <c r="D337" t="s">
        <v>77</v>
      </c>
      <c r="E337" t="s">
        <v>78</v>
      </c>
      <c r="F337" t="s">
        <v>109</v>
      </c>
      <c r="G337" t="s">
        <v>58</v>
      </c>
      <c r="H337">
        <v>1.8</v>
      </c>
      <c r="I337">
        <v>25.7</v>
      </c>
      <c r="J337" t="s">
        <v>20</v>
      </c>
      <c r="K337" t="s">
        <v>943</v>
      </c>
      <c r="L337" t="s">
        <v>140</v>
      </c>
      <c r="M337" t="s">
        <v>829</v>
      </c>
      <c r="N337" t="s">
        <v>50</v>
      </c>
      <c r="O337">
        <v>29</v>
      </c>
      <c r="Q337">
        <v>0</v>
      </c>
      <c r="R337">
        <v>0</v>
      </c>
      <c r="T337" t="s">
        <v>38</v>
      </c>
      <c r="U337" t="s">
        <v>39</v>
      </c>
      <c r="V337" t="s">
        <v>52</v>
      </c>
      <c r="W337" t="s">
        <v>39</v>
      </c>
      <c r="X337">
        <v>2024</v>
      </c>
      <c r="Y337" t="s">
        <v>106</v>
      </c>
      <c r="Z337" t="s">
        <v>83</v>
      </c>
    </row>
    <row r="338" spans="1:26">
      <c r="A338" t="s">
        <v>944</v>
      </c>
      <c r="B338" t="s">
        <v>27</v>
      </c>
      <c r="C338" t="s">
        <v>121</v>
      </c>
      <c r="D338" t="s">
        <v>29</v>
      </c>
      <c r="E338" t="s">
        <v>195</v>
      </c>
      <c r="F338" t="s">
        <v>31</v>
      </c>
      <c r="G338" t="s">
        <v>32</v>
      </c>
      <c r="H338">
        <v>9.4</v>
      </c>
      <c r="I338">
        <v>16.7</v>
      </c>
      <c r="J338" t="s">
        <v>144</v>
      </c>
      <c r="K338" t="s">
        <v>329</v>
      </c>
      <c r="L338" t="s">
        <v>60</v>
      </c>
      <c r="M338" t="s">
        <v>507</v>
      </c>
      <c r="N338" t="s">
        <v>71</v>
      </c>
      <c r="O338">
        <v>157</v>
      </c>
      <c r="P338" t="s">
        <v>72</v>
      </c>
      <c r="Q338">
        <v>2907</v>
      </c>
      <c r="R338">
        <v>1000</v>
      </c>
      <c r="S338" t="s">
        <v>152</v>
      </c>
      <c r="T338" t="s">
        <v>81</v>
      </c>
      <c r="U338" t="s">
        <v>39</v>
      </c>
      <c r="V338" t="s">
        <v>52</v>
      </c>
      <c r="W338" t="s">
        <v>52</v>
      </c>
      <c r="X338">
        <v>2023</v>
      </c>
      <c r="Y338" t="s">
        <v>91</v>
      </c>
      <c r="Z338" t="s">
        <v>64</v>
      </c>
    </row>
    <row r="339" spans="1:26">
      <c r="A339" t="s">
        <v>945</v>
      </c>
      <c r="B339" t="s">
        <v>93</v>
      </c>
      <c r="C339" t="s">
        <v>76</v>
      </c>
      <c r="D339" t="s">
        <v>77</v>
      </c>
      <c r="E339" t="s">
        <v>168</v>
      </c>
      <c r="F339" t="s">
        <v>160</v>
      </c>
      <c r="G339" t="s">
        <v>32</v>
      </c>
      <c r="H339">
        <v>6.9</v>
      </c>
      <c r="I339">
        <v>23.1</v>
      </c>
      <c r="J339" t="s">
        <v>33</v>
      </c>
      <c r="K339" t="s">
        <v>682</v>
      </c>
      <c r="L339" t="s">
        <v>48</v>
      </c>
      <c r="M339" t="s">
        <v>946</v>
      </c>
      <c r="N339" t="s">
        <v>50</v>
      </c>
      <c r="O339">
        <v>162</v>
      </c>
      <c r="Q339">
        <v>0</v>
      </c>
      <c r="R339">
        <v>0</v>
      </c>
      <c r="T339" t="s">
        <v>62</v>
      </c>
      <c r="U339" t="s">
        <v>39</v>
      </c>
      <c r="V339" t="s">
        <v>52</v>
      </c>
      <c r="W339" t="s">
        <v>52</v>
      </c>
      <c r="X339">
        <v>2022</v>
      </c>
      <c r="Y339" t="s">
        <v>53</v>
      </c>
      <c r="Z339" t="s">
        <v>54</v>
      </c>
    </row>
    <row r="340" spans="1:26">
      <c r="A340" t="s">
        <v>947</v>
      </c>
      <c r="B340" t="s">
        <v>43</v>
      </c>
      <c r="C340" t="s">
        <v>121</v>
      </c>
      <c r="D340" t="s">
        <v>77</v>
      </c>
      <c r="E340" t="s">
        <v>168</v>
      </c>
      <c r="F340" t="s">
        <v>46</v>
      </c>
      <c r="G340" t="s">
        <v>58</v>
      </c>
      <c r="H340">
        <v>2.2000000000000002</v>
      </c>
      <c r="I340">
        <v>20.9</v>
      </c>
      <c r="J340" t="s">
        <v>33</v>
      </c>
      <c r="K340" t="s">
        <v>34</v>
      </c>
      <c r="L340" t="s">
        <v>98</v>
      </c>
      <c r="M340" t="s">
        <v>110</v>
      </c>
      <c r="N340" t="s">
        <v>71</v>
      </c>
      <c r="O340">
        <v>66</v>
      </c>
      <c r="P340" t="s">
        <v>89</v>
      </c>
      <c r="Q340">
        <v>3913</v>
      </c>
      <c r="R340">
        <v>1000</v>
      </c>
      <c r="S340" t="s">
        <v>90</v>
      </c>
      <c r="T340" t="s">
        <v>81</v>
      </c>
      <c r="U340" t="s">
        <v>39</v>
      </c>
      <c r="V340" t="s">
        <v>52</v>
      </c>
      <c r="W340" t="s">
        <v>39</v>
      </c>
      <c r="X340">
        <v>2023</v>
      </c>
      <c r="Y340" t="s">
        <v>40</v>
      </c>
      <c r="Z340" t="s">
        <v>41</v>
      </c>
    </row>
    <row r="341" spans="1:26">
      <c r="A341" t="s">
        <v>948</v>
      </c>
      <c r="B341" t="s">
        <v>66</v>
      </c>
      <c r="C341" t="s">
        <v>164</v>
      </c>
      <c r="D341" t="s">
        <v>77</v>
      </c>
      <c r="E341" t="s">
        <v>216</v>
      </c>
      <c r="F341" t="s">
        <v>124</v>
      </c>
      <c r="G341" t="s">
        <v>32</v>
      </c>
      <c r="H341">
        <v>2.9</v>
      </c>
      <c r="I341">
        <v>15.7</v>
      </c>
      <c r="J341" t="s">
        <v>33</v>
      </c>
      <c r="K341" t="s">
        <v>521</v>
      </c>
      <c r="L341" t="s">
        <v>98</v>
      </c>
      <c r="M341" t="s">
        <v>127</v>
      </c>
      <c r="N341" t="s">
        <v>100</v>
      </c>
      <c r="O341">
        <v>106</v>
      </c>
      <c r="Q341">
        <v>0</v>
      </c>
      <c r="R341">
        <v>0</v>
      </c>
      <c r="T341" t="s">
        <v>51</v>
      </c>
      <c r="U341" t="s">
        <v>39</v>
      </c>
      <c r="V341" t="s">
        <v>39</v>
      </c>
      <c r="W341" t="s">
        <v>52</v>
      </c>
      <c r="X341">
        <v>2024</v>
      </c>
      <c r="Y341" t="s">
        <v>91</v>
      </c>
      <c r="Z341" t="s">
        <v>64</v>
      </c>
    </row>
    <row r="342" spans="1:26">
      <c r="A342" t="s">
        <v>949</v>
      </c>
      <c r="B342" t="s">
        <v>108</v>
      </c>
      <c r="C342" t="s">
        <v>173</v>
      </c>
      <c r="D342" t="s">
        <v>77</v>
      </c>
      <c r="E342" t="s">
        <v>94</v>
      </c>
      <c r="F342" t="s">
        <v>68</v>
      </c>
      <c r="G342" t="s">
        <v>32</v>
      </c>
      <c r="H342">
        <v>4.5999999999999996</v>
      </c>
      <c r="I342">
        <v>24.8</v>
      </c>
      <c r="J342" t="s">
        <v>33</v>
      </c>
      <c r="K342" t="s">
        <v>950</v>
      </c>
      <c r="L342" t="s">
        <v>60</v>
      </c>
      <c r="M342" t="s">
        <v>765</v>
      </c>
      <c r="N342" t="s">
        <v>50</v>
      </c>
      <c r="O342">
        <v>78</v>
      </c>
      <c r="Q342">
        <v>0</v>
      </c>
      <c r="R342">
        <v>0</v>
      </c>
      <c r="T342" t="s">
        <v>136</v>
      </c>
      <c r="U342" t="s">
        <v>52</v>
      </c>
      <c r="V342" t="s">
        <v>52</v>
      </c>
      <c r="W342" t="s">
        <v>52</v>
      </c>
      <c r="X342">
        <v>2024</v>
      </c>
      <c r="Y342" t="s">
        <v>114</v>
      </c>
      <c r="Z342" t="s">
        <v>41</v>
      </c>
    </row>
    <row r="343" spans="1:26">
      <c r="A343" t="s">
        <v>951</v>
      </c>
      <c r="B343" t="s">
        <v>66</v>
      </c>
      <c r="C343" t="s">
        <v>173</v>
      </c>
      <c r="D343" t="s">
        <v>29</v>
      </c>
      <c r="E343" t="s">
        <v>94</v>
      </c>
      <c r="F343" t="s">
        <v>46</v>
      </c>
      <c r="G343" t="s">
        <v>32</v>
      </c>
      <c r="H343">
        <v>11.5</v>
      </c>
      <c r="I343">
        <v>15.4</v>
      </c>
      <c r="J343" t="s">
        <v>33</v>
      </c>
      <c r="K343" t="s">
        <v>952</v>
      </c>
      <c r="L343" t="s">
        <v>35</v>
      </c>
      <c r="M343" t="s">
        <v>953</v>
      </c>
      <c r="N343" t="s">
        <v>171</v>
      </c>
      <c r="O343">
        <v>25</v>
      </c>
      <c r="Q343">
        <v>0</v>
      </c>
      <c r="R343">
        <v>0</v>
      </c>
      <c r="T343" t="s">
        <v>51</v>
      </c>
      <c r="U343" t="s">
        <v>52</v>
      </c>
      <c r="V343" t="s">
        <v>52</v>
      </c>
      <c r="W343" t="s">
        <v>52</v>
      </c>
      <c r="X343">
        <v>2022</v>
      </c>
      <c r="Y343" t="s">
        <v>312</v>
      </c>
      <c r="Z343" t="s">
        <v>83</v>
      </c>
    </row>
    <row r="344" spans="1:26">
      <c r="A344" t="s">
        <v>954</v>
      </c>
      <c r="B344" t="s">
        <v>116</v>
      </c>
      <c r="C344" t="s">
        <v>76</v>
      </c>
      <c r="D344" t="s">
        <v>77</v>
      </c>
      <c r="E344" t="s">
        <v>363</v>
      </c>
      <c r="F344" t="s">
        <v>57</v>
      </c>
      <c r="G344" t="s">
        <v>58</v>
      </c>
      <c r="H344">
        <v>0.2</v>
      </c>
      <c r="I344">
        <v>0.8</v>
      </c>
      <c r="J344" t="s">
        <v>20</v>
      </c>
      <c r="K344" t="s">
        <v>905</v>
      </c>
      <c r="L344" t="s">
        <v>35</v>
      </c>
      <c r="M344" t="s">
        <v>127</v>
      </c>
      <c r="N344" t="s">
        <v>71</v>
      </c>
      <c r="O344">
        <v>87</v>
      </c>
      <c r="P344" t="s">
        <v>112</v>
      </c>
      <c r="Q344">
        <v>5566</v>
      </c>
      <c r="R344">
        <v>1000</v>
      </c>
      <c r="S344" t="s">
        <v>152</v>
      </c>
      <c r="T344" t="s">
        <v>81</v>
      </c>
      <c r="U344" t="s">
        <v>39</v>
      </c>
      <c r="V344" t="s">
        <v>52</v>
      </c>
      <c r="W344" t="s">
        <v>52</v>
      </c>
      <c r="X344">
        <v>2024</v>
      </c>
      <c r="Y344" t="s">
        <v>128</v>
      </c>
      <c r="Z344" t="s">
        <v>64</v>
      </c>
    </row>
    <row r="345" spans="1:26">
      <c r="A345" t="s">
        <v>955</v>
      </c>
      <c r="B345" t="s">
        <v>27</v>
      </c>
      <c r="C345" t="s">
        <v>164</v>
      </c>
      <c r="D345" t="s">
        <v>77</v>
      </c>
      <c r="E345" t="s">
        <v>220</v>
      </c>
      <c r="F345" t="s">
        <v>57</v>
      </c>
      <c r="G345" t="s">
        <v>58</v>
      </c>
      <c r="H345">
        <v>8.5</v>
      </c>
      <c r="I345">
        <v>4.5999999999999996</v>
      </c>
      <c r="J345" t="s">
        <v>33</v>
      </c>
      <c r="K345" t="s">
        <v>956</v>
      </c>
      <c r="L345" t="s">
        <v>98</v>
      </c>
      <c r="M345" t="s">
        <v>957</v>
      </c>
      <c r="N345" t="s">
        <v>37</v>
      </c>
      <c r="O345">
        <v>15</v>
      </c>
      <c r="Q345">
        <v>0</v>
      </c>
      <c r="R345">
        <v>0</v>
      </c>
      <c r="T345" t="s">
        <v>81</v>
      </c>
      <c r="U345" t="s">
        <v>39</v>
      </c>
      <c r="V345" t="s">
        <v>52</v>
      </c>
      <c r="W345" t="s">
        <v>52</v>
      </c>
      <c r="X345">
        <v>2022</v>
      </c>
      <c r="Y345" t="s">
        <v>40</v>
      </c>
      <c r="Z345" t="s">
        <v>41</v>
      </c>
    </row>
    <row r="346" spans="1:26">
      <c r="A346" t="s">
        <v>958</v>
      </c>
      <c r="B346" t="s">
        <v>93</v>
      </c>
      <c r="C346" t="s">
        <v>173</v>
      </c>
      <c r="D346" t="s">
        <v>29</v>
      </c>
      <c r="E346" t="s">
        <v>94</v>
      </c>
      <c r="F346" t="s">
        <v>68</v>
      </c>
      <c r="G346" t="s">
        <v>58</v>
      </c>
      <c r="H346">
        <v>8.3000000000000007</v>
      </c>
      <c r="I346">
        <v>23.5</v>
      </c>
      <c r="J346" t="s">
        <v>33</v>
      </c>
      <c r="K346" t="s">
        <v>502</v>
      </c>
      <c r="L346" t="s">
        <v>35</v>
      </c>
      <c r="M346" t="s">
        <v>959</v>
      </c>
      <c r="N346" t="s">
        <v>100</v>
      </c>
      <c r="O346">
        <v>71</v>
      </c>
      <c r="Q346">
        <v>0</v>
      </c>
      <c r="R346">
        <v>0</v>
      </c>
      <c r="T346" t="s">
        <v>136</v>
      </c>
      <c r="U346" t="s">
        <v>52</v>
      </c>
      <c r="V346" t="s">
        <v>52</v>
      </c>
      <c r="W346" t="s">
        <v>39</v>
      </c>
      <c r="X346">
        <v>2024</v>
      </c>
      <c r="Y346" t="s">
        <v>40</v>
      </c>
      <c r="Z346" t="s">
        <v>41</v>
      </c>
    </row>
    <row r="347" spans="1:26">
      <c r="A347" t="s">
        <v>960</v>
      </c>
      <c r="B347" t="s">
        <v>27</v>
      </c>
      <c r="C347" t="s">
        <v>44</v>
      </c>
      <c r="D347" t="s">
        <v>29</v>
      </c>
      <c r="E347" t="s">
        <v>195</v>
      </c>
      <c r="F347" t="s">
        <v>68</v>
      </c>
      <c r="G347" t="s">
        <v>32</v>
      </c>
      <c r="H347">
        <v>6</v>
      </c>
      <c r="I347">
        <v>32.5</v>
      </c>
      <c r="J347" t="s">
        <v>33</v>
      </c>
      <c r="K347" t="s">
        <v>961</v>
      </c>
      <c r="L347" t="s">
        <v>48</v>
      </c>
      <c r="M347" t="s">
        <v>962</v>
      </c>
      <c r="N347" t="s">
        <v>50</v>
      </c>
      <c r="O347">
        <v>46</v>
      </c>
      <c r="Q347">
        <v>0</v>
      </c>
      <c r="R347">
        <v>0</v>
      </c>
      <c r="T347" t="s">
        <v>62</v>
      </c>
      <c r="U347" t="s">
        <v>52</v>
      </c>
      <c r="V347" t="s">
        <v>39</v>
      </c>
      <c r="W347" t="s">
        <v>39</v>
      </c>
      <c r="X347">
        <v>2023</v>
      </c>
      <c r="Y347" t="s">
        <v>153</v>
      </c>
      <c r="Z347" t="s">
        <v>54</v>
      </c>
    </row>
    <row r="348" spans="1:26">
      <c r="A348" t="s">
        <v>963</v>
      </c>
      <c r="B348" t="s">
        <v>116</v>
      </c>
      <c r="C348" t="s">
        <v>121</v>
      </c>
      <c r="D348" t="s">
        <v>77</v>
      </c>
      <c r="E348" t="s">
        <v>168</v>
      </c>
      <c r="F348" t="s">
        <v>68</v>
      </c>
      <c r="G348" t="s">
        <v>58</v>
      </c>
      <c r="H348">
        <v>8.8000000000000007</v>
      </c>
      <c r="I348">
        <v>27.3</v>
      </c>
      <c r="J348" t="s">
        <v>33</v>
      </c>
      <c r="K348" t="s">
        <v>964</v>
      </c>
      <c r="L348" t="s">
        <v>98</v>
      </c>
      <c r="M348" t="s">
        <v>965</v>
      </c>
      <c r="N348" t="s">
        <v>71</v>
      </c>
      <c r="O348">
        <v>9</v>
      </c>
      <c r="P348" t="s">
        <v>112</v>
      </c>
      <c r="Q348">
        <v>3576</v>
      </c>
      <c r="R348">
        <v>1000</v>
      </c>
      <c r="S348" t="s">
        <v>152</v>
      </c>
      <c r="T348" t="s">
        <v>81</v>
      </c>
      <c r="U348" t="s">
        <v>39</v>
      </c>
      <c r="V348" t="s">
        <v>52</v>
      </c>
      <c r="W348" t="s">
        <v>39</v>
      </c>
      <c r="X348">
        <v>2022</v>
      </c>
      <c r="Y348" t="s">
        <v>40</v>
      </c>
      <c r="Z348" t="s">
        <v>41</v>
      </c>
    </row>
    <row r="349" spans="1:26">
      <c r="A349" t="s">
        <v>966</v>
      </c>
      <c r="B349" t="s">
        <v>116</v>
      </c>
      <c r="C349" t="s">
        <v>102</v>
      </c>
      <c r="D349" t="s">
        <v>29</v>
      </c>
      <c r="E349" t="s">
        <v>94</v>
      </c>
      <c r="F349" t="s">
        <v>238</v>
      </c>
      <c r="G349" t="s">
        <v>32</v>
      </c>
      <c r="H349">
        <v>4.9000000000000004</v>
      </c>
      <c r="I349">
        <v>25.6</v>
      </c>
      <c r="J349" t="s">
        <v>156</v>
      </c>
      <c r="K349" t="s">
        <v>731</v>
      </c>
      <c r="L349" t="s">
        <v>126</v>
      </c>
      <c r="M349" t="s">
        <v>127</v>
      </c>
      <c r="N349" t="s">
        <v>100</v>
      </c>
      <c r="O349">
        <v>123</v>
      </c>
      <c r="Q349">
        <v>0</v>
      </c>
      <c r="R349">
        <v>0</v>
      </c>
      <c r="T349" t="s">
        <v>38</v>
      </c>
      <c r="U349" t="s">
        <v>39</v>
      </c>
      <c r="V349" t="s">
        <v>52</v>
      </c>
      <c r="W349" t="s">
        <v>52</v>
      </c>
      <c r="X349">
        <v>2024</v>
      </c>
      <c r="Y349" t="s">
        <v>91</v>
      </c>
      <c r="Z349" t="s">
        <v>64</v>
      </c>
    </row>
    <row r="350" spans="1:26">
      <c r="A350" t="s">
        <v>967</v>
      </c>
      <c r="B350" t="s">
        <v>93</v>
      </c>
      <c r="C350" t="s">
        <v>102</v>
      </c>
      <c r="D350" t="s">
        <v>85</v>
      </c>
      <c r="E350" t="s">
        <v>174</v>
      </c>
      <c r="F350" t="s">
        <v>68</v>
      </c>
      <c r="G350" t="s">
        <v>58</v>
      </c>
      <c r="H350">
        <v>1.1000000000000001</v>
      </c>
      <c r="I350">
        <v>16.399999999999999</v>
      </c>
      <c r="J350" t="s">
        <v>144</v>
      </c>
      <c r="K350" t="s">
        <v>968</v>
      </c>
      <c r="L350" t="s">
        <v>98</v>
      </c>
      <c r="M350" t="s">
        <v>345</v>
      </c>
      <c r="N350" t="s">
        <v>171</v>
      </c>
      <c r="O350">
        <v>94</v>
      </c>
      <c r="Q350">
        <v>0</v>
      </c>
      <c r="R350">
        <v>0</v>
      </c>
      <c r="T350" t="s">
        <v>81</v>
      </c>
      <c r="U350" t="s">
        <v>39</v>
      </c>
      <c r="V350" t="s">
        <v>52</v>
      </c>
      <c r="W350" t="s">
        <v>52</v>
      </c>
      <c r="X350">
        <v>2022</v>
      </c>
      <c r="Y350" t="s">
        <v>40</v>
      </c>
      <c r="Z350" t="s">
        <v>41</v>
      </c>
    </row>
    <row r="351" spans="1:26">
      <c r="A351" t="s">
        <v>969</v>
      </c>
      <c r="B351" t="s">
        <v>43</v>
      </c>
      <c r="C351" t="s">
        <v>76</v>
      </c>
      <c r="D351" t="s">
        <v>29</v>
      </c>
      <c r="E351" t="s">
        <v>94</v>
      </c>
      <c r="F351" t="s">
        <v>31</v>
      </c>
      <c r="G351" t="s">
        <v>58</v>
      </c>
      <c r="H351">
        <v>8.9</v>
      </c>
      <c r="I351">
        <v>5.3</v>
      </c>
      <c r="J351" t="s">
        <v>144</v>
      </c>
      <c r="K351" t="s">
        <v>970</v>
      </c>
      <c r="L351" t="s">
        <v>126</v>
      </c>
      <c r="M351" t="s">
        <v>265</v>
      </c>
      <c r="N351" t="s">
        <v>71</v>
      </c>
      <c r="O351">
        <v>125</v>
      </c>
      <c r="P351" t="s">
        <v>230</v>
      </c>
      <c r="Q351">
        <v>4091</v>
      </c>
      <c r="R351">
        <v>500</v>
      </c>
      <c r="S351" t="s">
        <v>152</v>
      </c>
      <c r="T351" t="s">
        <v>136</v>
      </c>
      <c r="U351" t="s">
        <v>52</v>
      </c>
      <c r="V351" t="s">
        <v>39</v>
      </c>
      <c r="W351" t="s">
        <v>39</v>
      </c>
      <c r="X351">
        <v>2024</v>
      </c>
      <c r="Y351" t="s">
        <v>106</v>
      </c>
      <c r="Z351" t="s">
        <v>83</v>
      </c>
    </row>
    <row r="352" spans="1:26">
      <c r="A352" t="s">
        <v>971</v>
      </c>
      <c r="B352" t="s">
        <v>66</v>
      </c>
      <c r="C352" t="s">
        <v>121</v>
      </c>
      <c r="D352" t="s">
        <v>122</v>
      </c>
      <c r="E352" t="s">
        <v>123</v>
      </c>
      <c r="F352" t="s">
        <v>109</v>
      </c>
      <c r="G352" t="s">
        <v>58</v>
      </c>
      <c r="H352">
        <v>1.5</v>
      </c>
      <c r="I352">
        <v>28.3</v>
      </c>
      <c r="J352" t="s">
        <v>156</v>
      </c>
      <c r="K352" t="s">
        <v>111</v>
      </c>
      <c r="L352" t="s">
        <v>140</v>
      </c>
      <c r="M352" t="s">
        <v>972</v>
      </c>
      <c r="N352" t="s">
        <v>100</v>
      </c>
      <c r="O352">
        <v>11</v>
      </c>
      <c r="Q352">
        <v>0</v>
      </c>
      <c r="R352">
        <v>0</v>
      </c>
      <c r="T352" t="s">
        <v>81</v>
      </c>
      <c r="U352" t="s">
        <v>39</v>
      </c>
      <c r="V352" t="s">
        <v>39</v>
      </c>
      <c r="W352" t="s">
        <v>52</v>
      </c>
      <c r="X352">
        <v>2023</v>
      </c>
      <c r="Y352" t="s">
        <v>128</v>
      </c>
      <c r="Z352" t="s">
        <v>64</v>
      </c>
    </row>
    <row r="353" spans="1:26">
      <c r="A353" t="s">
        <v>973</v>
      </c>
      <c r="B353" t="s">
        <v>66</v>
      </c>
      <c r="C353" t="s">
        <v>76</v>
      </c>
      <c r="D353" t="s">
        <v>77</v>
      </c>
      <c r="E353" t="s">
        <v>220</v>
      </c>
      <c r="F353" t="s">
        <v>160</v>
      </c>
      <c r="G353" t="s">
        <v>58</v>
      </c>
      <c r="H353">
        <v>7.8</v>
      </c>
      <c r="I353">
        <v>1</v>
      </c>
      <c r="J353" t="s">
        <v>144</v>
      </c>
      <c r="K353" t="s">
        <v>439</v>
      </c>
      <c r="L353" t="s">
        <v>140</v>
      </c>
      <c r="M353" t="s">
        <v>127</v>
      </c>
      <c r="N353" t="s">
        <v>71</v>
      </c>
      <c r="O353">
        <v>159</v>
      </c>
      <c r="P353" t="s">
        <v>89</v>
      </c>
      <c r="Q353">
        <v>4988</v>
      </c>
      <c r="R353">
        <v>2000</v>
      </c>
      <c r="S353" t="s">
        <v>73</v>
      </c>
      <c r="T353" t="s">
        <v>38</v>
      </c>
      <c r="U353" t="s">
        <v>39</v>
      </c>
      <c r="V353" t="s">
        <v>52</v>
      </c>
      <c r="W353" t="s">
        <v>52</v>
      </c>
      <c r="X353">
        <v>2024</v>
      </c>
      <c r="Y353" t="s">
        <v>211</v>
      </c>
      <c r="Z353" t="s">
        <v>41</v>
      </c>
    </row>
    <row r="354" spans="1:26">
      <c r="A354" t="s">
        <v>974</v>
      </c>
      <c r="B354" t="s">
        <v>66</v>
      </c>
      <c r="C354" t="s">
        <v>44</v>
      </c>
      <c r="D354" t="s">
        <v>29</v>
      </c>
      <c r="E354" t="s">
        <v>195</v>
      </c>
      <c r="F354" t="s">
        <v>46</v>
      </c>
      <c r="G354" t="s">
        <v>58</v>
      </c>
      <c r="H354">
        <v>9.8000000000000007</v>
      </c>
      <c r="I354">
        <v>34.4</v>
      </c>
      <c r="J354" t="s">
        <v>156</v>
      </c>
      <c r="K354" t="s">
        <v>975</v>
      </c>
      <c r="L354" t="s">
        <v>140</v>
      </c>
      <c r="M354" t="s">
        <v>825</v>
      </c>
      <c r="N354" t="s">
        <v>171</v>
      </c>
      <c r="O354">
        <v>110</v>
      </c>
      <c r="Q354">
        <v>0</v>
      </c>
      <c r="R354">
        <v>0</v>
      </c>
      <c r="T354" t="s">
        <v>62</v>
      </c>
      <c r="U354" t="s">
        <v>39</v>
      </c>
      <c r="V354" t="s">
        <v>52</v>
      </c>
      <c r="W354" t="s">
        <v>52</v>
      </c>
      <c r="X354">
        <v>2023</v>
      </c>
      <c r="Y354" t="s">
        <v>82</v>
      </c>
      <c r="Z354" t="s">
        <v>83</v>
      </c>
    </row>
    <row r="355" spans="1:26">
      <c r="A355" t="s">
        <v>976</v>
      </c>
      <c r="B355" t="s">
        <v>93</v>
      </c>
      <c r="C355" t="s">
        <v>164</v>
      </c>
      <c r="D355" t="s">
        <v>77</v>
      </c>
      <c r="E355" t="s">
        <v>216</v>
      </c>
      <c r="F355" t="s">
        <v>149</v>
      </c>
      <c r="G355" t="s">
        <v>58</v>
      </c>
      <c r="H355">
        <v>9.1</v>
      </c>
      <c r="I355">
        <v>6.3</v>
      </c>
      <c r="J355" t="s">
        <v>20</v>
      </c>
      <c r="K355" t="s">
        <v>630</v>
      </c>
      <c r="L355" t="s">
        <v>35</v>
      </c>
      <c r="M355" t="s">
        <v>59</v>
      </c>
      <c r="N355" t="s">
        <v>71</v>
      </c>
      <c r="O355">
        <v>17</v>
      </c>
      <c r="P355" t="s">
        <v>89</v>
      </c>
      <c r="Q355">
        <v>5243</v>
      </c>
      <c r="R355">
        <v>0</v>
      </c>
      <c r="S355" t="s">
        <v>73</v>
      </c>
      <c r="T355" t="s">
        <v>62</v>
      </c>
      <c r="U355" t="s">
        <v>52</v>
      </c>
      <c r="V355" t="s">
        <v>39</v>
      </c>
      <c r="W355" t="s">
        <v>39</v>
      </c>
      <c r="X355">
        <v>2023</v>
      </c>
      <c r="Y355" t="s">
        <v>128</v>
      </c>
      <c r="Z355" t="s">
        <v>64</v>
      </c>
    </row>
    <row r="356" spans="1:26">
      <c r="A356" t="s">
        <v>977</v>
      </c>
      <c r="B356" t="s">
        <v>108</v>
      </c>
      <c r="C356" t="s">
        <v>121</v>
      </c>
      <c r="D356" t="s">
        <v>77</v>
      </c>
      <c r="E356" t="s">
        <v>143</v>
      </c>
      <c r="F356" t="s">
        <v>68</v>
      </c>
      <c r="G356" t="s">
        <v>58</v>
      </c>
      <c r="H356">
        <v>7.9</v>
      </c>
      <c r="I356">
        <v>31.1</v>
      </c>
      <c r="J356" t="s">
        <v>33</v>
      </c>
      <c r="K356" t="s">
        <v>455</v>
      </c>
      <c r="L356" t="s">
        <v>98</v>
      </c>
      <c r="M356" t="s">
        <v>978</v>
      </c>
      <c r="N356" t="s">
        <v>71</v>
      </c>
      <c r="O356">
        <v>2</v>
      </c>
      <c r="P356" t="s">
        <v>72</v>
      </c>
      <c r="Q356">
        <v>3730</v>
      </c>
      <c r="R356">
        <v>2000</v>
      </c>
      <c r="S356" t="s">
        <v>90</v>
      </c>
      <c r="T356" t="s">
        <v>136</v>
      </c>
      <c r="U356" t="s">
        <v>39</v>
      </c>
      <c r="V356" t="s">
        <v>39</v>
      </c>
      <c r="W356" t="s">
        <v>39</v>
      </c>
      <c r="X356">
        <v>2022</v>
      </c>
      <c r="Y356" t="s">
        <v>106</v>
      </c>
      <c r="Z356" t="s">
        <v>83</v>
      </c>
    </row>
    <row r="357" spans="1:26">
      <c r="A357" t="s">
        <v>979</v>
      </c>
      <c r="B357" t="s">
        <v>43</v>
      </c>
      <c r="C357" t="s">
        <v>28</v>
      </c>
      <c r="D357" t="s">
        <v>77</v>
      </c>
      <c r="E357" t="s">
        <v>216</v>
      </c>
      <c r="F357" t="s">
        <v>109</v>
      </c>
      <c r="G357" t="s">
        <v>58</v>
      </c>
      <c r="H357">
        <v>5.0999999999999996</v>
      </c>
      <c r="I357">
        <v>19.7</v>
      </c>
      <c r="J357" t="s">
        <v>20</v>
      </c>
      <c r="K357" t="s">
        <v>980</v>
      </c>
      <c r="L357" t="s">
        <v>60</v>
      </c>
      <c r="M357" t="s">
        <v>127</v>
      </c>
      <c r="N357" t="s">
        <v>71</v>
      </c>
      <c r="O357">
        <v>157</v>
      </c>
      <c r="P357" t="s">
        <v>105</v>
      </c>
      <c r="Q357">
        <v>5467</v>
      </c>
      <c r="R357">
        <v>0</v>
      </c>
      <c r="S357" t="s">
        <v>113</v>
      </c>
      <c r="T357" t="s">
        <v>136</v>
      </c>
      <c r="U357" t="s">
        <v>39</v>
      </c>
      <c r="V357" t="s">
        <v>52</v>
      </c>
      <c r="W357" t="s">
        <v>39</v>
      </c>
      <c r="X357">
        <v>2024</v>
      </c>
      <c r="Y357" t="s">
        <v>91</v>
      </c>
      <c r="Z357" t="s">
        <v>64</v>
      </c>
    </row>
    <row r="358" spans="1:26">
      <c r="A358" t="s">
        <v>981</v>
      </c>
      <c r="B358" t="s">
        <v>116</v>
      </c>
      <c r="C358" t="s">
        <v>76</v>
      </c>
      <c r="D358" t="s">
        <v>77</v>
      </c>
      <c r="E358" t="s">
        <v>143</v>
      </c>
      <c r="F358" t="s">
        <v>46</v>
      </c>
      <c r="G358" t="s">
        <v>32</v>
      </c>
      <c r="H358">
        <v>2.2000000000000002</v>
      </c>
      <c r="I358">
        <v>23.6</v>
      </c>
      <c r="J358" t="s">
        <v>33</v>
      </c>
      <c r="K358" t="s">
        <v>912</v>
      </c>
      <c r="L358" t="s">
        <v>126</v>
      </c>
      <c r="M358" t="s">
        <v>933</v>
      </c>
      <c r="N358" t="s">
        <v>50</v>
      </c>
      <c r="O358">
        <v>176</v>
      </c>
      <c r="Q358">
        <v>0</v>
      </c>
      <c r="R358">
        <v>1000</v>
      </c>
      <c r="T358" t="s">
        <v>51</v>
      </c>
      <c r="U358" t="s">
        <v>39</v>
      </c>
      <c r="V358" t="s">
        <v>52</v>
      </c>
      <c r="W358" t="s">
        <v>52</v>
      </c>
      <c r="X358">
        <v>2022</v>
      </c>
      <c r="Y358" t="s">
        <v>128</v>
      </c>
      <c r="Z358" t="s">
        <v>64</v>
      </c>
    </row>
    <row r="359" spans="1:26">
      <c r="A359" t="s">
        <v>982</v>
      </c>
      <c r="B359" t="s">
        <v>116</v>
      </c>
      <c r="C359" t="s">
        <v>102</v>
      </c>
      <c r="D359" t="s">
        <v>77</v>
      </c>
      <c r="E359" t="s">
        <v>143</v>
      </c>
      <c r="F359" t="s">
        <v>149</v>
      </c>
      <c r="G359" t="s">
        <v>32</v>
      </c>
      <c r="H359">
        <v>0.4</v>
      </c>
      <c r="I359">
        <v>18.3</v>
      </c>
      <c r="J359" t="s">
        <v>144</v>
      </c>
      <c r="K359" t="s">
        <v>592</v>
      </c>
      <c r="L359" t="s">
        <v>48</v>
      </c>
      <c r="M359" t="s">
        <v>605</v>
      </c>
      <c r="N359" t="s">
        <v>71</v>
      </c>
      <c r="O359">
        <v>138</v>
      </c>
      <c r="P359" t="s">
        <v>72</v>
      </c>
      <c r="Q359">
        <v>4294</v>
      </c>
      <c r="R359">
        <v>5000</v>
      </c>
      <c r="S359" t="s">
        <v>113</v>
      </c>
      <c r="T359" t="s">
        <v>38</v>
      </c>
      <c r="U359" t="s">
        <v>39</v>
      </c>
      <c r="V359" t="s">
        <v>39</v>
      </c>
      <c r="W359" t="s">
        <v>39</v>
      </c>
      <c r="X359">
        <v>2022</v>
      </c>
      <c r="Y359" t="s">
        <v>74</v>
      </c>
      <c r="Z359" t="s">
        <v>54</v>
      </c>
    </row>
    <row r="360" spans="1:26">
      <c r="A360" t="s">
        <v>983</v>
      </c>
      <c r="B360" t="s">
        <v>108</v>
      </c>
      <c r="C360" t="s">
        <v>164</v>
      </c>
      <c r="D360" t="s">
        <v>77</v>
      </c>
      <c r="E360" t="s">
        <v>94</v>
      </c>
      <c r="F360" t="s">
        <v>124</v>
      </c>
      <c r="G360" t="s">
        <v>32</v>
      </c>
      <c r="H360">
        <v>5.7</v>
      </c>
      <c r="I360">
        <v>17.2</v>
      </c>
      <c r="J360" t="s">
        <v>33</v>
      </c>
      <c r="K360" t="s">
        <v>984</v>
      </c>
      <c r="L360" t="s">
        <v>126</v>
      </c>
      <c r="M360" t="s">
        <v>811</v>
      </c>
      <c r="N360" t="s">
        <v>37</v>
      </c>
      <c r="O360">
        <v>97</v>
      </c>
      <c r="Q360">
        <v>0</v>
      </c>
      <c r="R360">
        <v>0</v>
      </c>
      <c r="T360" t="s">
        <v>51</v>
      </c>
      <c r="U360" t="s">
        <v>39</v>
      </c>
      <c r="V360" t="s">
        <v>52</v>
      </c>
      <c r="W360" t="s">
        <v>52</v>
      </c>
      <c r="X360">
        <v>2023</v>
      </c>
      <c r="Y360" t="s">
        <v>82</v>
      </c>
      <c r="Z360" t="s">
        <v>83</v>
      </c>
    </row>
    <row r="361" spans="1:26">
      <c r="A361" t="s">
        <v>985</v>
      </c>
      <c r="B361" t="s">
        <v>116</v>
      </c>
      <c r="C361" t="s">
        <v>121</v>
      </c>
      <c r="D361" t="s">
        <v>122</v>
      </c>
      <c r="E361" t="s">
        <v>155</v>
      </c>
      <c r="F361" t="s">
        <v>149</v>
      </c>
      <c r="G361" t="s">
        <v>32</v>
      </c>
      <c r="H361">
        <v>6.9</v>
      </c>
      <c r="I361">
        <v>10.199999999999999</v>
      </c>
      <c r="J361" t="s">
        <v>33</v>
      </c>
      <c r="K361" t="s">
        <v>413</v>
      </c>
      <c r="L361" t="s">
        <v>60</v>
      </c>
      <c r="M361" t="s">
        <v>187</v>
      </c>
      <c r="N361" t="s">
        <v>71</v>
      </c>
      <c r="O361">
        <v>86</v>
      </c>
      <c r="P361" t="s">
        <v>89</v>
      </c>
      <c r="Q361">
        <v>631</v>
      </c>
      <c r="R361">
        <v>2000</v>
      </c>
      <c r="S361" t="s">
        <v>152</v>
      </c>
      <c r="T361" t="s">
        <v>62</v>
      </c>
      <c r="U361" t="s">
        <v>39</v>
      </c>
      <c r="V361" t="s">
        <v>52</v>
      </c>
      <c r="W361" t="s">
        <v>52</v>
      </c>
      <c r="X361">
        <v>2023</v>
      </c>
      <c r="Y361" t="s">
        <v>82</v>
      </c>
      <c r="Z361" t="s">
        <v>83</v>
      </c>
    </row>
    <row r="362" spans="1:26">
      <c r="A362" t="s">
        <v>986</v>
      </c>
      <c r="B362" t="s">
        <v>93</v>
      </c>
      <c r="C362" t="s">
        <v>76</v>
      </c>
      <c r="D362" t="s">
        <v>77</v>
      </c>
      <c r="E362" t="s">
        <v>363</v>
      </c>
      <c r="F362" t="s">
        <v>57</v>
      </c>
      <c r="G362" t="s">
        <v>58</v>
      </c>
      <c r="H362">
        <v>7.1</v>
      </c>
      <c r="I362">
        <v>29.4</v>
      </c>
      <c r="J362" t="s">
        <v>33</v>
      </c>
      <c r="K362" t="s">
        <v>398</v>
      </c>
      <c r="L362" t="s">
        <v>60</v>
      </c>
      <c r="M362" t="s">
        <v>987</v>
      </c>
      <c r="N362" t="s">
        <v>50</v>
      </c>
      <c r="O362">
        <v>106</v>
      </c>
      <c r="Q362">
        <v>0</v>
      </c>
      <c r="R362">
        <v>0</v>
      </c>
      <c r="T362" t="s">
        <v>136</v>
      </c>
      <c r="U362" t="s">
        <v>39</v>
      </c>
      <c r="V362" t="s">
        <v>52</v>
      </c>
      <c r="W362" t="s">
        <v>52</v>
      </c>
      <c r="X362">
        <v>2022</v>
      </c>
      <c r="Y362" t="s">
        <v>153</v>
      </c>
      <c r="Z362" t="s">
        <v>54</v>
      </c>
    </row>
    <row r="363" spans="1:26">
      <c r="A363" t="s">
        <v>988</v>
      </c>
      <c r="B363" t="s">
        <v>27</v>
      </c>
      <c r="C363" t="s">
        <v>44</v>
      </c>
      <c r="D363" t="s">
        <v>77</v>
      </c>
      <c r="E363" t="s">
        <v>220</v>
      </c>
      <c r="F363" t="s">
        <v>149</v>
      </c>
      <c r="G363" t="s">
        <v>58</v>
      </c>
      <c r="H363">
        <v>9.1999999999999993</v>
      </c>
      <c r="I363">
        <v>1.7</v>
      </c>
      <c r="J363" t="s">
        <v>144</v>
      </c>
      <c r="K363" t="s">
        <v>491</v>
      </c>
      <c r="L363" t="s">
        <v>126</v>
      </c>
      <c r="M363" t="s">
        <v>647</v>
      </c>
      <c r="N363" t="s">
        <v>71</v>
      </c>
      <c r="O363">
        <v>12</v>
      </c>
      <c r="P363" t="s">
        <v>89</v>
      </c>
      <c r="Q363">
        <v>6855</v>
      </c>
      <c r="R363">
        <v>2000</v>
      </c>
      <c r="S363" t="s">
        <v>73</v>
      </c>
      <c r="T363" t="s">
        <v>62</v>
      </c>
      <c r="U363" t="s">
        <v>39</v>
      </c>
      <c r="V363" t="s">
        <v>52</v>
      </c>
      <c r="W363" t="s">
        <v>52</v>
      </c>
      <c r="X363">
        <v>2024</v>
      </c>
      <c r="Y363" t="s">
        <v>53</v>
      </c>
      <c r="Z363" t="s">
        <v>54</v>
      </c>
    </row>
    <row r="364" spans="1:26">
      <c r="A364" t="s">
        <v>989</v>
      </c>
      <c r="B364" t="s">
        <v>43</v>
      </c>
      <c r="C364" t="s">
        <v>121</v>
      </c>
      <c r="D364" t="s">
        <v>77</v>
      </c>
      <c r="E364" t="s">
        <v>216</v>
      </c>
      <c r="F364" t="s">
        <v>31</v>
      </c>
      <c r="G364" t="s">
        <v>58</v>
      </c>
      <c r="H364">
        <v>0.3</v>
      </c>
      <c r="I364">
        <v>23.6</v>
      </c>
      <c r="J364" t="s">
        <v>144</v>
      </c>
      <c r="K364" t="s">
        <v>285</v>
      </c>
      <c r="L364" t="s">
        <v>126</v>
      </c>
      <c r="M364" t="s">
        <v>990</v>
      </c>
      <c r="N364" t="s">
        <v>37</v>
      </c>
      <c r="O364">
        <v>76</v>
      </c>
      <c r="Q364">
        <v>0</v>
      </c>
      <c r="R364">
        <v>0</v>
      </c>
      <c r="T364" t="s">
        <v>81</v>
      </c>
      <c r="U364" t="s">
        <v>52</v>
      </c>
      <c r="V364" t="s">
        <v>39</v>
      </c>
      <c r="W364" t="s">
        <v>52</v>
      </c>
      <c r="X364">
        <v>2024</v>
      </c>
      <c r="Y364" t="s">
        <v>106</v>
      </c>
      <c r="Z364" t="s">
        <v>83</v>
      </c>
    </row>
    <row r="365" spans="1:26">
      <c r="A365" t="s">
        <v>991</v>
      </c>
      <c r="B365" t="s">
        <v>93</v>
      </c>
      <c r="C365" t="s">
        <v>102</v>
      </c>
      <c r="D365" t="s">
        <v>77</v>
      </c>
      <c r="E365" t="s">
        <v>220</v>
      </c>
      <c r="F365" t="s">
        <v>95</v>
      </c>
      <c r="G365" t="s">
        <v>32</v>
      </c>
      <c r="H365">
        <v>6.4</v>
      </c>
      <c r="I365">
        <v>10.7</v>
      </c>
      <c r="J365" t="s">
        <v>156</v>
      </c>
      <c r="K365" t="s">
        <v>992</v>
      </c>
      <c r="L365" t="s">
        <v>35</v>
      </c>
      <c r="M365" t="s">
        <v>712</v>
      </c>
      <c r="N365" t="s">
        <v>171</v>
      </c>
      <c r="O365">
        <v>99</v>
      </c>
      <c r="Q365">
        <v>0</v>
      </c>
      <c r="R365">
        <v>0</v>
      </c>
      <c r="T365" t="s">
        <v>62</v>
      </c>
      <c r="U365" t="s">
        <v>39</v>
      </c>
      <c r="V365" t="s">
        <v>39</v>
      </c>
      <c r="W365" t="s">
        <v>39</v>
      </c>
      <c r="X365">
        <v>2022</v>
      </c>
      <c r="Y365" t="s">
        <v>53</v>
      </c>
      <c r="Z365" t="s">
        <v>54</v>
      </c>
    </row>
    <row r="366" spans="1:26">
      <c r="A366" t="s">
        <v>993</v>
      </c>
      <c r="B366" t="s">
        <v>116</v>
      </c>
      <c r="C366" t="s">
        <v>102</v>
      </c>
      <c r="D366" t="s">
        <v>85</v>
      </c>
      <c r="E366" t="s">
        <v>402</v>
      </c>
      <c r="F366" t="s">
        <v>68</v>
      </c>
      <c r="G366" t="s">
        <v>32</v>
      </c>
      <c r="H366">
        <v>2.2000000000000002</v>
      </c>
      <c r="I366">
        <v>19.8</v>
      </c>
      <c r="J366" t="s">
        <v>33</v>
      </c>
      <c r="K366" t="s">
        <v>994</v>
      </c>
      <c r="L366" t="s">
        <v>140</v>
      </c>
      <c r="M366" t="s">
        <v>127</v>
      </c>
      <c r="N366" t="s">
        <v>71</v>
      </c>
      <c r="O366">
        <v>159</v>
      </c>
      <c r="P366" t="s">
        <v>230</v>
      </c>
      <c r="Q366">
        <v>1997</v>
      </c>
      <c r="R366">
        <v>0</v>
      </c>
      <c r="S366" t="s">
        <v>90</v>
      </c>
      <c r="T366" t="s">
        <v>62</v>
      </c>
      <c r="U366" t="s">
        <v>39</v>
      </c>
      <c r="V366" t="s">
        <v>52</v>
      </c>
      <c r="W366" t="s">
        <v>52</v>
      </c>
      <c r="X366">
        <v>2024</v>
      </c>
      <c r="Y366" t="s">
        <v>211</v>
      </c>
      <c r="Z366" t="s">
        <v>41</v>
      </c>
    </row>
    <row r="367" spans="1:26">
      <c r="A367" t="s">
        <v>995</v>
      </c>
      <c r="B367" t="s">
        <v>93</v>
      </c>
      <c r="C367" t="s">
        <v>121</v>
      </c>
      <c r="D367" t="s">
        <v>122</v>
      </c>
      <c r="E367" t="s">
        <v>155</v>
      </c>
      <c r="F367" t="s">
        <v>149</v>
      </c>
      <c r="G367" t="s">
        <v>58</v>
      </c>
      <c r="H367">
        <v>3.4</v>
      </c>
      <c r="I367">
        <v>2.7</v>
      </c>
      <c r="J367" t="s">
        <v>144</v>
      </c>
      <c r="K367" t="s">
        <v>996</v>
      </c>
      <c r="L367" t="s">
        <v>98</v>
      </c>
      <c r="M367" t="s">
        <v>510</v>
      </c>
      <c r="N367" t="s">
        <v>100</v>
      </c>
      <c r="O367">
        <v>129</v>
      </c>
      <c r="Q367">
        <v>0</v>
      </c>
      <c r="R367">
        <v>0</v>
      </c>
      <c r="T367" t="s">
        <v>62</v>
      </c>
      <c r="U367" t="s">
        <v>39</v>
      </c>
      <c r="V367" t="s">
        <v>52</v>
      </c>
      <c r="W367" t="s">
        <v>52</v>
      </c>
      <c r="X367">
        <v>2023</v>
      </c>
      <c r="Y367" t="s">
        <v>40</v>
      </c>
      <c r="Z367" t="s">
        <v>41</v>
      </c>
    </row>
    <row r="368" spans="1:26">
      <c r="A368" t="s">
        <v>997</v>
      </c>
      <c r="B368" t="s">
        <v>116</v>
      </c>
      <c r="C368" t="s">
        <v>164</v>
      </c>
      <c r="D368" t="s">
        <v>29</v>
      </c>
      <c r="E368" t="s">
        <v>45</v>
      </c>
      <c r="F368" t="s">
        <v>160</v>
      </c>
      <c r="G368" t="s">
        <v>58</v>
      </c>
      <c r="H368">
        <v>3.5</v>
      </c>
      <c r="I368">
        <v>33.5</v>
      </c>
      <c r="J368" t="s">
        <v>156</v>
      </c>
      <c r="K368" t="s">
        <v>998</v>
      </c>
      <c r="L368" t="s">
        <v>48</v>
      </c>
      <c r="M368" t="s">
        <v>999</v>
      </c>
      <c r="N368" t="s">
        <v>71</v>
      </c>
      <c r="O368">
        <v>23</v>
      </c>
      <c r="P368" t="s">
        <v>112</v>
      </c>
      <c r="Q368">
        <v>3100</v>
      </c>
      <c r="R368">
        <v>0</v>
      </c>
      <c r="S368" t="s">
        <v>113</v>
      </c>
      <c r="T368" t="s">
        <v>81</v>
      </c>
      <c r="U368" t="s">
        <v>39</v>
      </c>
      <c r="V368" t="s">
        <v>52</v>
      </c>
      <c r="W368" t="s">
        <v>52</v>
      </c>
      <c r="X368">
        <v>2024</v>
      </c>
      <c r="Y368" t="s">
        <v>40</v>
      </c>
      <c r="Z368" t="s">
        <v>41</v>
      </c>
    </row>
    <row r="369" spans="1:26">
      <c r="A369" t="s">
        <v>1000</v>
      </c>
      <c r="B369" t="s">
        <v>93</v>
      </c>
      <c r="C369" t="s">
        <v>102</v>
      </c>
      <c r="D369" t="s">
        <v>29</v>
      </c>
      <c r="E369" t="s">
        <v>45</v>
      </c>
      <c r="F369" t="s">
        <v>95</v>
      </c>
      <c r="G369" t="s">
        <v>58</v>
      </c>
      <c r="H369">
        <v>5.4</v>
      </c>
      <c r="I369">
        <v>22.7</v>
      </c>
      <c r="J369" t="s">
        <v>96</v>
      </c>
      <c r="K369" t="s">
        <v>432</v>
      </c>
      <c r="L369" t="s">
        <v>48</v>
      </c>
      <c r="M369" t="s">
        <v>1001</v>
      </c>
      <c r="N369" t="s">
        <v>100</v>
      </c>
      <c r="O369">
        <v>89</v>
      </c>
      <c r="Q369">
        <v>0</v>
      </c>
      <c r="R369">
        <v>0</v>
      </c>
      <c r="T369" t="s">
        <v>62</v>
      </c>
      <c r="U369" t="s">
        <v>39</v>
      </c>
      <c r="V369" t="s">
        <v>52</v>
      </c>
      <c r="W369" t="s">
        <v>52</v>
      </c>
      <c r="X369">
        <v>2024</v>
      </c>
      <c r="Y369" t="s">
        <v>211</v>
      </c>
      <c r="Z369" t="s">
        <v>41</v>
      </c>
    </row>
    <row r="370" spans="1:26">
      <c r="A370" t="s">
        <v>1002</v>
      </c>
      <c r="B370" t="s">
        <v>93</v>
      </c>
      <c r="C370" t="s">
        <v>164</v>
      </c>
      <c r="D370" t="s">
        <v>122</v>
      </c>
      <c r="E370" t="s">
        <v>130</v>
      </c>
      <c r="F370" t="s">
        <v>160</v>
      </c>
      <c r="G370" t="s">
        <v>58</v>
      </c>
      <c r="H370">
        <v>3.7</v>
      </c>
      <c r="I370">
        <v>5.0999999999999996</v>
      </c>
      <c r="J370" t="s">
        <v>144</v>
      </c>
      <c r="K370" t="s">
        <v>1003</v>
      </c>
      <c r="L370" t="s">
        <v>60</v>
      </c>
      <c r="M370" t="s">
        <v>127</v>
      </c>
      <c r="N370" t="s">
        <v>50</v>
      </c>
      <c r="O370">
        <v>141</v>
      </c>
      <c r="Q370">
        <v>0</v>
      </c>
      <c r="R370">
        <v>1000</v>
      </c>
      <c r="T370" t="s">
        <v>51</v>
      </c>
      <c r="U370" t="s">
        <v>39</v>
      </c>
      <c r="V370" t="s">
        <v>39</v>
      </c>
      <c r="W370" t="s">
        <v>52</v>
      </c>
      <c r="X370">
        <v>2024</v>
      </c>
      <c r="Y370" t="s">
        <v>63</v>
      </c>
      <c r="Z370" t="s">
        <v>64</v>
      </c>
    </row>
    <row r="371" spans="1:26">
      <c r="A371" t="s">
        <v>1004</v>
      </c>
      <c r="B371" t="s">
        <v>66</v>
      </c>
      <c r="C371" t="s">
        <v>164</v>
      </c>
      <c r="D371" t="s">
        <v>29</v>
      </c>
      <c r="E371" t="s">
        <v>117</v>
      </c>
      <c r="F371" t="s">
        <v>68</v>
      </c>
      <c r="G371" t="s">
        <v>58</v>
      </c>
      <c r="H371">
        <v>3.5</v>
      </c>
      <c r="I371">
        <v>34.1</v>
      </c>
      <c r="J371" t="s">
        <v>33</v>
      </c>
      <c r="K371" t="s">
        <v>1005</v>
      </c>
      <c r="L371" t="s">
        <v>35</v>
      </c>
      <c r="M371" t="s">
        <v>365</v>
      </c>
      <c r="N371" t="s">
        <v>71</v>
      </c>
      <c r="O371">
        <v>159</v>
      </c>
      <c r="P371" t="s">
        <v>72</v>
      </c>
      <c r="Q371">
        <v>4415</v>
      </c>
      <c r="R371">
        <v>1000</v>
      </c>
      <c r="S371" t="s">
        <v>113</v>
      </c>
      <c r="T371" t="s">
        <v>136</v>
      </c>
      <c r="U371" t="s">
        <v>39</v>
      </c>
      <c r="V371" t="s">
        <v>52</v>
      </c>
      <c r="W371" t="s">
        <v>52</v>
      </c>
      <c r="X371">
        <v>2022</v>
      </c>
      <c r="Y371" t="s">
        <v>63</v>
      </c>
      <c r="Z371" t="s">
        <v>64</v>
      </c>
    </row>
    <row r="372" spans="1:26">
      <c r="A372" t="s">
        <v>1006</v>
      </c>
      <c r="B372" t="s">
        <v>93</v>
      </c>
      <c r="C372" t="s">
        <v>28</v>
      </c>
      <c r="D372" t="s">
        <v>77</v>
      </c>
      <c r="E372" t="s">
        <v>220</v>
      </c>
      <c r="F372" t="s">
        <v>238</v>
      </c>
      <c r="G372" t="s">
        <v>32</v>
      </c>
      <c r="H372">
        <v>6.5</v>
      </c>
      <c r="I372">
        <v>6.1</v>
      </c>
      <c r="J372" t="s">
        <v>144</v>
      </c>
      <c r="K372" t="s">
        <v>1007</v>
      </c>
      <c r="L372" t="s">
        <v>48</v>
      </c>
      <c r="M372" t="s">
        <v>1008</v>
      </c>
      <c r="N372" t="s">
        <v>71</v>
      </c>
      <c r="O372">
        <v>89</v>
      </c>
      <c r="P372" t="s">
        <v>112</v>
      </c>
      <c r="Q372">
        <v>6054</v>
      </c>
      <c r="R372">
        <v>500</v>
      </c>
      <c r="S372" t="s">
        <v>152</v>
      </c>
      <c r="T372" t="s">
        <v>81</v>
      </c>
      <c r="U372" t="s">
        <v>39</v>
      </c>
      <c r="V372" t="s">
        <v>52</v>
      </c>
      <c r="W372" t="s">
        <v>52</v>
      </c>
      <c r="X372">
        <v>2023</v>
      </c>
      <c r="Y372" t="s">
        <v>91</v>
      </c>
      <c r="Z372" t="s">
        <v>64</v>
      </c>
    </row>
    <row r="373" spans="1:26">
      <c r="A373" t="s">
        <v>1009</v>
      </c>
      <c r="B373" t="s">
        <v>93</v>
      </c>
      <c r="C373" t="s">
        <v>28</v>
      </c>
      <c r="D373" t="s">
        <v>29</v>
      </c>
      <c r="E373" t="s">
        <v>117</v>
      </c>
      <c r="F373" t="s">
        <v>149</v>
      </c>
      <c r="G373" t="s">
        <v>58</v>
      </c>
      <c r="H373">
        <v>8.8000000000000007</v>
      </c>
      <c r="I373">
        <v>32.299999999999997</v>
      </c>
      <c r="J373" t="s">
        <v>33</v>
      </c>
      <c r="K373" t="s">
        <v>1010</v>
      </c>
      <c r="L373" t="s">
        <v>98</v>
      </c>
      <c r="M373" t="s">
        <v>1011</v>
      </c>
      <c r="N373" t="s">
        <v>71</v>
      </c>
      <c r="O373">
        <v>147</v>
      </c>
      <c r="P373" t="s">
        <v>105</v>
      </c>
      <c r="Q373">
        <v>4775</v>
      </c>
      <c r="R373">
        <v>1000</v>
      </c>
      <c r="S373" t="s">
        <v>73</v>
      </c>
      <c r="T373" t="s">
        <v>51</v>
      </c>
      <c r="U373" t="s">
        <v>39</v>
      </c>
      <c r="V373" t="s">
        <v>52</v>
      </c>
      <c r="W373" t="s">
        <v>52</v>
      </c>
      <c r="X373">
        <v>2023</v>
      </c>
      <c r="Y373" t="s">
        <v>211</v>
      </c>
      <c r="Z373" t="s">
        <v>41</v>
      </c>
    </row>
    <row r="374" spans="1:26">
      <c r="A374" t="s">
        <v>1012</v>
      </c>
      <c r="B374" t="s">
        <v>93</v>
      </c>
      <c r="C374" t="s">
        <v>102</v>
      </c>
      <c r="D374" t="s">
        <v>77</v>
      </c>
      <c r="E374" t="s">
        <v>260</v>
      </c>
      <c r="F374" t="s">
        <v>238</v>
      </c>
      <c r="G374" t="s">
        <v>58</v>
      </c>
      <c r="H374">
        <v>2.4</v>
      </c>
      <c r="I374">
        <v>18.7</v>
      </c>
      <c r="J374" t="s">
        <v>20</v>
      </c>
      <c r="K374" t="s">
        <v>1013</v>
      </c>
      <c r="L374" t="s">
        <v>126</v>
      </c>
      <c r="M374" t="s">
        <v>1014</v>
      </c>
      <c r="N374" t="s">
        <v>71</v>
      </c>
      <c r="O374">
        <v>84</v>
      </c>
      <c r="P374" t="s">
        <v>230</v>
      </c>
      <c r="Q374">
        <v>7981</v>
      </c>
      <c r="R374">
        <v>2000</v>
      </c>
      <c r="S374" t="s">
        <v>90</v>
      </c>
      <c r="T374" t="s">
        <v>81</v>
      </c>
      <c r="U374" t="s">
        <v>52</v>
      </c>
      <c r="V374" t="s">
        <v>52</v>
      </c>
      <c r="W374" t="s">
        <v>39</v>
      </c>
      <c r="X374">
        <v>2022</v>
      </c>
      <c r="Y374" t="s">
        <v>40</v>
      </c>
      <c r="Z374" t="s">
        <v>41</v>
      </c>
    </row>
    <row r="375" spans="1:26">
      <c r="A375" t="s">
        <v>1015</v>
      </c>
      <c r="B375" t="s">
        <v>93</v>
      </c>
      <c r="C375" t="s">
        <v>67</v>
      </c>
      <c r="D375" t="s">
        <v>122</v>
      </c>
      <c r="E375" t="s">
        <v>130</v>
      </c>
      <c r="F375" t="s">
        <v>160</v>
      </c>
      <c r="G375" t="s">
        <v>32</v>
      </c>
      <c r="H375">
        <v>4.7</v>
      </c>
      <c r="I375">
        <v>0.9</v>
      </c>
      <c r="J375" t="s">
        <v>96</v>
      </c>
      <c r="K375" t="s">
        <v>347</v>
      </c>
      <c r="L375" t="s">
        <v>140</v>
      </c>
      <c r="M375" t="s">
        <v>388</v>
      </c>
      <c r="N375" t="s">
        <v>171</v>
      </c>
      <c r="O375">
        <v>110</v>
      </c>
      <c r="Q375">
        <v>0</v>
      </c>
      <c r="R375">
        <v>0</v>
      </c>
      <c r="T375" t="s">
        <v>38</v>
      </c>
      <c r="U375" t="s">
        <v>39</v>
      </c>
      <c r="V375" t="s">
        <v>52</v>
      </c>
      <c r="W375" t="s">
        <v>52</v>
      </c>
      <c r="X375">
        <v>2022</v>
      </c>
      <c r="Y375" t="s">
        <v>91</v>
      </c>
      <c r="Z375" t="s">
        <v>64</v>
      </c>
    </row>
    <row r="376" spans="1:26">
      <c r="A376" t="s">
        <v>1016</v>
      </c>
      <c r="B376" t="s">
        <v>27</v>
      </c>
      <c r="C376" t="s">
        <v>28</v>
      </c>
      <c r="D376" t="s">
        <v>85</v>
      </c>
      <c r="E376" t="s">
        <v>86</v>
      </c>
      <c r="F376" t="s">
        <v>68</v>
      </c>
      <c r="G376" t="s">
        <v>58</v>
      </c>
      <c r="H376">
        <v>8.8000000000000007</v>
      </c>
      <c r="I376">
        <v>14.8</v>
      </c>
      <c r="J376" t="s">
        <v>33</v>
      </c>
      <c r="K376" t="s">
        <v>1017</v>
      </c>
      <c r="L376" t="s">
        <v>126</v>
      </c>
      <c r="M376" t="s">
        <v>1018</v>
      </c>
      <c r="N376" t="s">
        <v>100</v>
      </c>
      <c r="O376">
        <v>42</v>
      </c>
      <c r="Q376">
        <v>0</v>
      </c>
      <c r="R376">
        <v>0</v>
      </c>
      <c r="T376" t="s">
        <v>62</v>
      </c>
      <c r="U376" t="s">
        <v>39</v>
      </c>
      <c r="V376" t="s">
        <v>39</v>
      </c>
      <c r="W376" t="s">
        <v>52</v>
      </c>
      <c r="X376">
        <v>2023</v>
      </c>
      <c r="Y376" t="s">
        <v>211</v>
      </c>
      <c r="Z376" t="s">
        <v>41</v>
      </c>
    </row>
    <row r="377" spans="1:26">
      <c r="A377" t="s">
        <v>1019</v>
      </c>
      <c r="B377" t="s">
        <v>66</v>
      </c>
      <c r="C377" t="s">
        <v>164</v>
      </c>
      <c r="D377" t="s">
        <v>29</v>
      </c>
      <c r="E377" t="s">
        <v>30</v>
      </c>
      <c r="F377" t="s">
        <v>124</v>
      </c>
      <c r="G377" t="s">
        <v>58</v>
      </c>
      <c r="H377">
        <v>5</v>
      </c>
      <c r="I377">
        <v>19.7</v>
      </c>
      <c r="J377" t="s">
        <v>96</v>
      </c>
      <c r="K377" t="s">
        <v>664</v>
      </c>
      <c r="L377" t="s">
        <v>126</v>
      </c>
      <c r="M377" t="s">
        <v>546</v>
      </c>
      <c r="N377" t="s">
        <v>61</v>
      </c>
      <c r="O377">
        <v>164</v>
      </c>
      <c r="Q377">
        <v>0</v>
      </c>
      <c r="R377">
        <v>0</v>
      </c>
      <c r="T377" t="s">
        <v>51</v>
      </c>
      <c r="U377" t="s">
        <v>52</v>
      </c>
      <c r="V377" t="s">
        <v>39</v>
      </c>
      <c r="W377" t="s">
        <v>52</v>
      </c>
      <c r="X377">
        <v>2024</v>
      </c>
      <c r="Y377" t="s">
        <v>74</v>
      </c>
      <c r="Z377" t="s">
        <v>54</v>
      </c>
    </row>
    <row r="378" spans="1:26">
      <c r="A378" t="s">
        <v>1020</v>
      </c>
      <c r="B378" t="s">
        <v>93</v>
      </c>
      <c r="C378" t="s">
        <v>173</v>
      </c>
      <c r="D378" t="s">
        <v>77</v>
      </c>
      <c r="E378" t="s">
        <v>168</v>
      </c>
      <c r="F378" t="s">
        <v>149</v>
      </c>
      <c r="G378" t="s">
        <v>58</v>
      </c>
      <c r="H378">
        <v>0.4</v>
      </c>
      <c r="I378">
        <v>0.6</v>
      </c>
      <c r="J378" t="s">
        <v>156</v>
      </c>
      <c r="K378" t="s">
        <v>406</v>
      </c>
      <c r="L378" t="s">
        <v>98</v>
      </c>
      <c r="M378" t="s">
        <v>127</v>
      </c>
      <c r="N378" t="s">
        <v>50</v>
      </c>
      <c r="O378">
        <v>144</v>
      </c>
      <c r="Q378">
        <v>0</v>
      </c>
      <c r="R378">
        <v>0</v>
      </c>
      <c r="T378" t="s">
        <v>51</v>
      </c>
      <c r="U378" t="s">
        <v>52</v>
      </c>
      <c r="V378" t="s">
        <v>39</v>
      </c>
      <c r="W378" t="s">
        <v>52</v>
      </c>
      <c r="X378">
        <v>2024</v>
      </c>
      <c r="Y378" t="s">
        <v>91</v>
      </c>
      <c r="Z378" t="s">
        <v>64</v>
      </c>
    </row>
    <row r="379" spans="1:26">
      <c r="A379" t="s">
        <v>1021</v>
      </c>
      <c r="B379" t="s">
        <v>108</v>
      </c>
      <c r="C379" t="s">
        <v>44</v>
      </c>
      <c r="D379" t="s">
        <v>77</v>
      </c>
      <c r="E379" t="s">
        <v>220</v>
      </c>
      <c r="F379" t="s">
        <v>160</v>
      </c>
      <c r="G379" t="s">
        <v>32</v>
      </c>
      <c r="H379">
        <v>7.2</v>
      </c>
      <c r="I379">
        <v>13</v>
      </c>
      <c r="J379" t="s">
        <v>156</v>
      </c>
      <c r="K379" t="s">
        <v>1022</v>
      </c>
      <c r="L379" t="s">
        <v>35</v>
      </c>
      <c r="M379" t="s">
        <v>1023</v>
      </c>
      <c r="N379" t="s">
        <v>50</v>
      </c>
      <c r="O379">
        <v>71</v>
      </c>
      <c r="Q379">
        <v>0</v>
      </c>
      <c r="R379">
        <v>0</v>
      </c>
      <c r="T379" t="s">
        <v>51</v>
      </c>
      <c r="U379" t="s">
        <v>39</v>
      </c>
      <c r="V379" t="s">
        <v>52</v>
      </c>
      <c r="W379" t="s">
        <v>52</v>
      </c>
      <c r="X379">
        <v>2022</v>
      </c>
      <c r="Y379" t="s">
        <v>114</v>
      </c>
      <c r="Z379" t="s">
        <v>41</v>
      </c>
    </row>
    <row r="380" spans="1:26">
      <c r="A380" t="s">
        <v>1024</v>
      </c>
      <c r="B380" t="s">
        <v>93</v>
      </c>
      <c r="C380" t="s">
        <v>44</v>
      </c>
      <c r="D380" t="s">
        <v>77</v>
      </c>
      <c r="E380" t="s">
        <v>220</v>
      </c>
      <c r="F380" t="s">
        <v>46</v>
      </c>
      <c r="G380" t="s">
        <v>58</v>
      </c>
      <c r="H380">
        <v>4.4000000000000004</v>
      </c>
      <c r="I380">
        <v>2.2999999999999998</v>
      </c>
      <c r="J380" t="s">
        <v>33</v>
      </c>
      <c r="K380" t="s">
        <v>443</v>
      </c>
      <c r="L380" t="s">
        <v>60</v>
      </c>
      <c r="M380" t="s">
        <v>1025</v>
      </c>
      <c r="N380" t="s">
        <v>50</v>
      </c>
      <c r="O380">
        <v>82</v>
      </c>
      <c r="Q380">
        <v>0</v>
      </c>
      <c r="R380">
        <v>0</v>
      </c>
      <c r="T380" t="s">
        <v>62</v>
      </c>
      <c r="U380" t="s">
        <v>39</v>
      </c>
      <c r="V380" t="s">
        <v>52</v>
      </c>
      <c r="W380" t="s">
        <v>52</v>
      </c>
      <c r="X380">
        <v>2022</v>
      </c>
      <c r="Y380" t="s">
        <v>91</v>
      </c>
      <c r="Z380" t="s">
        <v>64</v>
      </c>
    </row>
    <row r="381" spans="1:26">
      <c r="A381" t="s">
        <v>1026</v>
      </c>
      <c r="B381" t="s">
        <v>66</v>
      </c>
      <c r="C381" t="s">
        <v>173</v>
      </c>
      <c r="D381" t="s">
        <v>77</v>
      </c>
      <c r="E381" t="s">
        <v>143</v>
      </c>
      <c r="F381" t="s">
        <v>160</v>
      </c>
      <c r="G381" t="s">
        <v>32</v>
      </c>
      <c r="H381">
        <v>10.5</v>
      </c>
      <c r="I381">
        <v>29</v>
      </c>
      <c r="J381" t="s">
        <v>33</v>
      </c>
      <c r="K381" t="s">
        <v>1027</v>
      </c>
      <c r="L381" t="s">
        <v>140</v>
      </c>
      <c r="M381" t="s">
        <v>1028</v>
      </c>
      <c r="N381" t="s">
        <v>171</v>
      </c>
      <c r="O381">
        <v>140</v>
      </c>
      <c r="Q381">
        <v>0</v>
      </c>
      <c r="R381">
        <v>0</v>
      </c>
      <c r="T381" t="s">
        <v>62</v>
      </c>
      <c r="U381" t="s">
        <v>39</v>
      </c>
      <c r="V381" t="s">
        <v>39</v>
      </c>
      <c r="W381" t="s">
        <v>39</v>
      </c>
      <c r="X381">
        <v>2022</v>
      </c>
      <c r="Y381" t="s">
        <v>63</v>
      </c>
      <c r="Z381" t="s">
        <v>64</v>
      </c>
    </row>
    <row r="382" spans="1:26">
      <c r="A382" t="s">
        <v>1029</v>
      </c>
      <c r="B382" t="s">
        <v>116</v>
      </c>
      <c r="C382" t="s">
        <v>102</v>
      </c>
      <c r="D382" t="s">
        <v>77</v>
      </c>
      <c r="E382" t="s">
        <v>168</v>
      </c>
      <c r="F382" t="s">
        <v>68</v>
      </c>
      <c r="G382" t="s">
        <v>58</v>
      </c>
      <c r="H382">
        <v>4.0999999999999996</v>
      </c>
      <c r="I382">
        <v>31.9</v>
      </c>
      <c r="J382" t="s">
        <v>96</v>
      </c>
      <c r="K382" t="s">
        <v>1030</v>
      </c>
      <c r="L382" t="s">
        <v>48</v>
      </c>
      <c r="M382" t="s">
        <v>648</v>
      </c>
      <c r="N382" t="s">
        <v>100</v>
      </c>
      <c r="O382">
        <v>125</v>
      </c>
      <c r="Q382">
        <v>0</v>
      </c>
      <c r="R382">
        <v>0</v>
      </c>
      <c r="T382" t="s">
        <v>62</v>
      </c>
      <c r="U382" t="s">
        <v>39</v>
      </c>
      <c r="V382" t="s">
        <v>52</v>
      </c>
      <c r="W382" t="s">
        <v>52</v>
      </c>
      <c r="X382">
        <v>2024</v>
      </c>
      <c r="Y382" t="s">
        <v>82</v>
      </c>
      <c r="Z382" t="s">
        <v>83</v>
      </c>
    </row>
    <row r="383" spans="1:26">
      <c r="A383" t="s">
        <v>1031</v>
      </c>
      <c r="B383" t="s">
        <v>108</v>
      </c>
      <c r="C383" t="s">
        <v>67</v>
      </c>
      <c r="D383" t="s">
        <v>29</v>
      </c>
      <c r="E383" t="s">
        <v>30</v>
      </c>
      <c r="F383" t="s">
        <v>68</v>
      </c>
      <c r="G383" t="s">
        <v>32</v>
      </c>
      <c r="H383">
        <v>3.8</v>
      </c>
      <c r="I383">
        <v>13</v>
      </c>
      <c r="J383" t="s">
        <v>33</v>
      </c>
      <c r="K383" t="s">
        <v>1032</v>
      </c>
      <c r="L383" t="s">
        <v>98</v>
      </c>
      <c r="M383" t="s">
        <v>1014</v>
      </c>
      <c r="N383" t="s">
        <v>50</v>
      </c>
      <c r="O383">
        <v>5</v>
      </c>
      <c r="Q383">
        <v>0</v>
      </c>
      <c r="R383">
        <v>500</v>
      </c>
      <c r="T383" t="s">
        <v>38</v>
      </c>
      <c r="U383" t="s">
        <v>39</v>
      </c>
      <c r="V383" t="s">
        <v>39</v>
      </c>
      <c r="W383" t="s">
        <v>52</v>
      </c>
      <c r="X383">
        <v>2022</v>
      </c>
      <c r="Y383" t="s">
        <v>114</v>
      </c>
      <c r="Z383" t="s">
        <v>41</v>
      </c>
    </row>
    <row r="384" spans="1:26">
      <c r="A384" t="s">
        <v>1033</v>
      </c>
      <c r="B384" t="s">
        <v>116</v>
      </c>
      <c r="C384" t="s">
        <v>76</v>
      </c>
      <c r="D384" t="s">
        <v>77</v>
      </c>
      <c r="E384" t="s">
        <v>168</v>
      </c>
      <c r="F384" t="s">
        <v>149</v>
      </c>
      <c r="G384" t="s">
        <v>32</v>
      </c>
      <c r="H384">
        <v>8.3000000000000007</v>
      </c>
      <c r="I384">
        <v>27.5</v>
      </c>
      <c r="J384" t="s">
        <v>33</v>
      </c>
      <c r="K384" t="s">
        <v>1034</v>
      </c>
      <c r="L384" t="s">
        <v>48</v>
      </c>
      <c r="M384" t="s">
        <v>1035</v>
      </c>
      <c r="N384" t="s">
        <v>71</v>
      </c>
      <c r="O384">
        <v>54</v>
      </c>
      <c r="P384" t="s">
        <v>230</v>
      </c>
      <c r="Q384">
        <v>3643</v>
      </c>
      <c r="R384">
        <v>500</v>
      </c>
      <c r="S384" t="s">
        <v>73</v>
      </c>
      <c r="T384" t="s">
        <v>62</v>
      </c>
      <c r="U384" t="s">
        <v>39</v>
      </c>
      <c r="V384" t="s">
        <v>52</v>
      </c>
      <c r="W384" t="s">
        <v>39</v>
      </c>
      <c r="X384">
        <v>2022</v>
      </c>
      <c r="Y384" t="s">
        <v>114</v>
      </c>
      <c r="Z384" t="s">
        <v>41</v>
      </c>
    </row>
    <row r="385" spans="1:26">
      <c r="A385" t="s">
        <v>1036</v>
      </c>
      <c r="B385" t="s">
        <v>43</v>
      </c>
      <c r="C385" t="s">
        <v>102</v>
      </c>
      <c r="D385" t="s">
        <v>29</v>
      </c>
      <c r="E385" t="s">
        <v>30</v>
      </c>
      <c r="F385" t="s">
        <v>68</v>
      </c>
      <c r="G385" t="s">
        <v>32</v>
      </c>
      <c r="H385">
        <v>9.4</v>
      </c>
      <c r="I385">
        <v>32.200000000000003</v>
      </c>
      <c r="J385" t="s">
        <v>33</v>
      </c>
      <c r="K385" t="s">
        <v>582</v>
      </c>
      <c r="L385" t="s">
        <v>35</v>
      </c>
      <c r="M385" t="s">
        <v>135</v>
      </c>
      <c r="N385" t="s">
        <v>71</v>
      </c>
      <c r="O385">
        <v>78</v>
      </c>
      <c r="P385" t="s">
        <v>89</v>
      </c>
      <c r="Q385">
        <v>4590</v>
      </c>
      <c r="R385">
        <v>0</v>
      </c>
      <c r="S385" t="s">
        <v>152</v>
      </c>
      <c r="T385" t="s">
        <v>62</v>
      </c>
      <c r="U385" t="s">
        <v>39</v>
      </c>
      <c r="V385" t="s">
        <v>52</v>
      </c>
      <c r="W385" t="s">
        <v>52</v>
      </c>
      <c r="X385">
        <v>2022</v>
      </c>
      <c r="Y385" t="s">
        <v>53</v>
      </c>
      <c r="Z385" t="s">
        <v>54</v>
      </c>
    </row>
    <row r="386" spans="1:26">
      <c r="A386" t="s">
        <v>1037</v>
      </c>
      <c r="B386" t="s">
        <v>43</v>
      </c>
      <c r="C386" t="s">
        <v>102</v>
      </c>
      <c r="D386" t="s">
        <v>29</v>
      </c>
      <c r="E386" t="s">
        <v>195</v>
      </c>
      <c r="F386" t="s">
        <v>160</v>
      </c>
      <c r="G386" t="s">
        <v>58</v>
      </c>
      <c r="H386">
        <v>7</v>
      </c>
      <c r="I386">
        <v>1</v>
      </c>
      <c r="J386" t="s">
        <v>96</v>
      </c>
      <c r="K386" t="s">
        <v>1038</v>
      </c>
      <c r="L386" t="s">
        <v>140</v>
      </c>
      <c r="M386" t="s">
        <v>1039</v>
      </c>
      <c r="N386" t="s">
        <v>71</v>
      </c>
      <c r="O386">
        <v>130</v>
      </c>
      <c r="P386" t="s">
        <v>230</v>
      </c>
      <c r="Q386">
        <v>1905</v>
      </c>
      <c r="R386">
        <v>5000</v>
      </c>
      <c r="S386" t="s">
        <v>73</v>
      </c>
      <c r="T386" t="s">
        <v>81</v>
      </c>
      <c r="U386" t="s">
        <v>52</v>
      </c>
      <c r="V386" t="s">
        <v>52</v>
      </c>
      <c r="W386" t="s">
        <v>52</v>
      </c>
      <c r="X386">
        <v>2023</v>
      </c>
      <c r="Y386" t="s">
        <v>53</v>
      </c>
      <c r="Z386" t="s">
        <v>54</v>
      </c>
    </row>
    <row r="387" spans="1:26">
      <c r="A387" t="s">
        <v>1040</v>
      </c>
      <c r="B387" t="s">
        <v>108</v>
      </c>
      <c r="C387" t="s">
        <v>28</v>
      </c>
      <c r="D387" t="s">
        <v>77</v>
      </c>
      <c r="E387" t="s">
        <v>143</v>
      </c>
      <c r="F387" t="s">
        <v>46</v>
      </c>
      <c r="G387" t="s">
        <v>58</v>
      </c>
      <c r="H387">
        <v>5.0999999999999996</v>
      </c>
      <c r="I387">
        <v>18.2</v>
      </c>
      <c r="J387" t="s">
        <v>144</v>
      </c>
      <c r="K387" t="s">
        <v>578</v>
      </c>
      <c r="L387" t="s">
        <v>35</v>
      </c>
      <c r="M387" t="s">
        <v>585</v>
      </c>
      <c r="N387" t="s">
        <v>100</v>
      </c>
      <c r="O387">
        <v>91</v>
      </c>
      <c r="Q387">
        <v>0</v>
      </c>
      <c r="R387">
        <v>0</v>
      </c>
      <c r="T387" t="s">
        <v>62</v>
      </c>
      <c r="U387" t="s">
        <v>39</v>
      </c>
      <c r="V387" t="s">
        <v>52</v>
      </c>
      <c r="W387" t="s">
        <v>52</v>
      </c>
      <c r="X387">
        <v>2023</v>
      </c>
      <c r="Y387" t="s">
        <v>106</v>
      </c>
      <c r="Z387" t="s">
        <v>83</v>
      </c>
    </row>
    <row r="388" spans="1:26">
      <c r="A388" t="s">
        <v>1041</v>
      </c>
      <c r="B388" t="s">
        <v>108</v>
      </c>
      <c r="C388" t="s">
        <v>173</v>
      </c>
      <c r="D388" t="s">
        <v>29</v>
      </c>
      <c r="E388" t="s">
        <v>244</v>
      </c>
      <c r="F388" t="s">
        <v>149</v>
      </c>
      <c r="G388" t="s">
        <v>58</v>
      </c>
      <c r="H388">
        <v>6</v>
      </c>
      <c r="I388">
        <v>13.8</v>
      </c>
      <c r="J388" t="s">
        <v>20</v>
      </c>
      <c r="K388" t="s">
        <v>1042</v>
      </c>
      <c r="L388" t="s">
        <v>126</v>
      </c>
      <c r="M388" t="s">
        <v>1043</v>
      </c>
      <c r="N388" t="s">
        <v>171</v>
      </c>
      <c r="O388">
        <v>22</v>
      </c>
      <c r="Q388">
        <v>0</v>
      </c>
      <c r="R388">
        <v>0</v>
      </c>
      <c r="T388" t="s">
        <v>51</v>
      </c>
      <c r="U388" t="s">
        <v>52</v>
      </c>
      <c r="V388" t="s">
        <v>39</v>
      </c>
      <c r="W388" t="s">
        <v>39</v>
      </c>
      <c r="X388">
        <v>2022</v>
      </c>
      <c r="Y388" t="s">
        <v>312</v>
      </c>
      <c r="Z388" t="s">
        <v>83</v>
      </c>
    </row>
    <row r="389" spans="1:26">
      <c r="A389" t="s">
        <v>1044</v>
      </c>
      <c r="B389" t="s">
        <v>66</v>
      </c>
      <c r="C389" t="s">
        <v>28</v>
      </c>
      <c r="D389" t="s">
        <v>77</v>
      </c>
      <c r="E389" t="s">
        <v>260</v>
      </c>
      <c r="F389" t="s">
        <v>95</v>
      </c>
      <c r="G389" t="s">
        <v>58</v>
      </c>
      <c r="H389">
        <v>4.8</v>
      </c>
      <c r="I389">
        <v>18.5</v>
      </c>
      <c r="J389" t="s">
        <v>144</v>
      </c>
      <c r="K389" t="s">
        <v>175</v>
      </c>
      <c r="L389" t="s">
        <v>126</v>
      </c>
      <c r="M389" t="s">
        <v>713</v>
      </c>
      <c r="N389" t="s">
        <v>50</v>
      </c>
      <c r="O389">
        <v>4</v>
      </c>
      <c r="Q389">
        <v>0</v>
      </c>
      <c r="R389">
        <v>0</v>
      </c>
      <c r="T389" t="s">
        <v>62</v>
      </c>
      <c r="U389" t="s">
        <v>39</v>
      </c>
      <c r="V389" t="s">
        <v>52</v>
      </c>
      <c r="W389" t="s">
        <v>52</v>
      </c>
      <c r="X389">
        <v>2023</v>
      </c>
      <c r="Y389" t="s">
        <v>106</v>
      </c>
      <c r="Z389" t="s">
        <v>83</v>
      </c>
    </row>
    <row r="390" spans="1:26">
      <c r="A390" t="s">
        <v>1045</v>
      </c>
      <c r="B390" t="s">
        <v>66</v>
      </c>
      <c r="C390" t="s">
        <v>121</v>
      </c>
      <c r="D390" t="s">
        <v>29</v>
      </c>
      <c r="E390" t="s">
        <v>56</v>
      </c>
      <c r="F390" t="s">
        <v>160</v>
      </c>
      <c r="G390" t="s">
        <v>32</v>
      </c>
      <c r="H390">
        <v>1.6</v>
      </c>
      <c r="I390">
        <v>29.4</v>
      </c>
      <c r="J390" t="s">
        <v>96</v>
      </c>
      <c r="K390" t="s">
        <v>192</v>
      </c>
      <c r="L390" t="s">
        <v>98</v>
      </c>
      <c r="M390" t="s">
        <v>1046</v>
      </c>
      <c r="N390" t="s">
        <v>37</v>
      </c>
      <c r="O390">
        <v>87</v>
      </c>
      <c r="Q390">
        <v>0</v>
      </c>
      <c r="R390">
        <v>1000</v>
      </c>
      <c r="T390" t="s">
        <v>136</v>
      </c>
      <c r="U390" t="s">
        <v>39</v>
      </c>
      <c r="V390" t="s">
        <v>52</v>
      </c>
      <c r="W390" t="s">
        <v>52</v>
      </c>
      <c r="X390">
        <v>2023</v>
      </c>
      <c r="Y390" t="s">
        <v>82</v>
      </c>
      <c r="Z390" t="s">
        <v>83</v>
      </c>
    </row>
    <row r="391" spans="1:26">
      <c r="A391" t="s">
        <v>1047</v>
      </c>
      <c r="B391" t="s">
        <v>43</v>
      </c>
      <c r="C391" t="s">
        <v>76</v>
      </c>
      <c r="D391" t="s">
        <v>77</v>
      </c>
      <c r="E391" t="s">
        <v>168</v>
      </c>
      <c r="F391" t="s">
        <v>95</v>
      </c>
      <c r="G391" t="s">
        <v>58</v>
      </c>
      <c r="H391">
        <v>5.9</v>
      </c>
      <c r="I391">
        <v>8.5</v>
      </c>
      <c r="J391" t="s">
        <v>96</v>
      </c>
      <c r="K391" t="s">
        <v>1048</v>
      </c>
      <c r="L391" t="s">
        <v>35</v>
      </c>
      <c r="M391" t="s">
        <v>1049</v>
      </c>
      <c r="N391" t="s">
        <v>71</v>
      </c>
      <c r="O391">
        <v>117</v>
      </c>
      <c r="P391" t="s">
        <v>112</v>
      </c>
      <c r="Q391">
        <v>4000</v>
      </c>
      <c r="R391">
        <v>0</v>
      </c>
      <c r="S391" t="s">
        <v>73</v>
      </c>
      <c r="T391" t="s">
        <v>81</v>
      </c>
      <c r="U391" t="s">
        <v>52</v>
      </c>
      <c r="V391" t="s">
        <v>52</v>
      </c>
      <c r="W391" t="s">
        <v>52</v>
      </c>
      <c r="X391">
        <v>2022</v>
      </c>
      <c r="Y391" t="s">
        <v>91</v>
      </c>
      <c r="Z391" t="s">
        <v>64</v>
      </c>
    </row>
    <row r="392" spans="1:26">
      <c r="A392" t="s">
        <v>1050</v>
      </c>
      <c r="B392" t="s">
        <v>108</v>
      </c>
      <c r="C392" t="s">
        <v>173</v>
      </c>
      <c r="D392" t="s">
        <v>77</v>
      </c>
      <c r="E392" t="s">
        <v>168</v>
      </c>
      <c r="F392" t="s">
        <v>109</v>
      </c>
      <c r="G392" t="s">
        <v>32</v>
      </c>
      <c r="H392">
        <v>2.5</v>
      </c>
      <c r="I392">
        <v>23.3</v>
      </c>
      <c r="J392" t="s">
        <v>96</v>
      </c>
      <c r="K392" t="s">
        <v>1051</v>
      </c>
      <c r="L392" t="s">
        <v>140</v>
      </c>
      <c r="M392" t="s">
        <v>1052</v>
      </c>
      <c r="N392" t="s">
        <v>50</v>
      </c>
      <c r="O392">
        <v>20</v>
      </c>
      <c r="Q392">
        <v>0</v>
      </c>
      <c r="R392">
        <v>1000</v>
      </c>
      <c r="T392" t="s">
        <v>62</v>
      </c>
      <c r="U392" t="s">
        <v>39</v>
      </c>
      <c r="V392" t="s">
        <v>39</v>
      </c>
      <c r="W392" t="s">
        <v>52</v>
      </c>
      <c r="X392">
        <v>2022</v>
      </c>
      <c r="Y392" t="s">
        <v>40</v>
      </c>
      <c r="Z392" t="s">
        <v>41</v>
      </c>
    </row>
    <row r="393" spans="1:26">
      <c r="A393" t="s">
        <v>1053</v>
      </c>
      <c r="B393" t="s">
        <v>43</v>
      </c>
      <c r="C393" t="s">
        <v>173</v>
      </c>
      <c r="D393" t="s">
        <v>29</v>
      </c>
      <c r="E393" t="s">
        <v>117</v>
      </c>
      <c r="F393" t="s">
        <v>68</v>
      </c>
      <c r="G393" t="s">
        <v>32</v>
      </c>
      <c r="H393">
        <v>5.4</v>
      </c>
      <c r="I393">
        <v>1.7</v>
      </c>
      <c r="J393" t="s">
        <v>144</v>
      </c>
      <c r="K393" t="s">
        <v>199</v>
      </c>
      <c r="L393" t="s">
        <v>48</v>
      </c>
      <c r="M393" t="s">
        <v>546</v>
      </c>
      <c r="N393" t="s">
        <v>100</v>
      </c>
      <c r="O393">
        <v>81</v>
      </c>
      <c r="Q393">
        <v>0</v>
      </c>
      <c r="R393">
        <v>0</v>
      </c>
      <c r="T393" t="s">
        <v>51</v>
      </c>
      <c r="U393" t="s">
        <v>52</v>
      </c>
      <c r="V393" t="s">
        <v>52</v>
      </c>
      <c r="W393" t="s">
        <v>39</v>
      </c>
      <c r="X393">
        <v>2024</v>
      </c>
      <c r="Y393" t="s">
        <v>40</v>
      </c>
      <c r="Z393" t="s">
        <v>41</v>
      </c>
    </row>
    <row r="394" spans="1:26">
      <c r="A394" t="s">
        <v>1054</v>
      </c>
      <c r="B394" t="s">
        <v>108</v>
      </c>
      <c r="C394" t="s">
        <v>67</v>
      </c>
      <c r="D394" t="s">
        <v>77</v>
      </c>
      <c r="E394" t="s">
        <v>78</v>
      </c>
      <c r="F394" t="s">
        <v>160</v>
      </c>
      <c r="G394" t="s">
        <v>32</v>
      </c>
      <c r="H394">
        <v>4.8</v>
      </c>
      <c r="I394">
        <v>17.600000000000001</v>
      </c>
      <c r="J394" t="s">
        <v>33</v>
      </c>
      <c r="K394" t="s">
        <v>1055</v>
      </c>
      <c r="L394" t="s">
        <v>35</v>
      </c>
      <c r="M394" t="s">
        <v>873</v>
      </c>
      <c r="N394" t="s">
        <v>71</v>
      </c>
      <c r="O394">
        <v>122</v>
      </c>
      <c r="P394" t="s">
        <v>105</v>
      </c>
      <c r="Q394">
        <v>7150</v>
      </c>
      <c r="R394">
        <v>0</v>
      </c>
      <c r="S394" t="s">
        <v>73</v>
      </c>
      <c r="T394" t="s">
        <v>81</v>
      </c>
      <c r="U394" t="s">
        <v>39</v>
      </c>
      <c r="V394" t="s">
        <v>52</v>
      </c>
      <c r="W394" t="s">
        <v>39</v>
      </c>
      <c r="X394">
        <v>2024</v>
      </c>
      <c r="Y394" t="s">
        <v>211</v>
      </c>
      <c r="Z394" t="s">
        <v>41</v>
      </c>
    </row>
    <row r="395" spans="1:26">
      <c r="A395" t="s">
        <v>1056</v>
      </c>
      <c r="B395" t="s">
        <v>116</v>
      </c>
      <c r="C395" t="s">
        <v>102</v>
      </c>
      <c r="D395" t="s">
        <v>122</v>
      </c>
      <c r="E395" t="s">
        <v>130</v>
      </c>
      <c r="F395" t="s">
        <v>124</v>
      </c>
      <c r="G395" t="s">
        <v>58</v>
      </c>
      <c r="H395">
        <v>11.9</v>
      </c>
      <c r="I395">
        <v>14.7</v>
      </c>
      <c r="J395" t="s">
        <v>156</v>
      </c>
      <c r="K395" t="s">
        <v>1057</v>
      </c>
      <c r="L395" t="s">
        <v>60</v>
      </c>
      <c r="M395" t="s">
        <v>687</v>
      </c>
      <c r="N395" t="s">
        <v>171</v>
      </c>
      <c r="O395">
        <v>110</v>
      </c>
      <c r="Q395">
        <v>0</v>
      </c>
      <c r="R395">
        <v>0</v>
      </c>
      <c r="T395" t="s">
        <v>62</v>
      </c>
      <c r="U395" t="s">
        <v>39</v>
      </c>
      <c r="V395" t="s">
        <v>52</v>
      </c>
      <c r="W395" t="s">
        <v>39</v>
      </c>
      <c r="X395">
        <v>2022</v>
      </c>
      <c r="Y395" t="s">
        <v>40</v>
      </c>
      <c r="Z395" t="s">
        <v>41</v>
      </c>
    </row>
    <row r="396" spans="1:26">
      <c r="A396" t="s">
        <v>1058</v>
      </c>
      <c r="B396" t="s">
        <v>108</v>
      </c>
      <c r="C396" t="s">
        <v>44</v>
      </c>
      <c r="D396" t="s">
        <v>29</v>
      </c>
      <c r="E396" t="s">
        <v>30</v>
      </c>
      <c r="F396" t="s">
        <v>160</v>
      </c>
      <c r="G396" t="s">
        <v>58</v>
      </c>
      <c r="H396">
        <v>0.5</v>
      </c>
      <c r="I396">
        <v>23.2</v>
      </c>
      <c r="J396" t="s">
        <v>156</v>
      </c>
      <c r="K396" t="s">
        <v>111</v>
      </c>
      <c r="L396" t="s">
        <v>126</v>
      </c>
      <c r="M396" t="s">
        <v>970</v>
      </c>
      <c r="N396" t="s">
        <v>71</v>
      </c>
      <c r="O396">
        <v>44</v>
      </c>
      <c r="P396" t="s">
        <v>105</v>
      </c>
      <c r="Q396">
        <v>3705</v>
      </c>
      <c r="R396">
        <v>0</v>
      </c>
      <c r="S396" t="s">
        <v>73</v>
      </c>
      <c r="T396" t="s">
        <v>51</v>
      </c>
      <c r="U396" t="s">
        <v>52</v>
      </c>
      <c r="V396" t="s">
        <v>52</v>
      </c>
      <c r="W396" t="s">
        <v>52</v>
      </c>
      <c r="X396">
        <v>2023</v>
      </c>
      <c r="Y396" t="s">
        <v>128</v>
      </c>
      <c r="Z396" t="s">
        <v>64</v>
      </c>
    </row>
    <row r="397" spans="1:26">
      <c r="A397" t="s">
        <v>1059</v>
      </c>
      <c r="B397" t="s">
        <v>66</v>
      </c>
      <c r="C397" t="s">
        <v>67</v>
      </c>
      <c r="D397" t="s">
        <v>122</v>
      </c>
      <c r="E397" t="s">
        <v>202</v>
      </c>
      <c r="F397" t="s">
        <v>68</v>
      </c>
      <c r="G397" t="s">
        <v>32</v>
      </c>
      <c r="H397">
        <v>6</v>
      </c>
      <c r="I397">
        <v>28.5</v>
      </c>
      <c r="J397" t="s">
        <v>33</v>
      </c>
      <c r="K397" t="s">
        <v>134</v>
      </c>
      <c r="L397" t="s">
        <v>126</v>
      </c>
      <c r="M397" t="s">
        <v>1060</v>
      </c>
      <c r="N397" t="s">
        <v>71</v>
      </c>
      <c r="O397">
        <v>126</v>
      </c>
      <c r="P397" t="s">
        <v>89</v>
      </c>
      <c r="Q397">
        <v>1343</v>
      </c>
      <c r="R397">
        <v>0</v>
      </c>
      <c r="S397" t="s">
        <v>90</v>
      </c>
      <c r="T397" t="s">
        <v>38</v>
      </c>
      <c r="U397" t="s">
        <v>39</v>
      </c>
      <c r="V397" t="s">
        <v>52</v>
      </c>
      <c r="W397" t="s">
        <v>52</v>
      </c>
      <c r="X397">
        <v>2022</v>
      </c>
      <c r="Y397" t="s">
        <v>40</v>
      </c>
      <c r="Z397" t="s">
        <v>41</v>
      </c>
    </row>
    <row r="398" spans="1:26">
      <c r="A398" t="s">
        <v>1061</v>
      </c>
      <c r="B398" t="s">
        <v>27</v>
      </c>
      <c r="C398" t="s">
        <v>121</v>
      </c>
      <c r="D398" t="s">
        <v>77</v>
      </c>
      <c r="E398" t="s">
        <v>168</v>
      </c>
      <c r="F398" t="s">
        <v>57</v>
      </c>
      <c r="G398" t="s">
        <v>58</v>
      </c>
      <c r="H398">
        <v>7.1</v>
      </c>
      <c r="I398">
        <v>9.9</v>
      </c>
      <c r="J398" t="s">
        <v>33</v>
      </c>
      <c r="K398" t="s">
        <v>477</v>
      </c>
      <c r="L398" t="s">
        <v>35</v>
      </c>
      <c r="M398" t="s">
        <v>1062</v>
      </c>
      <c r="N398" t="s">
        <v>71</v>
      </c>
      <c r="O398">
        <v>58</v>
      </c>
      <c r="P398" t="s">
        <v>72</v>
      </c>
      <c r="Q398">
        <v>7736</v>
      </c>
      <c r="R398">
        <v>0</v>
      </c>
      <c r="S398" t="s">
        <v>152</v>
      </c>
      <c r="T398" t="s">
        <v>136</v>
      </c>
      <c r="U398" t="s">
        <v>39</v>
      </c>
      <c r="V398" t="s">
        <v>39</v>
      </c>
      <c r="W398" t="s">
        <v>52</v>
      </c>
      <c r="X398">
        <v>2024</v>
      </c>
      <c r="Y398" t="s">
        <v>74</v>
      </c>
      <c r="Z398" t="s">
        <v>54</v>
      </c>
    </row>
    <row r="399" spans="1:26">
      <c r="A399" t="s">
        <v>1063</v>
      </c>
      <c r="B399" t="s">
        <v>27</v>
      </c>
      <c r="C399" t="s">
        <v>121</v>
      </c>
      <c r="D399" t="s">
        <v>85</v>
      </c>
      <c r="E399" t="s">
        <v>402</v>
      </c>
      <c r="F399" t="s">
        <v>124</v>
      </c>
      <c r="G399" t="s">
        <v>32</v>
      </c>
      <c r="H399">
        <v>8.5</v>
      </c>
      <c r="I399">
        <v>30.3</v>
      </c>
      <c r="J399" t="s">
        <v>33</v>
      </c>
      <c r="K399" t="s">
        <v>1064</v>
      </c>
      <c r="L399" t="s">
        <v>98</v>
      </c>
      <c r="M399" t="s">
        <v>127</v>
      </c>
      <c r="N399" t="s">
        <v>71</v>
      </c>
      <c r="O399">
        <v>117</v>
      </c>
      <c r="P399" t="s">
        <v>105</v>
      </c>
      <c r="Q399">
        <v>576</v>
      </c>
      <c r="R399">
        <v>2000</v>
      </c>
      <c r="S399" t="s">
        <v>90</v>
      </c>
      <c r="T399" t="s">
        <v>62</v>
      </c>
      <c r="U399" t="s">
        <v>39</v>
      </c>
      <c r="V399" t="s">
        <v>52</v>
      </c>
      <c r="W399" t="s">
        <v>52</v>
      </c>
      <c r="X399">
        <v>2024</v>
      </c>
      <c r="Y399" t="s">
        <v>128</v>
      </c>
      <c r="Z399" t="s">
        <v>64</v>
      </c>
    </row>
    <row r="400" spans="1:26">
      <c r="A400" t="s">
        <v>1065</v>
      </c>
      <c r="B400" t="s">
        <v>116</v>
      </c>
      <c r="C400" t="s">
        <v>102</v>
      </c>
      <c r="D400" t="s">
        <v>122</v>
      </c>
      <c r="E400" t="s">
        <v>130</v>
      </c>
      <c r="F400" t="s">
        <v>57</v>
      </c>
      <c r="G400" t="s">
        <v>32</v>
      </c>
      <c r="H400">
        <v>5.3</v>
      </c>
      <c r="I400">
        <v>11.5</v>
      </c>
      <c r="J400" t="s">
        <v>96</v>
      </c>
      <c r="K400" t="s">
        <v>347</v>
      </c>
      <c r="L400" t="s">
        <v>60</v>
      </c>
      <c r="M400" t="s">
        <v>355</v>
      </c>
      <c r="N400" t="s">
        <v>71</v>
      </c>
      <c r="O400">
        <v>62</v>
      </c>
      <c r="P400" t="s">
        <v>89</v>
      </c>
      <c r="Q400">
        <v>1729</v>
      </c>
      <c r="R400">
        <v>5000</v>
      </c>
      <c r="S400" t="s">
        <v>152</v>
      </c>
      <c r="T400" t="s">
        <v>62</v>
      </c>
      <c r="U400" t="s">
        <v>39</v>
      </c>
      <c r="V400" t="s">
        <v>52</v>
      </c>
      <c r="W400" t="s">
        <v>52</v>
      </c>
      <c r="X400">
        <v>2022</v>
      </c>
      <c r="Y400" t="s">
        <v>91</v>
      </c>
      <c r="Z400" t="s">
        <v>64</v>
      </c>
    </row>
    <row r="401" spans="1:26">
      <c r="A401" t="s">
        <v>1066</v>
      </c>
      <c r="B401" t="s">
        <v>108</v>
      </c>
      <c r="C401" t="s">
        <v>44</v>
      </c>
      <c r="D401" t="s">
        <v>29</v>
      </c>
      <c r="E401" t="s">
        <v>45</v>
      </c>
      <c r="F401" t="s">
        <v>238</v>
      </c>
      <c r="G401" t="s">
        <v>58</v>
      </c>
      <c r="H401">
        <v>5.6</v>
      </c>
      <c r="I401">
        <v>19.8</v>
      </c>
      <c r="J401" t="s">
        <v>33</v>
      </c>
      <c r="K401" t="s">
        <v>1067</v>
      </c>
      <c r="L401" t="s">
        <v>60</v>
      </c>
      <c r="M401" t="s">
        <v>861</v>
      </c>
      <c r="N401" t="s">
        <v>37</v>
      </c>
      <c r="O401">
        <v>8</v>
      </c>
      <c r="Q401">
        <v>0</v>
      </c>
      <c r="R401">
        <v>500</v>
      </c>
      <c r="T401" t="s">
        <v>81</v>
      </c>
      <c r="U401" t="s">
        <v>39</v>
      </c>
      <c r="V401" t="s">
        <v>52</v>
      </c>
      <c r="W401" t="s">
        <v>52</v>
      </c>
      <c r="X401">
        <v>2023</v>
      </c>
      <c r="Y401" t="s">
        <v>106</v>
      </c>
      <c r="Z401" t="s">
        <v>83</v>
      </c>
    </row>
    <row r="402" spans="1:26">
      <c r="A402" t="s">
        <v>1068</v>
      </c>
      <c r="B402" t="s">
        <v>93</v>
      </c>
      <c r="C402" t="s">
        <v>28</v>
      </c>
      <c r="D402" t="s">
        <v>29</v>
      </c>
      <c r="E402" t="s">
        <v>45</v>
      </c>
      <c r="F402" t="s">
        <v>57</v>
      </c>
      <c r="G402" t="s">
        <v>32</v>
      </c>
      <c r="H402">
        <v>10.8</v>
      </c>
      <c r="I402">
        <v>11.3</v>
      </c>
      <c r="J402" t="s">
        <v>156</v>
      </c>
      <c r="K402" t="s">
        <v>397</v>
      </c>
      <c r="L402" t="s">
        <v>98</v>
      </c>
      <c r="M402" t="s">
        <v>964</v>
      </c>
      <c r="N402" t="s">
        <v>71</v>
      </c>
      <c r="O402">
        <v>125</v>
      </c>
      <c r="P402" t="s">
        <v>230</v>
      </c>
      <c r="Q402">
        <v>1726</v>
      </c>
      <c r="R402">
        <v>5000</v>
      </c>
      <c r="S402" t="s">
        <v>90</v>
      </c>
      <c r="T402" t="s">
        <v>81</v>
      </c>
      <c r="U402" t="s">
        <v>39</v>
      </c>
      <c r="V402" t="s">
        <v>39</v>
      </c>
      <c r="W402" t="s">
        <v>39</v>
      </c>
      <c r="X402">
        <v>2022</v>
      </c>
      <c r="Y402" t="s">
        <v>312</v>
      </c>
      <c r="Z402" t="s">
        <v>83</v>
      </c>
    </row>
    <row r="403" spans="1:26">
      <c r="A403" t="s">
        <v>1069</v>
      </c>
      <c r="B403" t="s">
        <v>93</v>
      </c>
      <c r="C403" t="s">
        <v>67</v>
      </c>
      <c r="D403" t="s">
        <v>29</v>
      </c>
      <c r="E403" t="s">
        <v>94</v>
      </c>
      <c r="F403" t="s">
        <v>31</v>
      </c>
      <c r="G403" t="s">
        <v>32</v>
      </c>
      <c r="H403">
        <v>2.9</v>
      </c>
      <c r="I403">
        <v>4.7</v>
      </c>
      <c r="J403" t="s">
        <v>96</v>
      </c>
      <c r="K403" t="s">
        <v>1070</v>
      </c>
      <c r="L403" t="s">
        <v>98</v>
      </c>
      <c r="M403" t="s">
        <v>127</v>
      </c>
      <c r="N403" t="s">
        <v>50</v>
      </c>
      <c r="O403">
        <v>65</v>
      </c>
      <c r="Q403">
        <v>0</v>
      </c>
      <c r="R403">
        <v>0</v>
      </c>
      <c r="T403" t="s">
        <v>81</v>
      </c>
      <c r="U403" t="s">
        <v>52</v>
      </c>
      <c r="V403" t="s">
        <v>39</v>
      </c>
      <c r="W403" t="s">
        <v>52</v>
      </c>
      <c r="X403">
        <v>2024</v>
      </c>
      <c r="Y403" t="s">
        <v>63</v>
      </c>
      <c r="Z403" t="s">
        <v>64</v>
      </c>
    </row>
    <row r="404" spans="1:26">
      <c r="A404" t="s">
        <v>1071</v>
      </c>
      <c r="B404" t="s">
        <v>108</v>
      </c>
      <c r="C404" t="s">
        <v>67</v>
      </c>
      <c r="D404" t="s">
        <v>29</v>
      </c>
      <c r="E404" t="s">
        <v>45</v>
      </c>
      <c r="F404" t="s">
        <v>95</v>
      </c>
      <c r="G404" t="s">
        <v>32</v>
      </c>
      <c r="H404">
        <v>3.1</v>
      </c>
      <c r="I404">
        <v>20.8</v>
      </c>
      <c r="J404" t="s">
        <v>20</v>
      </c>
      <c r="K404" t="s">
        <v>1072</v>
      </c>
      <c r="L404" t="s">
        <v>126</v>
      </c>
      <c r="M404" t="s">
        <v>395</v>
      </c>
      <c r="N404" t="s">
        <v>50</v>
      </c>
      <c r="O404">
        <v>71</v>
      </c>
      <c r="Q404">
        <v>0</v>
      </c>
      <c r="R404">
        <v>1000</v>
      </c>
      <c r="T404" t="s">
        <v>136</v>
      </c>
      <c r="U404" t="s">
        <v>39</v>
      </c>
      <c r="V404" t="s">
        <v>52</v>
      </c>
      <c r="W404" t="s">
        <v>52</v>
      </c>
      <c r="X404">
        <v>2023</v>
      </c>
      <c r="Y404" t="s">
        <v>312</v>
      </c>
      <c r="Z404" t="s">
        <v>83</v>
      </c>
    </row>
    <row r="405" spans="1:26">
      <c r="A405" t="s">
        <v>1073</v>
      </c>
      <c r="B405" t="s">
        <v>116</v>
      </c>
      <c r="C405" t="s">
        <v>102</v>
      </c>
      <c r="D405" t="s">
        <v>122</v>
      </c>
      <c r="E405" t="s">
        <v>130</v>
      </c>
      <c r="F405" t="s">
        <v>160</v>
      </c>
      <c r="G405" t="s">
        <v>32</v>
      </c>
      <c r="H405">
        <v>10.1</v>
      </c>
      <c r="I405">
        <v>23.3</v>
      </c>
      <c r="J405" t="s">
        <v>33</v>
      </c>
      <c r="K405" t="s">
        <v>1074</v>
      </c>
      <c r="L405" t="s">
        <v>98</v>
      </c>
      <c r="M405" t="s">
        <v>1075</v>
      </c>
      <c r="N405" t="s">
        <v>71</v>
      </c>
      <c r="O405">
        <v>79</v>
      </c>
      <c r="P405" t="s">
        <v>72</v>
      </c>
      <c r="Q405">
        <v>2981</v>
      </c>
      <c r="R405">
        <v>0</v>
      </c>
      <c r="S405" t="s">
        <v>73</v>
      </c>
      <c r="T405" t="s">
        <v>62</v>
      </c>
      <c r="U405" t="s">
        <v>39</v>
      </c>
      <c r="V405" t="s">
        <v>52</v>
      </c>
      <c r="W405" t="s">
        <v>52</v>
      </c>
      <c r="X405">
        <v>2024</v>
      </c>
      <c r="Y405" t="s">
        <v>106</v>
      </c>
      <c r="Z405" t="s">
        <v>83</v>
      </c>
    </row>
    <row r="406" spans="1:26">
      <c r="A406" t="s">
        <v>1076</v>
      </c>
      <c r="B406" t="s">
        <v>108</v>
      </c>
      <c r="C406" t="s">
        <v>67</v>
      </c>
      <c r="D406" t="s">
        <v>77</v>
      </c>
      <c r="E406" t="s">
        <v>94</v>
      </c>
      <c r="F406" t="s">
        <v>57</v>
      </c>
      <c r="G406" t="s">
        <v>58</v>
      </c>
      <c r="H406">
        <v>2.6</v>
      </c>
      <c r="I406">
        <v>31.2</v>
      </c>
      <c r="J406" t="s">
        <v>33</v>
      </c>
      <c r="K406" t="s">
        <v>1077</v>
      </c>
      <c r="L406" t="s">
        <v>35</v>
      </c>
      <c r="M406" t="s">
        <v>1078</v>
      </c>
      <c r="N406" t="s">
        <v>71</v>
      </c>
      <c r="O406">
        <v>78</v>
      </c>
      <c r="P406" t="s">
        <v>112</v>
      </c>
      <c r="Q406">
        <v>4928</v>
      </c>
      <c r="R406">
        <v>0</v>
      </c>
      <c r="S406" t="s">
        <v>90</v>
      </c>
      <c r="T406" t="s">
        <v>136</v>
      </c>
      <c r="U406" t="s">
        <v>39</v>
      </c>
      <c r="V406" t="s">
        <v>52</v>
      </c>
      <c r="W406" t="s">
        <v>52</v>
      </c>
      <c r="X406">
        <v>2023</v>
      </c>
      <c r="Y406" t="s">
        <v>153</v>
      </c>
      <c r="Z406" t="s">
        <v>54</v>
      </c>
    </row>
    <row r="407" spans="1:26">
      <c r="A407" t="s">
        <v>1079</v>
      </c>
      <c r="B407" t="s">
        <v>27</v>
      </c>
      <c r="C407" t="s">
        <v>67</v>
      </c>
      <c r="D407" t="s">
        <v>29</v>
      </c>
      <c r="E407" t="s">
        <v>195</v>
      </c>
      <c r="F407" t="s">
        <v>149</v>
      </c>
      <c r="G407" t="s">
        <v>58</v>
      </c>
      <c r="H407">
        <v>6.1</v>
      </c>
      <c r="I407">
        <v>12.6</v>
      </c>
      <c r="J407" t="s">
        <v>96</v>
      </c>
      <c r="K407" t="s">
        <v>372</v>
      </c>
      <c r="L407" t="s">
        <v>35</v>
      </c>
      <c r="M407" t="s">
        <v>804</v>
      </c>
      <c r="N407" t="s">
        <v>61</v>
      </c>
      <c r="O407">
        <v>179</v>
      </c>
      <c r="Q407">
        <v>0</v>
      </c>
      <c r="R407">
        <v>0</v>
      </c>
      <c r="T407" t="s">
        <v>81</v>
      </c>
      <c r="U407" t="s">
        <v>52</v>
      </c>
      <c r="V407" t="s">
        <v>52</v>
      </c>
      <c r="W407" t="s">
        <v>52</v>
      </c>
      <c r="X407">
        <v>2022</v>
      </c>
      <c r="Y407" t="s">
        <v>128</v>
      </c>
      <c r="Z407" t="s">
        <v>64</v>
      </c>
    </row>
    <row r="408" spans="1:26">
      <c r="A408" t="s">
        <v>1080</v>
      </c>
      <c r="B408" t="s">
        <v>43</v>
      </c>
      <c r="C408" t="s">
        <v>102</v>
      </c>
      <c r="D408" t="s">
        <v>77</v>
      </c>
      <c r="E408" t="s">
        <v>94</v>
      </c>
      <c r="F408" t="s">
        <v>109</v>
      </c>
      <c r="G408" t="s">
        <v>58</v>
      </c>
      <c r="H408">
        <v>3.8</v>
      </c>
      <c r="I408">
        <v>3.3</v>
      </c>
      <c r="J408" t="s">
        <v>96</v>
      </c>
      <c r="K408" t="s">
        <v>984</v>
      </c>
      <c r="L408" t="s">
        <v>140</v>
      </c>
      <c r="M408" t="s">
        <v>403</v>
      </c>
      <c r="N408" t="s">
        <v>61</v>
      </c>
      <c r="O408">
        <v>161</v>
      </c>
      <c r="Q408">
        <v>0</v>
      </c>
      <c r="R408">
        <v>0</v>
      </c>
      <c r="T408" t="s">
        <v>136</v>
      </c>
      <c r="U408" t="s">
        <v>39</v>
      </c>
      <c r="V408" t="s">
        <v>52</v>
      </c>
      <c r="W408" t="s">
        <v>52</v>
      </c>
      <c r="X408">
        <v>2023</v>
      </c>
      <c r="Y408" t="s">
        <v>82</v>
      </c>
      <c r="Z408" t="s">
        <v>83</v>
      </c>
    </row>
    <row r="409" spans="1:26">
      <c r="A409" t="s">
        <v>1081</v>
      </c>
      <c r="B409" t="s">
        <v>108</v>
      </c>
      <c r="C409" t="s">
        <v>67</v>
      </c>
      <c r="D409" t="s">
        <v>77</v>
      </c>
      <c r="E409" t="s">
        <v>168</v>
      </c>
      <c r="F409" t="s">
        <v>68</v>
      </c>
      <c r="G409" t="s">
        <v>32</v>
      </c>
      <c r="H409">
        <v>9.6</v>
      </c>
      <c r="I409">
        <v>7.4</v>
      </c>
      <c r="J409" t="s">
        <v>144</v>
      </c>
      <c r="K409" t="s">
        <v>853</v>
      </c>
      <c r="L409" t="s">
        <v>140</v>
      </c>
      <c r="M409" t="s">
        <v>268</v>
      </c>
      <c r="N409" t="s">
        <v>171</v>
      </c>
      <c r="O409">
        <v>176</v>
      </c>
      <c r="Q409">
        <v>0</v>
      </c>
      <c r="R409">
        <v>0</v>
      </c>
      <c r="T409" t="s">
        <v>81</v>
      </c>
      <c r="U409" t="s">
        <v>39</v>
      </c>
      <c r="V409" t="s">
        <v>39</v>
      </c>
      <c r="W409" t="s">
        <v>52</v>
      </c>
      <c r="X409">
        <v>2022</v>
      </c>
      <c r="Y409" t="s">
        <v>63</v>
      </c>
      <c r="Z409" t="s">
        <v>64</v>
      </c>
    </row>
    <row r="410" spans="1:26">
      <c r="A410" t="s">
        <v>1082</v>
      </c>
      <c r="B410" t="s">
        <v>43</v>
      </c>
      <c r="C410" t="s">
        <v>28</v>
      </c>
      <c r="D410" t="s">
        <v>29</v>
      </c>
      <c r="E410" t="s">
        <v>117</v>
      </c>
      <c r="F410" t="s">
        <v>46</v>
      </c>
      <c r="G410" t="s">
        <v>58</v>
      </c>
      <c r="H410">
        <v>7.5</v>
      </c>
      <c r="I410">
        <v>21.2</v>
      </c>
      <c r="J410" t="s">
        <v>20</v>
      </c>
      <c r="K410" t="s">
        <v>1083</v>
      </c>
      <c r="L410" t="s">
        <v>35</v>
      </c>
      <c r="M410" t="s">
        <v>1084</v>
      </c>
      <c r="N410" t="s">
        <v>71</v>
      </c>
      <c r="O410">
        <v>68</v>
      </c>
      <c r="P410" t="s">
        <v>230</v>
      </c>
      <c r="Q410">
        <v>1703</v>
      </c>
      <c r="R410">
        <v>500</v>
      </c>
      <c r="S410" t="s">
        <v>90</v>
      </c>
      <c r="T410" t="s">
        <v>136</v>
      </c>
      <c r="U410" t="s">
        <v>52</v>
      </c>
      <c r="V410" t="s">
        <v>39</v>
      </c>
      <c r="W410" t="s">
        <v>52</v>
      </c>
      <c r="X410">
        <v>2023</v>
      </c>
      <c r="Y410" t="s">
        <v>82</v>
      </c>
      <c r="Z410" t="s">
        <v>83</v>
      </c>
    </row>
    <row r="411" spans="1:26">
      <c r="A411" t="s">
        <v>1085</v>
      </c>
      <c r="B411" t="s">
        <v>27</v>
      </c>
      <c r="C411" t="s">
        <v>102</v>
      </c>
      <c r="D411" t="s">
        <v>77</v>
      </c>
      <c r="E411" t="s">
        <v>363</v>
      </c>
      <c r="F411" t="s">
        <v>160</v>
      </c>
      <c r="G411" t="s">
        <v>58</v>
      </c>
      <c r="H411">
        <v>1.6</v>
      </c>
      <c r="I411">
        <v>30</v>
      </c>
      <c r="J411" t="s">
        <v>144</v>
      </c>
      <c r="K411" t="s">
        <v>862</v>
      </c>
      <c r="L411" t="s">
        <v>48</v>
      </c>
      <c r="M411" t="s">
        <v>1086</v>
      </c>
      <c r="N411" t="s">
        <v>50</v>
      </c>
      <c r="O411">
        <v>74</v>
      </c>
      <c r="Q411">
        <v>0</v>
      </c>
      <c r="R411">
        <v>1000</v>
      </c>
      <c r="T411" t="s">
        <v>136</v>
      </c>
      <c r="U411" t="s">
        <v>39</v>
      </c>
      <c r="V411" t="s">
        <v>39</v>
      </c>
      <c r="W411" t="s">
        <v>52</v>
      </c>
      <c r="X411">
        <v>2023</v>
      </c>
      <c r="Y411" t="s">
        <v>153</v>
      </c>
      <c r="Z411" t="s">
        <v>54</v>
      </c>
    </row>
    <row r="412" spans="1:26">
      <c r="A412" t="s">
        <v>1087</v>
      </c>
      <c r="B412" t="s">
        <v>116</v>
      </c>
      <c r="C412" t="s">
        <v>76</v>
      </c>
      <c r="D412" t="s">
        <v>29</v>
      </c>
      <c r="E412" t="s">
        <v>45</v>
      </c>
      <c r="F412" t="s">
        <v>149</v>
      </c>
      <c r="G412" t="s">
        <v>58</v>
      </c>
      <c r="H412">
        <v>7</v>
      </c>
      <c r="I412">
        <v>22.8</v>
      </c>
      <c r="J412" t="s">
        <v>96</v>
      </c>
      <c r="K412" t="s">
        <v>480</v>
      </c>
      <c r="L412" t="s">
        <v>60</v>
      </c>
      <c r="M412" t="s">
        <v>1088</v>
      </c>
      <c r="N412" t="s">
        <v>171</v>
      </c>
      <c r="O412">
        <v>64</v>
      </c>
      <c r="Q412">
        <v>0</v>
      </c>
      <c r="R412">
        <v>0</v>
      </c>
      <c r="T412" t="s">
        <v>136</v>
      </c>
      <c r="U412" t="s">
        <v>39</v>
      </c>
      <c r="V412" t="s">
        <v>52</v>
      </c>
      <c r="W412" t="s">
        <v>52</v>
      </c>
      <c r="X412">
        <v>2024</v>
      </c>
      <c r="Y412" t="s">
        <v>40</v>
      </c>
      <c r="Z412" t="s">
        <v>41</v>
      </c>
    </row>
    <row r="413" spans="1:26">
      <c r="A413" t="s">
        <v>1089</v>
      </c>
      <c r="B413" t="s">
        <v>108</v>
      </c>
      <c r="C413" t="s">
        <v>67</v>
      </c>
      <c r="D413" t="s">
        <v>85</v>
      </c>
      <c r="E413" t="s">
        <v>138</v>
      </c>
      <c r="F413" t="s">
        <v>31</v>
      </c>
      <c r="G413" t="s">
        <v>58</v>
      </c>
      <c r="H413">
        <v>0.7</v>
      </c>
      <c r="I413">
        <v>32.6</v>
      </c>
      <c r="J413" t="s">
        <v>33</v>
      </c>
      <c r="K413" t="s">
        <v>178</v>
      </c>
      <c r="L413" t="s">
        <v>60</v>
      </c>
      <c r="M413" t="s">
        <v>150</v>
      </c>
      <c r="N413" t="s">
        <v>71</v>
      </c>
      <c r="O413">
        <v>19</v>
      </c>
      <c r="P413" t="s">
        <v>105</v>
      </c>
      <c r="Q413">
        <v>2781</v>
      </c>
      <c r="R413">
        <v>0</v>
      </c>
      <c r="S413" t="s">
        <v>90</v>
      </c>
      <c r="T413" t="s">
        <v>51</v>
      </c>
      <c r="U413" t="s">
        <v>52</v>
      </c>
      <c r="V413" t="s">
        <v>52</v>
      </c>
      <c r="W413" t="s">
        <v>52</v>
      </c>
      <c r="X413">
        <v>2023</v>
      </c>
      <c r="Y413" t="s">
        <v>153</v>
      </c>
      <c r="Z413" t="s">
        <v>54</v>
      </c>
    </row>
    <row r="414" spans="1:26">
      <c r="A414" t="s">
        <v>1090</v>
      </c>
      <c r="B414" t="s">
        <v>43</v>
      </c>
      <c r="C414" t="s">
        <v>28</v>
      </c>
      <c r="D414" t="s">
        <v>77</v>
      </c>
      <c r="E414" t="s">
        <v>220</v>
      </c>
      <c r="F414" t="s">
        <v>46</v>
      </c>
      <c r="G414" t="s">
        <v>32</v>
      </c>
      <c r="H414">
        <v>11.2</v>
      </c>
      <c r="I414">
        <v>30.8</v>
      </c>
      <c r="J414" t="s">
        <v>33</v>
      </c>
      <c r="K414" t="s">
        <v>175</v>
      </c>
      <c r="L414" t="s">
        <v>60</v>
      </c>
      <c r="M414" t="s">
        <v>310</v>
      </c>
      <c r="N414" t="s">
        <v>71</v>
      </c>
      <c r="O414">
        <v>67</v>
      </c>
      <c r="P414" t="s">
        <v>230</v>
      </c>
      <c r="Q414">
        <v>7126</v>
      </c>
      <c r="R414">
        <v>500</v>
      </c>
      <c r="S414" t="s">
        <v>152</v>
      </c>
      <c r="T414" t="s">
        <v>38</v>
      </c>
      <c r="U414" t="s">
        <v>39</v>
      </c>
      <c r="V414" t="s">
        <v>52</v>
      </c>
      <c r="W414" t="s">
        <v>52</v>
      </c>
      <c r="X414">
        <v>2023</v>
      </c>
      <c r="Y414" t="s">
        <v>106</v>
      </c>
      <c r="Z414" t="s">
        <v>83</v>
      </c>
    </row>
    <row r="415" spans="1:26">
      <c r="A415" t="s">
        <v>1091</v>
      </c>
      <c r="B415" t="s">
        <v>43</v>
      </c>
      <c r="C415" t="s">
        <v>67</v>
      </c>
      <c r="D415" t="s">
        <v>122</v>
      </c>
      <c r="E415" t="s">
        <v>130</v>
      </c>
      <c r="F415" t="s">
        <v>149</v>
      </c>
      <c r="G415" t="s">
        <v>58</v>
      </c>
      <c r="H415">
        <v>6.3</v>
      </c>
      <c r="I415">
        <v>15.5</v>
      </c>
      <c r="J415" t="s">
        <v>20</v>
      </c>
      <c r="K415" t="s">
        <v>812</v>
      </c>
      <c r="L415" t="s">
        <v>98</v>
      </c>
      <c r="M415" t="s">
        <v>1092</v>
      </c>
      <c r="N415" t="s">
        <v>61</v>
      </c>
      <c r="O415">
        <v>68</v>
      </c>
      <c r="Q415">
        <v>0</v>
      </c>
      <c r="R415">
        <v>0</v>
      </c>
      <c r="T415" t="s">
        <v>136</v>
      </c>
      <c r="U415" t="s">
        <v>39</v>
      </c>
      <c r="V415" t="s">
        <v>39</v>
      </c>
      <c r="W415" t="s">
        <v>52</v>
      </c>
      <c r="X415">
        <v>2023</v>
      </c>
      <c r="Y415" t="s">
        <v>211</v>
      </c>
      <c r="Z415" t="s">
        <v>41</v>
      </c>
    </row>
    <row r="416" spans="1:26">
      <c r="A416" t="s">
        <v>1093</v>
      </c>
      <c r="B416" t="s">
        <v>116</v>
      </c>
      <c r="C416" t="s">
        <v>121</v>
      </c>
      <c r="D416" t="s">
        <v>77</v>
      </c>
      <c r="E416" t="s">
        <v>363</v>
      </c>
      <c r="F416" t="s">
        <v>238</v>
      </c>
      <c r="G416" t="s">
        <v>32</v>
      </c>
      <c r="H416">
        <v>2</v>
      </c>
      <c r="I416">
        <v>16.600000000000001</v>
      </c>
      <c r="J416" t="s">
        <v>33</v>
      </c>
      <c r="K416" t="s">
        <v>1094</v>
      </c>
      <c r="L416" t="s">
        <v>98</v>
      </c>
      <c r="M416" t="s">
        <v>621</v>
      </c>
      <c r="N416" t="s">
        <v>50</v>
      </c>
      <c r="O416">
        <v>10</v>
      </c>
      <c r="Q416">
        <v>0</v>
      </c>
      <c r="R416">
        <v>500</v>
      </c>
      <c r="T416" t="s">
        <v>62</v>
      </c>
      <c r="U416" t="s">
        <v>52</v>
      </c>
      <c r="V416" t="s">
        <v>52</v>
      </c>
      <c r="W416" t="s">
        <v>52</v>
      </c>
      <c r="X416">
        <v>2023</v>
      </c>
      <c r="Y416" t="s">
        <v>106</v>
      </c>
      <c r="Z416" t="s">
        <v>83</v>
      </c>
    </row>
    <row r="417" spans="1:26">
      <c r="A417" t="s">
        <v>1095</v>
      </c>
      <c r="B417" t="s">
        <v>43</v>
      </c>
      <c r="C417" t="s">
        <v>164</v>
      </c>
      <c r="D417" t="s">
        <v>29</v>
      </c>
      <c r="E417" t="s">
        <v>195</v>
      </c>
      <c r="F417" t="s">
        <v>109</v>
      </c>
      <c r="G417" t="s">
        <v>32</v>
      </c>
      <c r="H417">
        <v>1.2</v>
      </c>
      <c r="I417">
        <v>30.5</v>
      </c>
      <c r="J417" t="s">
        <v>20</v>
      </c>
      <c r="K417" t="s">
        <v>1096</v>
      </c>
      <c r="L417" t="s">
        <v>98</v>
      </c>
      <c r="M417" t="s">
        <v>1097</v>
      </c>
      <c r="N417" t="s">
        <v>171</v>
      </c>
      <c r="O417">
        <v>32</v>
      </c>
      <c r="Q417">
        <v>0</v>
      </c>
      <c r="R417">
        <v>0</v>
      </c>
      <c r="T417" t="s">
        <v>62</v>
      </c>
      <c r="U417" t="s">
        <v>39</v>
      </c>
      <c r="V417" t="s">
        <v>52</v>
      </c>
      <c r="W417" t="s">
        <v>39</v>
      </c>
      <c r="X417">
        <v>2022</v>
      </c>
      <c r="Y417" t="s">
        <v>91</v>
      </c>
      <c r="Z417" t="s">
        <v>64</v>
      </c>
    </row>
    <row r="418" spans="1:26">
      <c r="A418" t="s">
        <v>1098</v>
      </c>
      <c r="B418" t="s">
        <v>93</v>
      </c>
      <c r="C418" t="s">
        <v>76</v>
      </c>
      <c r="D418" t="s">
        <v>29</v>
      </c>
      <c r="E418" t="s">
        <v>195</v>
      </c>
      <c r="F418" t="s">
        <v>160</v>
      </c>
      <c r="G418" t="s">
        <v>58</v>
      </c>
      <c r="H418">
        <v>6</v>
      </c>
      <c r="I418">
        <v>3.8</v>
      </c>
      <c r="J418" t="s">
        <v>144</v>
      </c>
      <c r="K418" t="s">
        <v>394</v>
      </c>
      <c r="L418" t="s">
        <v>60</v>
      </c>
      <c r="M418" t="s">
        <v>1099</v>
      </c>
      <c r="N418" t="s">
        <v>71</v>
      </c>
      <c r="O418">
        <v>107</v>
      </c>
      <c r="P418" t="s">
        <v>105</v>
      </c>
      <c r="Q418">
        <v>2508</v>
      </c>
      <c r="R418">
        <v>5000</v>
      </c>
      <c r="S418" t="s">
        <v>73</v>
      </c>
      <c r="T418" t="s">
        <v>51</v>
      </c>
      <c r="U418" t="s">
        <v>39</v>
      </c>
      <c r="V418" t="s">
        <v>39</v>
      </c>
      <c r="W418" t="s">
        <v>39</v>
      </c>
      <c r="X418">
        <v>2023</v>
      </c>
      <c r="Y418" t="s">
        <v>106</v>
      </c>
      <c r="Z418" t="s">
        <v>83</v>
      </c>
    </row>
    <row r="419" spans="1:26">
      <c r="A419" t="s">
        <v>1100</v>
      </c>
      <c r="B419" t="s">
        <v>116</v>
      </c>
      <c r="C419" t="s">
        <v>121</v>
      </c>
      <c r="D419" t="s">
        <v>77</v>
      </c>
      <c r="E419" t="s">
        <v>78</v>
      </c>
      <c r="F419" t="s">
        <v>46</v>
      </c>
      <c r="G419" t="s">
        <v>58</v>
      </c>
      <c r="H419">
        <v>7.2</v>
      </c>
      <c r="I419">
        <v>0.7</v>
      </c>
      <c r="J419" t="s">
        <v>33</v>
      </c>
      <c r="K419" t="s">
        <v>333</v>
      </c>
      <c r="L419" t="s">
        <v>35</v>
      </c>
      <c r="M419" t="s">
        <v>1101</v>
      </c>
      <c r="N419" t="s">
        <v>61</v>
      </c>
      <c r="O419">
        <v>161</v>
      </c>
      <c r="Q419">
        <v>0</v>
      </c>
      <c r="R419">
        <v>0</v>
      </c>
      <c r="T419" t="s">
        <v>51</v>
      </c>
      <c r="U419" t="s">
        <v>39</v>
      </c>
      <c r="V419" t="s">
        <v>39</v>
      </c>
      <c r="W419" t="s">
        <v>39</v>
      </c>
      <c r="X419">
        <v>2024</v>
      </c>
      <c r="Y419" t="s">
        <v>40</v>
      </c>
      <c r="Z419" t="s">
        <v>41</v>
      </c>
    </row>
    <row r="420" spans="1:26">
      <c r="A420" t="s">
        <v>1102</v>
      </c>
      <c r="B420" t="s">
        <v>108</v>
      </c>
      <c r="C420" t="s">
        <v>28</v>
      </c>
      <c r="D420" t="s">
        <v>29</v>
      </c>
      <c r="E420" t="s">
        <v>244</v>
      </c>
      <c r="F420" t="s">
        <v>238</v>
      </c>
      <c r="G420" t="s">
        <v>58</v>
      </c>
      <c r="H420">
        <v>3.1</v>
      </c>
      <c r="I420">
        <v>8.8000000000000007</v>
      </c>
      <c r="J420" t="s">
        <v>33</v>
      </c>
      <c r="K420" t="s">
        <v>735</v>
      </c>
      <c r="L420" t="s">
        <v>126</v>
      </c>
      <c r="M420" t="s">
        <v>892</v>
      </c>
      <c r="N420" t="s">
        <v>100</v>
      </c>
      <c r="O420">
        <v>24</v>
      </c>
      <c r="Q420">
        <v>0</v>
      </c>
      <c r="R420">
        <v>0</v>
      </c>
      <c r="T420" t="s">
        <v>136</v>
      </c>
      <c r="U420" t="s">
        <v>39</v>
      </c>
      <c r="V420" t="s">
        <v>52</v>
      </c>
      <c r="W420" t="s">
        <v>52</v>
      </c>
      <c r="X420">
        <v>2024</v>
      </c>
      <c r="Y420" t="s">
        <v>82</v>
      </c>
      <c r="Z420" t="s">
        <v>83</v>
      </c>
    </row>
    <row r="421" spans="1:26">
      <c r="A421" t="s">
        <v>1103</v>
      </c>
      <c r="B421" t="s">
        <v>93</v>
      </c>
      <c r="C421" t="s">
        <v>28</v>
      </c>
      <c r="D421" t="s">
        <v>29</v>
      </c>
      <c r="E421" t="s">
        <v>56</v>
      </c>
      <c r="F421" t="s">
        <v>46</v>
      </c>
      <c r="G421" t="s">
        <v>58</v>
      </c>
      <c r="H421">
        <v>10.9</v>
      </c>
      <c r="I421">
        <v>21.3</v>
      </c>
      <c r="J421" t="s">
        <v>144</v>
      </c>
      <c r="K421" t="s">
        <v>1104</v>
      </c>
      <c r="L421" t="s">
        <v>126</v>
      </c>
      <c r="M421" t="s">
        <v>127</v>
      </c>
      <c r="N421" t="s">
        <v>61</v>
      </c>
      <c r="O421">
        <v>111</v>
      </c>
      <c r="Q421">
        <v>0</v>
      </c>
      <c r="R421">
        <v>0</v>
      </c>
      <c r="T421" t="s">
        <v>136</v>
      </c>
      <c r="U421" t="s">
        <v>52</v>
      </c>
      <c r="V421" t="s">
        <v>52</v>
      </c>
      <c r="W421" t="s">
        <v>52</v>
      </c>
      <c r="X421">
        <v>2024</v>
      </c>
      <c r="Y421" t="s">
        <v>91</v>
      </c>
      <c r="Z421" t="s">
        <v>64</v>
      </c>
    </row>
    <row r="422" spans="1:26">
      <c r="A422" t="s">
        <v>1105</v>
      </c>
      <c r="B422" t="s">
        <v>93</v>
      </c>
      <c r="C422" t="s">
        <v>121</v>
      </c>
      <c r="D422" t="s">
        <v>29</v>
      </c>
      <c r="E422" t="s">
        <v>195</v>
      </c>
      <c r="F422" t="s">
        <v>124</v>
      </c>
      <c r="G422" t="s">
        <v>58</v>
      </c>
      <c r="H422">
        <v>5.2</v>
      </c>
      <c r="I422">
        <v>1.9</v>
      </c>
      <c r="J422" t="s">
        <v>144</v>
      </c>
      <c r="K422" t="s">
        <v>723</v>
      </c>
      <c r="L422" t="s">
        <v>140</v>
      </c>
      <c r="M422" t="s">
        <v>999</v>
      </c>
      <c r="N422" t="s">
        <v>71</v>
      </c>
      <c r="O422">
        <v>95</v>
      </c>
      <c r="P422" t="s">
        <v>105</v>
      </c>
      <c r="Q422">
        <v>3278</v>
      </c>
      <c r="R422">
        <v>2000</v>
      </c>
      <c r="S422" t="s">
        <v>73</v>
      </c>
      <c r="T422" t="s">
        <v>51</v>
      </c>
      <c r="U422" t="s">
        <v>52</v>
      </c>
      <c r="V422" t="s">
        <v>52</v>
      </c>
      <c r="W422" t="s">
        <v>39</v>
      </c>
      <c r="X422">
        <v>2024</v>
      </c>
      <c r="Y422" t="s">
        <v>53</v>
      </c>
      <c r="Z422" t="s">
        <v>54</v>
      </c>
    </row>
    <row r="423" spans="1:26">
      <c r="A423" t="s">
        <v>1106</v>
      </c>
      <c r="B423" t="s">
        <v>93</v>
      </c>
      <c r="C423" t="s">
        <v>76</v>
      </c>
      <c r="D423" t="s">
        <v>77</v>
      </c>
      <c r="E423" t="s">
        <v>168</v>
      </c>
      <c r="F423" t="s">
        <v>109</v>
      </c>
      <c r="G423" t="s">
        <v>58</v>
      </c>
      <c r="H423">
        <v>10.1</v>
      </c>
      <c r="I423">
        <v>18.5</v>
      </c>
      <c r="J423" t="s">
        <v>33</v>
      </c>
      <c r="K423" t="s">
        <v>499</v>
      </c>
      <c r="L423" t="s">
        <v>140</v>
      </c>
      <c r="M423" t="s">
        <v>936</v>
      </c>
      <c r="N423" t="s">
        <v>61</v>
      </c>
      <c r="O423">
        <v>33</v>
      </c>
      <c r="Q423">
        <v>0</v>
      </c>
      <c r="R423">
        <v>0</v>
      </c>
      <c r="T423" t="s">
        <v>38</v>
      </c>
      <c r="U423" t="s">
        <v>52</v>
      </c>
      <c r="V423" t="s">
        <v>52</v>
      </c>
      <c r="W423" t="s">
        <v>39</v>
      </c>
      <c r="X423">
        <v>2022</v>
      </c>
      <c r="Y423" t="s">
        <v>128</v>
      </c>
      <c r="Z423" t="s">
        <v>64</v>
      </c>
    </row>
    <row r="424" spans="1:26">
      <c r="A424" t="s">
        <v>1107</v>
      </c>
      <c r="B424" t="s">
        <v>43</v>
      </c>
      <c r="C424" t="s">
        <v>164</v>
      </c>
      <c r="D424" t="s">
        <v>77</v>
      </c>
      <c r="E424" t="s">
        <v>168</v>
      </c>
      <c r="F424" t="s">
        <v>57</v>
      </c>
      <c r="G424" t="s">
        <v>58</v>
      </c>
      <c r="H424">
        <v>1.5</v>
      </c>
      <c r="I424">
        <v>23.3</v>
      </c>
      <c r="J424" t="s">
        <v>33</v>
      </c>
      <c r="K424" t="s">
        <v>1108</v>
      </c>
      <c r="L424" t="s">
        <v>126</v>
      </c>
      <c r="M424" t="s">
        <v>1109</v>
      </c>
      <c r="N424" t="s">
        <v>71</v>
      </c>
      <c r="O424">
        <v>66</v>
      </c>
      <c r="P424" t="s">
        <v>72</v>
      </c>
      <c r="Q424">
        <v>7124</v>
      </c>
      <c r="R424">
        <v>0</v>
      </c>
      <c r="S424" t="s">
        <v>152</v>
      </c>
      <c r="T424" t="s">
        <v>62</v>
      </c>
      <c r="U424" t="s">
        <v>52</v>
      </c>
      <c r="V424" t="s">
        <v>52</v>
      </c>
      <c r="W424" t="s">
        <v>52</v>
      </c>
      <c r="X424">
        <v>2023</v>
      </c>
      <c r="Y424" t="s">
        <v>63</v>
      </c>
      <c r="Z424" t="s">
        <v>64</v>
      </c>
    </row>
    <row r="425" spans="1:26">
      <c r="A425" t="s">
        <v>1110</v>
      </c>
      <c r="B425" t="s">
        <v>93</v>
      </c>
      <c r="C425" t="s">
        <v>28</v>
      </c>
      <c r="D425" t="s">
        <v>77</v>
      </c>
      <c r="E425" t="s">
        <v>168</v>
      </c>
      <c r="F425" t="s">
        <v>57</v>
      </c>
      <c r="G425" t="s">
        <v>58</v>
      </c>
      <c r="H425">
        <v>1</v>
      </c>
      <c r="I425">
        <v>34.4</v>
      </c>
      <c r="J425" t="s">
        <v>33</v>
      </c>
      <c r="K425" t="s">
        <v>1111</v>
      </c>
      <c r="L425" t="s">
        <v>126</v>
      </c>
      <c r="M425" t="s">
        <v>558</v>
      </c>
      <c r="N425" t="s">
        <v>37</v>
      </c>
      <c r="O425">
        <v>48</v>
      </c>
      <c r="Q425">
        <v>0</v>
      </c>
      <c r="R425">
        <v>0</v>
      </c>
      <c r="T425" t="s">
        <v>38</v>
      </c>
      <c r="U425" t="s">
        <v>39</v>
      </c>
      <c r="V425" t="s">
        <v>39</v>
      </c>
      <c r="W425" t="s">
        <v>52</v>
      </c>
      <c r="X425">
        <v>2023</v>
      </c>
      <c r="Y425" t="s">
        <v>63</v>
      </c>
      <c r="Z425" t="s">
        <v>64</v>
      </c>
    </row>
    <row r="426" spans="1:26">
      <c r="A426" t="s">
        <v>1112</v>
      </c>
      <c r="B426" t="s">
        <v>66</v>
      </c>
      <c r="C426" t="s">
        <v>44</v>
      </c>
      <c r="D426" t="s">
        <v>77</v>
      </c>
      <c r="E426" t="s">
        <v>94</v>
      </c>
      <c r="F426" t="s">
        <v>160</v>
      </c>
      <c r="G426" t="s">
        <v>58</v>
      </c>
      <c r="H426">
        <v>8.3000000000000007</v>
      </c>
      <c r="I426">
        <v>33.700000000000003</v>
      </c>
      <c r="J426" t="s">
        <v>33</v>
      </c>
      <c r="K426" t="s">
        <v>139</v>
      </c>
      <c r="L426" t="s">
        <v>48</v>
      </c>
      <c r="M426" t="s">
        <v>1113</v>
      </c>
      <c r="N426" t="s">
        <v>171</v>
      </c>
      <c r="O426">
        <v>78</v>
      </c>
      <c r="Q426">
        <v>0</v>
      </c>
      <c r="R426">
        <v>0</v>
      </c>
      <c r="T426" t="s">
        <v>38</v>
      </c>
      <c r="U426" t="s">
        <v>39</v>
      </c>
      <c r="V426" t="s">
        <v>39</v>
      </c>
      <c r="W426" t="s">
        <v>39</v>
      </c>
      <c r="X426">
        <v>2024</v>
      </c>
      <c r="Y426" t="s">
        <v>114</v>
      </c>
      <c r="Z426" t="s">
        <v>41</v>
      </c>
    </row>
    <row r="427" spans="1:26">
      <c r="A427" t="s">
        <v>1114</v>
      </c>
      <c r="B427" t="s">
        <v>27</v>
      </c>
      <c r="C427" t="s">
        <v>102</v>
      </c>
      <c r="D427" t="s">
        <v>77</v>
      </c>
      <c r="E427" t="s">
        <v>220</v>
      </c>
      <c r="F427" t="s">
        <v>95</v>
      </c>
      <c r="G427" t="s">
        <v>32</v>
      </c>
      <c r="H427">
        <v>10.1</v>
      </c>
      <c r="I427">
        <v>30.1</v>
      </c>
      <c r="J427" t="s">
        <v>96</v>
      </c>
      <c r="K427" t="s">
        <v>1115</v>
      </c>
      <c r="L427" t="s">
        <v>126</v>
      </c>
      <c r="M427" t="s">
        <v>1116</v>
      </c>
      <c r="N427" t="s">
        <v>71</v>
      </c>
      <c r="O427">
        <v>124</v>
      </c>
      <c r="P427" t="s">
        <v>89</v>
      </c>
      <c r="Q427">
        <v>4980</v>
      </c>
      <c r="R427">
        <v>500</v>
      </c>
      <c r="S427" t="s">
        <v>90</v>
      </c>
      <c r="T427" t="s">
        <v>136</v>
      </c>
      <c r="U427" t="s">
        <v>39</v>
      </c>
      <c r="V427" t="s">
        <v>39</v>
      </c>
      <c r="W427" t="s">
        <v>52</v>
      </c>
      <c r="X427">
        <v>2023</v>
      </c>
      <c r="Y427" t="s">
        <v>312</v>
      </c>
      <c r="Z427" t="s">
        <v>83</v>
      </c>
    </row>
    <row r="428" spans="1:26">
      <c r="A428" t="s">
        <v>1117</v>
      </c>
      <c r="B428" t="s">
        <v>108</v>
      </c>
      <c r="C428" t="s">
        <v>76</v>
      </c>
      <c r="D428" t="s">
        <v>77</v>
      </c>
      <c r="E428" t="s">
        <v>78</v>
      </c>
      <c r="F428" t="s">
        <v>46</v>
      </c>
      <c r="G428" t="s">
        <v>58</v>
      </c>
      <c r="H428">
        <v>3</v>
      </c>
      <c r="I428">
        <v>10.7</v>
      </c>
      <c r="J428" t="s">
        <v>33</v>
      </c>
      <c r="K428" t="s">
        <v>1118</v>
      </c>
      <c r="L428" t="s">
        <v>98</v>
      </c>
      <c r="M428" t="s">
        <v>127</v>
      </c>
      <c r="N428" t="s">
        <v>71</v>
      </c>
      <c r="O428">
        <v>121</v>
      </c>
      <c r="P428" t="s">
        <v>112</v>
      </c>
      <c r="Q428">
        <v>6682</v>
      </c>
      <c r="R428">
        <v>1000</v>
      </c>
      <c r="S428" t="s">
        <v>90</v>
      </c>
      <c r="T428" t="s">
        <v>136</v>
      </c>
      <c r="U428" t="s">
        <v>39</v>
      </c>
      <c r="V428" t="s">
        <v>39</v>
      </c>
      <c r="W428" t="s">
        <v>52</v>
      </c>
      <c r="X428">
        <v>2024</v>
      </c>
      <c r="Y428" t="s">
        <v>114</v>
      </c>
      <c r="Z428" t="s">
        <v>41</v>
      </c>
    </row>
    <row r="429" spans="1:26">
      <c r="A429" t="s">
        <v>1119</v>
      </c>
      <c r="B429" t="s">
        <v>108</v>
      </c>
      <c r="C429" t="s">
        <v>67</v>
      </c>
      <c r="D429" t="s">
        <v>85</v>
      </c>
      <c r="E429" t="s">
        <v>86</v>
      </c>
      <c r="F429" t="s">
        <v>109</v>
      </c>
      <c r="G429" t="s">
        <v>58</v>
      </c>
      <c r="H429">
        <v>8.6</v>
      </c>
      <c r="I429">
        <v>18.7</v>
      </c>
      <c r="J429" t="s">
        <v>33</v>
      </c>
      <c r="K429" t="s">
        <v>1120</v>
      </c>
      <c r="L429" t="s">
        <v>98</v>
      </c>
      <c r="M429" t="s">
        <v>127</v>
      </c>
      <c r="N429" t="s">
        <v>50</v>
      </c>
      <c r="O429">
        <v>152</v>
      </c>
      <c r="Q429">
        <v>0</v>
      </c>
      <c r="R429">
        <v>0</v>
      </c>
      <c r="T429" t="s">
        <v>136</v>
      </c>
      <c r="U429" t="s">
        <v>52</v>
      </c>
      <c r="V429" t="s">
        <v>39</v>
      </c>
      <c r="W429" t="s">
        <v>52</v>
      </c>
      <c r="X429">
        <v>2024</v>
      </c>
      <c r="Y429" t="s">
        <v>128</v>
      </c>
      <c r="Z429" t="s">
        <v>64</v>
      </c>
    </row>
    <row r="430" spans="1:26">
      <c r="A430" t="s">
        <v>1121</v>
      </c>
      <c r="B430" t="s">
        <v>43</v>
      </c>
      <c r="C430" t="s">
        <v>121</v>
      </c>
      <c r="D430" t="s">
        <v>77</v>
      </c>
      <c r="E430" t="s">
        <v>260</v>
      </c>
      <c r="F430" t="s">
        <v>46</v>
      </c>
      <c r="G430" t="s">
        <v>32</v>
      </c>
      <c r="H430">
        <v>0.3</v>
      </c>
      <c r="I430">
        <v>10.4</v>
      </c>
      <c r="J430" t="s">
        <v>33</v>
      </c>
      <c r="K430" t="s">
        <v>336</v>
      </c>
      <c r="L430" t="s">
        <v>140</v>
      </c>
      <c r="M430" t="s">
        <v>127</v>
      </c>
      <c r="N430" t="s">
        <v>100</v>
      </c>
      <c r="O430">
        <v>179</v>
      </c>
      <c r="Q430">
        <v>0</v>
      </c>
      <c r="R430">
        <v>0</v>
      </c>
      <c r="T430" t="s">
        <v>81</v>
      </c>
      <c r="U430" t="s">
        <v>39</v>
      </c>
      <c r="V430" t="s">
        <v>52</v>
      </c>
      <c r="W430" t="s">
        <v>52</v>
      </c>
      <c r="X430">
        <v>2024</v>
      </c>
      <c r="Y430" t="s">
        <v>40</v>
      </c>
      <c r="Z430" t="s">
        <v>41</v>
      </c>
    </row>
    <row r="431" spans="1:26">
      <c r="A431" t="s">
        <v>1122</v>
      </c>
      <c r="B431" t="s">
        <v>43</v>
      </c>
      <c r="C431" t="s">
        <v>102</v>
      </c>
      <c r="D431" t="s">
        <v>77</v>
      </c>
      <c r="E431" t="s">
        <v>168</v>
      </c>
      <c r="F431" t="s">
        <v>160</v>
      </c>
      <c r="G431" t="s">
        <v>58</v>
      </c>
      <c r="H431">
        <v>9.6</v>
      </c>
      <c r="I431">
        <v>28.1</v>
      </c>
      <c r="J431" t="s">
        <v>156</v>
      </c>
      <c r="K431" t="s">
        <v>1123</v>
      </c>
      <c r="L431" t="s">
        <v>126</v>
      </c>
      <c r="M431" t="s">
        <v>1124</v>
      </c>
      <c r="N431" t="s">
        <v>171</v>
      </c>
      <c r="O431">
        <v>107</v>
      </c>
      <c r="Q431">
        <v>0</v>
      </c>
      <c r="R431">
        <v>0</v>
      </c>
      <c r="T431" t="s">
        <v>81</v>
      </c>
      <c r="U431" t="s">
        <v>39</v>
      </c>
      <c r="V431" t="s">
        <v>39</v>
      </c>
      <c r="W431" t="s">
        <v>52</v>
      </c>
      <c r="X431">
        <v>2024</v>
      </c>
      <c r="Y431" t="s">
        <v>312</v>
      </c>
      <c r="Z431" t="s">
        <v>83</v>
      </c>
    </row>
    <row r="432" spans="1:26">
      <c r="A432" t="s">
        <v>1125</v>
      </c>
      <c r="B432" t="s">
        <v>116</v>
      </c>
      <c r="C432" t="s">
        <v>67</v>
      </c>
      <c r="D432" t="s">
        <v>77</v>
      </c>
      <c r="E432" t="s">
        <v>78</v>
      </c>
      <c r="F432" t="s">
        <v>160</v>
      </c>
      <c r="G432" t="s">
        <v>32</v>
      </c>
      <c r="H432">
        <v>2.9</v>
      </c>
      <c r="I432">
        <v>19.7</v>
      </c>
      <c r="J432" t="s">
        <v>156</v>
      </c>
      <c r="K432" t="s">
        <v>694</v>
      </c>
      <c r="L432" t="s">
        <v>48</v>
      </c>
      <c r="M432" t="s">
        <v>424</v>
      </c>
      <c r="N432" t="s">
        <v>50</v>
      </c>
      <c r="O432">
        <v>107</v>
      </c>
      <c r="Q432">
        <v>0</v>
      </c>
      <c r="R432">
        <v>500</v>
      </c>
      <c r="T432" t="s">
        <v>81</v>
      </c>
      <c r="U432" t="s">
        <v>39</v>
      </c>
      <c r="V432" t="s">
        <v>39</v>
      </c>
      <c r="W432" t="s">
        <v>52</v>
      </c>
      <c r="X432">
        <v>2022</v>
      </c>
      <c r="Y432" t="s">
        <v>40</v>
      </c>
      <c r="Z432" t="s">
        <v>41</v>
      </c>
    </row>
    <row r="433" spans="1:26">
      <c r="A433" t="s">
        <v>1126</v>
      </c>
      <c r="B433" t="s">
        <v>93</v>
      </c>
      <c r="C433" t="s">
        <v>76</v>
      </c>
      <c r="D433" t="s">
        <v>85</v>
      </c>
      <c r="E433" t="s">
        <v>174</v>
      </c>
      <c r="F433" t="s">
        <v>109</v>
      </c>
      <c r="G433" t="s">
        <v>32</v>
      </c>
      <c r="H433">
        <v>3.2</v>
      </c>
      <c r="I433">
        <v>12.2</v>
      </c>
      <c r="J433" t="s">
        <v>33</v>
      </c>
      <c r="K433" t="s">
        <v>1127</v>
      </c>
      <c r="L433" t="s">
        <v>98</v>
      </c>
      <c r="M433" t="s">
        <v>1038</v>
      </c>
      <c r="N433" t="s">
        <v>37</v>
      </c>
      <c r="O433">
        <v>31</v>
      </c>
      <c r="Q433">
        <v>0</v>
      </c>
      <c r="R433">
        <v>1000</v>
      </c>
      <c r="T433" t="s">
        <v>62</v>
      </c>
      <c r="U433" t="s">
        <v>39</v>
      </c>
      <c r="V433" t="s">
        <v>52</v>
      </c>
      <c r="W433" t="s">
        <v>39</v>
      </c>
      <c r="X433">
        <v>2023</v>
      </c>
      <c r="Y433" t="s">
        <v>74</v>
      </c>
      <c r="Z433" t="s">
        <v>54</v>
      </c>
    </row>
    <row r="434" spans="1:26">
      <c r="A434" t="s">
        <v>1128</v>
      </c>
      <c r="B434" t="s">
        <v>116</v>
      </c>
      <c r="C434" t="s">
        <v>102</v>
      </c>
      <c r="D434" t="s">
        <v>77</v>
      </c>
      <c r="E434" t="s">
        <v>78</v>
      </c>
      <c r="F434" t="s">
        <v>46</v>
      </c>
      <c r="G434" t="s">
        <v>58</v>
      </c>
      <c r="H434">
        <v>6.1</v>
      </c>
      <c r="I434">
        <v>6.3</v>
      </c>
      <c r="J434" t="s">
        <v>156</v>
      </c>
      <c r="K434" t="s">
        <v>1129</v>
      </c>
      <c r="L434" t="s">
        <v>60</v>
      </c>
      <c r="M434" t="s">
        <v>1130</v>
      </c>
      <c r="N434" t="s">
        <v>71</v>
      </c>
      <c r="O434">
        <v>28</v>
      </c>
      <c r="P434" t="s">
        <v>112</v>
      </c>
      <c r="Q434">
        <v>7607</v>
      </c>
      <c r="R434">
        <v>0</v>
      </c>
      <c r="S434" t="s">
        <v>90</v>
      </c>
      <c r="T434" t="s">
        <v>38</v>
      </c>
      <c r="U434" t="s">
        <v>39</v>
      </c>
      <c r="V434" t="s">
        <v>52</v>
      </c>
      <c r="W434" t="s">
        <v>52</v>
      </c>
      <c r="X434">
        <v>2022</v>
      </c>
      <c r="Y434" t="s">
        <v>211</v>
      </c>
      <c r="Z434" t="s">
        <v>41</v>
      </c>
    </row>
    <row r="435" spans="1:26">
      <c r="A435" t="s">
        <v>1131</v>
      </c>
      <c r="B435" t="s">
        <v>108</v>
      </c>
      <c r="C435" t="s">
        <v>67</v>
      </c>
      <c r="D435" t="s">
        <v>122</v>
      </c>
      <c r="E435" t="s">
        <v>148</v>
      </c>
      <c r="F435" t="s">
        <v>160</v>
      </c>
      <c r="G435" t="s">
        <v>58</v>
      </c>
      <c r="H435">
        <v>9.3000000000000007</v>
      </c>
      <c r="I435">
        <v>0.7</v>
      </c>
      <c r="J435" t="s">
        <v>33</v>
      </c>
      <c r="K435" t="s">
        <v>1132</v>
      </c>
      <c r="L435" t="s">
        <v>60</v>
      </c>
      <c r="M435" t="s">
        <v>1096</v>
      </c>
      <c r="N435" t="s">
        <v>50</v>
      </c>
      <c r="O435">
        <v>52</v>
      </c>
      <c r="Q435">
        <v>0</v>
      </c>
      <c r="R435">
        <v>1000</v>
      </c>
      <c r="T435" t="s">
        <v>51</v>
      </c>
      <c r="U435" t="s">
        <v>52</v>
      </c>
      <c r="V435" t="s">
        <v>52</v>
      </c>
      <c r="W435" t="s">
        <v>52</v>
      </c>
      <c r="X435">
        <v>2022</v>
      </c>
      <c r="Y435" t="s">
        <v>114</v>
      </c>
      <c r="Z435" t="s">
        <v>41</v>
      </c>
    </row>
    <row r="436" spans="1:26">
      <c r="A436" t="s">
        <v>1133</v>
      </c>
      <c r="B436" t="s">
        <v>108</v>
      </c>
      <c r="C436" t="s">
        <v>67</v>
      </c>
      <c r="D436" t="s">
        <v>77</v>
      </c>
      <c r="E436" t="s">
        <v>94</v>
      </c>
      <c r="F436" t="s">
        <v>238</v>
      </c>
      <c r="G436" t="s">
        <v>32</v>
      </c>
      <c r="H436">
        <v>5</v>
      </c>
      <c r="I436">
        <v>14.6</v>
      </c>
      <c r="J436" t="s">
        <v>33</v>
      </c>
      <c r="K436" t="s">
        <v>323</v>
      </c>
      <c r="L436" t="s">
        <v>35</v>
      </c>
      <c r="M436" t="s">
        <v>472</v>
      </c>
      <c r="N436" t="s">
        <v>100</v>
      </c>
      <c r="O436">
        <v>36</v>
      </c>
      <c r="Q436">
        <v>0</v>
      </c>
      <c r="R436">
        <v>0</v>
      </c>
      <c r="T436" t="s">
        <v>62</v>
      </c>
      <c r="U436" t="s">
        <v>39</v>
      </c>
      <c r="V436" t="s">
        <v>39</v>
      </c>
      <c r="W436" t="s">
        <v>52</v>
      </c>
      <c r="X436">
        <v>2023</v>
      </c>
      <c r="Y436" t="s">
        <v>74</v>
      </c>
      <c r="Z436" t="s">
        <v>54</v>
      </c>
    </row>
    <row r="437" spans="1:26">
      <c r="A437" t="s">
        <v>1134</v>
      </c>
      <c r="B437" t="s">
        <v>43</v>
      </c>
      <c r="C437" t="s">
        <v>76</v>
      </c>
      <c r="D437" t="s">
        <v>122</v>
      </c>
      <c r="E437" t="s">
        <v>130</v>
      </c>
      <c r="F437" t="s">
        <v>109</v>
      </c>
      <c r="G437" t="s">
        <v>32</v>
      </c>
      <c r="H437">
        <v>0.5</v>
      </c>
      <c r="I437">
        <v>32.299999999999997</v>
      </c>
      <c r="J437" t="s">
        <v>144</v>
      </c>
      <c r="K437" t="s">
        <v>463</v>
      </c>
      <c r="L437" t="s">
        <v>126</v>
      </c>
      <c r="M437" t="s">
        <v>1135</v>
      </c>
      <c r="N437" t="s">
        <v>71</v>
      </c>
      <c r="O437">
        <v>112</v>
      </c>
      <c r="P437" t="s">
        <v>105</v>
      </c>
      <c r="Q437">
        <v>2110</v>
      </c>
      <c r="R437">
        <v>5000</v>
      </c>
      <c r="S437" t="s">
        <v>152</v>
      </c>
      <c r="T437" t="s">
        <v>51</v>
      </c>
      <c r="U437" t="s">
        <v>39</v>
      </c>
      <c r="V437" t="s">
        <v>39</v>
      </c>
      <c r="W437" t="s">
        <v>52</v>
      </c>
      <c r="X437">
        <v>2022</v>
      </c>
      <c r="Y437" t="s">
        <v>63</v>
      </c>
      <c r="Z437" t="s">
        <v>64</v>
      </c>
    </row>
    <row r="438" spans="1:26">
      <c r="A438" t="s">
        <v>1136</v>
      </c>
      <c r="B438" t="s">
        <v>27</v>
      </c>
      <c r="C438" t="s">
        <v>121</v>
      </c>
      <c r="D438" t="s">
        <v>29</v>
      </c>
      <c r="E438" t="s">
        <v>244</v>
      </c>
      <c r="F438" t="s">
        <v>46</v>
      </c>
      <c r="G438" t="s">
        <v>32</v>
      </c>
      <c r="H438">
        <v>5.4</v>
      </c>
      <c r="I438">
        <v>7.6</v>
      </c>
      <c r="J438" t="s">
        <v>96</v>
      </c>
      <c r="K438" t="s">
        <v>1137</v>
      </c>
      <c r="L438" t="s">
        <v>48</v>
      </c>
      <c r="M438" t="s">
        <v>282</v>
      </c>
      <c r="N438" t="s">
        <v>100</v>
      </c>
      <c r="O438">
        <v>180</v>
      </c>
      <c r="Q438">
        <v>0</v>
      </c>
      <c r="R438">
        <v>0</v>
      </c>
      <c r="T438" t="s">
        <v>51</v>
      </c>
      <c r="U438" t="s">
        <v>39</v>
      </c>
      <c r="V438" t="s">
        <v>39</v>
      </c>
      <c r="W438" t="s">
        <v>52</v>
      </c>
      <c r="X438">
        <v>2022</v>
      </c>
      <c r="Y438" t="s">
        <v>91</v>
      </c>
      <c r="Z438" t="s">
        <v>64</v>
      </c>
    </row>
    <row r="439" spans="1:26">
      <c r="A439" t="s">
        <v>1138</v>
      </c>
      <c r="B439" t="s">
        <v>93</v>
      </c>
      <c r="C439" t="s">
        <v>67</v>
      </c>
      <c r="D439" t="s">
        <v>85</v>
      </c>
      <c r="E439" t="s">
        <v>208</v>
      </c>
      <c r="F439" t="s">
        <v>68</v>
      </c>
      <c r="G439" t="s">
        <v>58</v>
      </c>
      <c r="H439">
        <v>2.6</v>
      </c>
      <c r="I439">
        <v>18.2</v>
      </c>
      <c r="J439" t="s">
        <v>33</v>
      </c>
      <c r="K439" t="s">
        <v>1139</v>
      </c>
      <c r="L439" t="s">
        <v>140</v>
      </c>
      <c r="M439" t="s">
        <v>127</v>
      </c>
      <c r="N439" t="s">
        <v>61</v>
      </c>
      <c r="O439">
        <v>139</v>
      </c>
      <c r="Q439">
        <v>0</v>
      </c>
      <c r="R439">
        <v>0</v>
      </c>
      <c r="T439" t="s">
        <v>62</v>
      </c>
      <c r="U439" t="s">
        <v>39</v>
      </c>
      <c r="V439" t="s">
        <v>39</v>
      </c>
      <c r="W439" t="s">
        <v>52</v>
      </c>
      <c r="X439">
        <v>2024</v>
      </c>
      <c r="Y439" t="s">
        <v>63</v>
      </c>
      <c r="Z439" t="s">
        <v>64</v>
      </c>
    </row>
    <row r="440" spans="1:26">
      <c r="A440" t="s">
        <v>1140</v>
      </c>
      <c r="B440" t="s">
        <v>116</v>
      </c>
      <c r="C440" t="s">
        <v>76</v>
      </c>
      <c r="D440" t="s">
        <v>85</v>
      </c>
      <c r="E440" t="s">
        <v>138</v>
      </c>
      <c r="F440" t="s">
        <v>95</v>
      </c>
      <c r="G440" t="s">
        <v>32</v>
      </c>
      <c r="H440">
        <v>3.2</v>
      </c>
      <c r="I440">
        <v>18</v>
      </c>
      <c r="J440" t="s">
        <v>33</v>
      </c>
      <c r="K440" t="s">
        <v>1141</v>
      </c>
      <c r="L440" t="s">
        <v>140</v>
      </c>
      <c r="M440" t="s">
        <v>1142</v>
      </c>
      <c r="N440" t="s">
        <v>171</v>
      </c>
      <c r="O440">
        <v>16</v>
      </c>
      <c r="Q440">
        <v>0</v>
      </c>
      <c r="R440">
        <v>0</v>
      </c>
      <c r="T440" t="s">
        <v>38</v>
      </c>
      <c r="U440" t="s">
        <v>52</v>
      </c>
      <c r="V440" t="s">
        <v>52</v>
      </c>
      <c r="W440" t="s">
        <v>52</v>
      </c>
      <c r="X440">
        <v>2022</v>
      </c>
      <c r="Y440" t="s">
        <v>211</v>
      </c>
      <c r="Z440" t="s">
        <v>41</v>
      </c>
    </row>
    <row r="441" spans="1:26">
      <c r="A441" t="s">
        <v>1143</v>
      </c>
      <c r="B441" t="s">
        <v>27</v>
      </c>
      <c r="C441" t="s">
        <v>164</v>
      </c>
      <c r="D441" t="s">
        <v>77</v>
      </c>
      <c r="E441" t="s">
        <v>363</v>
      </c>
      <c r="F441" t="s">
        <v>57</v>
      </c>
      <c r="G441" t="s">
        <v>58</v>
      </c>
      <c r="H441">
        <v>8</v>
      </c>
      <c r="I441">
        <v>28.6</v>
      </c>
      <c r="J441" t="s">
        <v>33</v>
      </c>
      <c r="K441" t="s">
        <v>1144</v>
      </c>
      <c r="L441" t="s">
        <v>60</v>
      </c>
      <c r="M441" t="s">
        <v>1145</v>
      </c>
      <c r="N441" t="s">
        <v>61</v>
      </c>
      <c r="O441">
        <v>77</v>
      </c>
      <c r="Q441">
        <v>0</v>
      </c>
      <c r="R441">
        <v>0</v>
      </c>
      <c r="T441" t="s">
        <v>62</v>
      </c>
      <c r="U441" t="s">
        <v>39</v>
      </c>
      <c r="V441" t="s">
        <v>52</v>
      </c>
      <c r="W441" t="s">
        <v>52</v>
      </c>
      <c r="X441">
        <v>2023</v>
      </c>
      <c r="Y441" t="s">
        <v>63</v>
      </c>
      <c r="Z441" t="s">
        <v>64</v>
      </c>
    </row>
    <row r="442" spans="1:26">
      <c r="A442" t="s">
        <v>1146</v>
      </c>
      <c r="B442" t="s">
        <v>43</v>
      </c>
      <c r="C442" t="s">
        <v>121</v>
      </c>
      <c r="D442" t="s">
        <v>29</v>
      </c>
      <c r="E442" t="s">
        <v>45</v>
      </c>
      <c r="F442" t="s">
        <v>95</v>
      </c>
      <c r="G442" t="s">
        <v>32</v>
      </c>
      <c r="H442">
        <v>5.2</v>
      </c>
      <c r="I442">
        <v>5</v>
      </c>
      <c r="J442" t="s">
        <v>156</v>
      </c>
      <c r="K442" t="s">
        <v>1147</v>
      </c>
      <c r="L442" t="s">
        <v>140</v>
      </c>
      <c r="M442" t="s">
        <v>435</v>
      </c>
      <c r="N442" t="s">
        <v>71</v>
      </c>
      <c r="O442">
        <v>106</v>
      </c>
      <c r="P442" t="s">
        <v>112</v>
      </c>
      <c r="Q442">
        <v>1877</v>
      </c>
      <c r="R442">
        <v>0</v>
      </c>
      <c r="S442" t="s">
        <v>90</v>
      </c>
      <c r="T442" t="s">
        <v>51</v>
      </c>
      <c r="U442" t="s">
        <v>52</v>
      </c>
      <c r="V442" t="s">
        <v>52</v>
      </c>
      <c r="W442" t="s">
        <v>52</v>
      </c>
      <c r="X442">
        <v>2024</v>
      </c>
      <c r="Y442" t="s">
        <v>53</v>
      </c>
      <c r="Z442" t="s">
        <v>54</v>
      </c>
    </row>
    <row r="443" spans="1:26">
      <c r="A443" t="s">
        <v>1148</v>
      </c>
      <c r="B443" t="s">
        <v>66</v>
      </c>
      <c r="C443" t="s">
        <v>28</v>
      </c>
      <c r="D443" t="s">
        <v>77</v>
      </c>
      <c r="E443" t="s">
        <v>78</v>
      </c>
      <c r="F443" t="s">
        <v>124</v>
      </c>
      <c r="G443" t="s">
        <v>32</v>
      </c>
      <c r="H443">
        <v>5.9</v>
      </c>
      <c r="I443">
        <v>16.3</v>
      </c>
      <c r="J443" t="s">
        <v>144</v>
      </c>
      <c r="K443" t="s">
        <v>428</v>
      </c>
      <c r="L443" t="s">
        <v>35</v>
      </c>
      <c r="M443" t="s">
        <v>1149</v>
      </c>
      <c r="N443" t="s">
        <v>71</v>
      </c>
      <c r="O443">
        <v>42</v>
      </c>
      <c r="P443" t="s">
        <v>89</v>
      </c>
      <c r="Q443">
        <v>7143</v>
      </c>
      <c r="R443">
        <v>0</v>
      </c>
      <c r="S443" t="s">
        <v>152</v>
      </c>
      <c r="T443" t="s">
        <v>38</v>
      </c>
      <c r="U443" t="s">
        <v>52</v>
      </c>
      <c r="V443" t="s">
        <v>39</v>
      </c>
      <c r="W443" t="s">
        <v>39</v>
      </c>
      <c r="X443">
        <v>2024</v>
      </c>
      <c r="Y443" t="s">
        <v>53</v>
      </c>
      <c r="Z443" t="s">
        <v>54</v>
      </c>
    </row>
    <row r="444" spans="1:26">
      <c r="A444" t="s">
        <v>1150</v>
      </c>
      <c r="B444" t="s">
        <v>93</v>
      </c>
      <c r="C444" t="s">
        <v>121</v>
      </c>
      <c r="D444" t="s">
        <v>122</v>
      </c>
      <c r="E444" t="s">
        <v>202</v>
      </c>
      <c r="F444" t="s">
        <v>238</v>
      </c>
      <c r="G444" t="s">
        <v>58</v>
      </c>
      <c r="H444">
        <v>3.7</v>
      </c>
      <c r="I444">
        <v>13.4</v>
      </c>
      <c r="J444" t="s">
        <v>33</v>
      </c>
      <c r="K444" t="s">
        <v>1010</v>
      </c>
      <c r="L444" t="s">
        <v>140</v>
      </c>
      <c r="M444" t="s">
        <v>744</v>
      </c>
      <c r="N444" t="s">
        <v>71</v>
      </c>
      <c r="O444">
        <v>11</v>
      </c>
      <c r="P444" t="s">
        <v>112</v>
      </c>
      <c r="Q444">
        <v>982</v>
      </c>
      <c r="R444">
        <v>0</v>
      </c>
      <c r="S444" t="s">
        <v>73</v>
      </c>
      <c r="T444" t="s">
        <v>51</v>
      </c>
      <c r="U444" t="s">
        <v>39</v>
      </c>
      <c r="V444" t="s">
        <v>39</v>
      </c>
      <c r="W444" t="s">
        <v>52</v>
      </c>
      <c r="X444">
        <v>2023</v>
      </c>
      <c r="Y444" t="s">
        <v>211</v>
      </c>
      <c r="Z444" t="s">
        <v>41</v>
      </c>
    </row>
    <row r="445" spans="1:26">
      <c r="A445" t="s">
        <v>1151</v>
      </c>
      <c r="B445" t="s">
        <v>108</v>
      </c>
      <c r="C445" t="s">
        <v>173</v>
      </c>
      <c r="D445" t="s">
        <v>77</v>
      </c>
      <c r="E445" t="s">
        <v>220</v>
      </c>
      <c r="F445" t="s">
        <v>31</v>
      </c>
      <c r="G445" t="s">
        <v>32</v>
      </c>
      <c r="H445">
        <v>0.9</v>
      </c>
      <c r="I445">
        <v>2</v>
      </c>
      <c r="J445" t="s">
        <v>33</v>
      </c>
      <c r="K445" t="s">
        <v>1152</v>
      </c>
      <c r="L445" t="s">
        <v>126</v>
      </c>
      <c r="M445" t="s">
        <v>1153</v>
      </c>
      <c r="N445" t="s">
        <v>171</v>
      </c>
      <c r="O445">
        <v>141</v>
      </c>
      <c r="Q445">
        <v>0</v>
      </c>
      <c r="R445">
        <v>0</v>
      </c>
      <c r="T445" t="s">
        <v>136</v>
      </c>
      <c r="U445" t="s">
        <v>39</v>
      </c>
      <c r="V445" t="s">
        <v>39</v>
      </c>
      <c r="W445" t="s">
        <v>52</v>
      </c>
      <c r="X445">
        <v>2022</v>
      </c>
      <c r="Y445" t="s">
        <v>114</v>
      </c>
      <c r="Z445" t="s">
        <v>41</v>
      </c>
    </row>
    <row r="446" spans="1:26">
      <c r="A446" t="s">
        <v>1154</v>
      </c>
      <c r="B446" t="s">
        <v>27</v>
      </c>
      <c r="C446" t="s">
        <v>76</v>
      </c>
      <c r="D446" t="s">
        <v>77</v>
      </c>
      <c r="E446" t="s">
        <v>78</v>
      </c>
      <c r="F446" t="s">
        <v>149</v>
      </c>
      <c r="G446" t="s">
        <v>32</v>
      </c>
      <c r="H446">
        <v>2.9</v>
      </c>
      <c r="I446">
        <v>14.1</v>
      </c>
      <c r="J446" t="s">
        <v>156</v>
      </c>
      <c r="K446" t="s">
        <v>912</v>
      </c>
      <c r="L446" t="s">
        <v>35</v>
      </c>
      <c r="M446" t="s">
        <v>486</v>
      </c>
      <c r="N446" t="s">
        <v>71</v>
      </c>
      <c r="O446">
        <v>84</v>
      </c>
      <c r="P446" t="s">
        <v>89</v>
      </c>
      <c r="Q446">
        <v>6355</v>
      </c>
      <c r="R446">
        <v>500</v>
      </c>
      <c r="S446" t="s">
        <v>73</v>
      </c>
      <c r="T446" t="s">
        <v>62</v>
      </c>
      <c r="U446" t="s">
        <v>39</v>
      </c>
      <c r="V446" t="s">
        <v>52</v>
      </c>
      <c r="W446" t="s">
        <v>39</v>
      </c>
      <c r="X446">
        <v>2022</v>
      </c>
      <c r="Y446" t="s">
        <v>128</v>
      </c>
      <c r="Z446" t="s">
        <v>64</v>
      </c>
    </row>
    <row r="447" spans="1:26">
      <c r="A447" t="s">
        <v>1155</v>
      </c>
      <c r="B447" t="s">
        <v>116</v>
      </c>
      <c r="C447" t="s">
        <v>28</v>
      </c>
      <c r="D447" t="s">
        <v>29</v>
      </c>
      <c r="E447" t="s">
        <v>30</v>
      </c>
      <c r="F447" t="s">
        <v>109</v>
      </c>
      <c r="G447" t="s">
        <v>58</v>
      </c>
      <c r="H447">
        <v>2.4</v>
      </c>
      <c r="I447">
        <v>16.899999999999999</v>
      </c>
      <c r="J447" t="s">
        <v>33</v>
      </c>
      <c r="K447" t="s">
        <v>1156</v>
      </c>
      <c r="L447" t="s">
        <v>60</v>
      </c>
      <c r="M447" t="s">
        <v>226</v>
      </c>
      <c r="N447" t="s">
        <v>71</v>
      </c>
      <c r="O447">
        <v>159</v>
      </c>
      <c r="P447" t="s">
        <v>89</v>
      </c>
      <c r="Q447">
        <v>3835</v>
      </c>
      <c r="R447">
        <v>1000</v>
      </c>
      <c r="S447" t="s">
        <v>113</v>
      </c>
      <c r="T447" t="s">
        <v>62</v>
      </c>
      <c r="U447" t="s">
        <v>52</v>
      </c>
      <c r="V447" t="s">
        <v>39</v>
      </c>
      <c r="W447" t="s">
        <v>52</v>
      </c>
      <c r="X447">
        <v>2023</v>
      </c>
      <c r="Y447" t="s">
        <v>106</v>
      </c>
      <c r="Z447" t="s">
        <v>83</v>
      </c>
    </row>
    <row r="448" spans="1:26">
      <c r="A448" t="s">
        <v>1157</v>
      </c>
      <c r="B448" t="s">
        <v>27</v>
      </c>
      <c r="C448" t="s">
        <v>67</v>
      </c>
      <c r="D448" t="s">
        <v>85</v>
      </c>
      <c r="E448" t="s">
        <v>138</v>
      </c>
      <c r="F448" t="s">
        <v>57</v>
      </c>
      <c r="G448" t="s">
        <v>32</v>
      </c>
      <c r="H448">
        <v>2.2000000000000002</v>
      </c>
      <c r="I448">
        <v>1.3</v>
      </c>
      <c r="J448" t="s">
        <v>33</v>
      </c>
      <c r="K448" t="s">
        <v>1158</v>
      </c>
      <c r="L448" t="s">
        <v>35</v>
      </c>
      <c r="M448" t="s">
        <v>1159</v>
      </c>
      <c r="N448" t="s">
        <v>71</v>
      </c>
      <c r="O448">
        <v>126</v>
      </c>
      <c r="P448" t="s">
        <v>230</v>
      </c>
      <c r="Q448">
        <v>1892</v>
      </c>
      <c r="R448">
        <v>500</v>
      </c>
      <c r="S448" t="s">
        <v>113</v>
      </c>
      <c r="T448" t="s">
        <v>51</v>
      </c>
      <c r="U448" t="s">
        <v>39</v>
      </c>
      <c r="V448" t="s">
        <v>39</v>
      </c>
      <c r="W448" t="s">
        <v>52</v>
      </c>
      <c r="X448">
        <v>2022</v>
      </c>
      <c r="Y448" t="s">
        <v>74</v>
      </c>
      <c r="Z448" t="s">
        <v>54</v>
      </c>
    </row>
    <row r="449" spans="1:26">
      <c r="A449" t="s">
        <v>1160</v>
      </c>
      <c r="B449" t="s">
        <v>66</v>
      </c>
      <c r="C449" t="s">
        <v>76</v>
      </c>
      <c r="D449" t="s">
        <v>29</v>
      </c>
      <c r="E449" t="s">
        <v>45</v>
      </c>
      <c r="F449" t="s">
        <v>160</v>
      </c>
      <c r="G449" t="s">
        <v>32</v>
      </c>
      <c r="H449">
        <v>11.5</v>
      </c>
      <c r="I449">
        <v>6.8</v>
      </c>
      <c r="J449" t="s">
        <v>33</v>
      </c>
      <c r="K449" t="s">
        <v>1161</v>
      </c>
      <c r="L449" t="s">
        <v>60</v>
      </c>
      <c r="M449" t="s">
        <v>1162</v>
      </c>
      <c r="N449" t="s">
        <v>71</v>
      </c>
      <c r="O449">
        <v>105</v>
      </c>
      <c r="P449" t="s">
        <v>89</v>
      </c>
      <c r="Q449">
        <v>1741</v>
      </c>
      <c r="R449">
        <v>1000</v>
      </c>
      <c r="S449" t="s">
        <v>90</v>
      </c>
      <c r="T449" t="s">
        <v>51</v>
      </c>
      <c r="U449" t="s">
        <v>39</v>
      </c>
      <c r="V449" t="s">
        <v>52</v>
      </c>
      <c r="W449" t="s">
        <v>39</v>
      </c>
      <c r="X449">
        <v>2023</v>
      </c>
      <c r="Y449" t="s">
        <v>114</v>
      </c>
      <c r="Z449" t="s">
        <v>41</v>
      </c>
    </row>
    <row r="450" spans="1:26">
      <c r="A450" t="s">
        <v>1163</v>
      </c>
      <c r="B450" t="s">
        <v>116</v>
      </c>
      <c r="C450" t="s">
        <v>173</v>
      </c>
      <c r="D450" t="s">
        <v>77</v>
      </c>
      <c r="E450" t="s">
        <v>363</v>
      </c>
      <c r="F450" t="s">
        <v>238</v>
      </c>
      <c r="G450" t="s">
        <v>32</v>
      </c>
      <c r="H450">
        <v>6.2</v>
      </c>
      <c r="I450">
        <v>17.899999999999999</v>
      </c>
      <c r="J450" t="s">
        <v>144</v>
      </c>
      <c r="K450" t="s">
        <v>267</v>
      </c>
      <c r="L450" t="s">
        <v>140</v>
      </c>
      <c r="M450" t="s">
        <v>1164</v>
      </c>
      <c r="N450" t="s">
        <v>37</v>
      </c>
      <c r="O450">
        <v>153</v>
      </c>
      <c r="Q450">
        <v>0</v>
      </c>
      <c r="R450">
        <v>1000</v>
      </c>
      <c r="T450" t="s">
        <v>136</v>
      </c>
      <c r="U450" t="s">
        <v>39</v>
      </c>
      <c r="V450" t="s">
        <v>52</v>
      </c>
      <c r="W450" t="s">
        <v>39</v>
      </c>
      <c r="X450">
        <v>2023</v>
      </c>
      <c r="Y450" t="s">
        <v>53</v>
      </c>
      <c r="Z450" t="s">
        <v>54</v>
      </c>
    </row>
    <row r="451" spans="1:26">
      <c r="A451" t="s">
        <v>1165</v>
      </c>
      <c r="B451" t="s">
        <v>93</v>
      </c>
      <c r="C451" t="s">
        <v>44</v>
      </c>
      <c r="D451" t="s">
        <v>85</v>
      </c>
      <c r="E451" t="s">
        <v>208</v>
      </c>
      <c r="F451" t="s">
        <v>149</v>
      </c>
      <c r="G451" t="s">
        <v>58</v>
      </c>
      <c r="H451">
        <v>6.7</v>
      </c>
      <c r="I451">
        <v>27.6</v>
      </c>
      <c r="J451" t="s">
        <v>96</v>
      </c>
      <c r="K451" t="s">
        <v>341</v>
      </c>
      <c r="L451" t="s">
        <v>98</v>
      </c>
      <c r="M451" t="s">
        <v>592</v>
      </c>
      <c r="N451" t="s">
        <v>71</v>
      </c>
      <c r="O451">
        <v>69</v>
      </c>
      <c r="P451" t="s">
        <v>105</v>
      </c>
      <c r="Q451">
        <v>1508</v>
      </c>
      <c r="R451">
        <v>5000</v>
      </c>
      <c r="S451" t="s">
        <v>113</v>
      </c>
      <c r="T451" t="s">
        <v>81</v>
      </c>
      <c r="U451" t="s">
        <v>39</v>
      </c>
      <c r="V451" t="s">
        <v>52</v>
      </c>
      <c r="W451" t="s">
        <v>52</v>
      </c>
      <c r="X451">
        <v>2022</v>
      </c>
      <c r="Y451" t="s">
        <v>82</v>
      </c>
      <c r="Z451" t="s">
        <v>83</v>
      </c>
    </row>
    <row r="452" spans="1:26">
      <c r="A452" t="s">
        <v>1166</v>
      </c>
      <c r="B452" t="s">
        <v>43</v>
      </c>
      <c r="C452" t="s">
        <v>76</v>
      </c>
      <c r="D452" t="s">
        <v>77</v>
      </c>
      <c r="E452" t="s">
        <v>94</v>
      </c>
      <c r="F452" t="s">
        <v>238</v>
      </c>
      <c r="G452" t="s">
        <v>32</v>
      </c>
      <c r="H452">
        <v>7.5</v>
      </c>
      <c r="I452">
        <v>23</v>
      </c>
      <c r="J452" t="s">
        <v>33</v>
      </c>
      <c r="K452" t="s">
        <v>914</v>
      </c>
      <c r="L452" t="s">
        <v>140</v>
      </c>
      <c r="M452" t="s">
        <v>478</v>
      </c>
      <c r="N452" t="s">
        <v>71</v>
      </c>
      <c r="O452">
        <v>11</v>
      </c>
      <c r="P452" t="s">
        <v>72</v>
      </c>
      <c r="Q452">
        <v>6806</v>
      </c>
      <c r="R452">
        <v>5000</v>
      </c>
      <c r="S452" t="s">
        <v>90</v>
      </c>
      <c r="T452" t="s">
        <v>51</v>
      </c>
      <c r="U452" t="s">
        <v>39</v>
      </c>
      <c r="V452" t="s">
        <v>52</v>
      </c>
      <c r="W452" t="s">
        <v>52</v>
      </c>
      <c r="X452">
        <v>2024</v>
      </c>
      <c r="Y452" t="s">
        <v>40</v>
      </c>
      <c r="Z452" t="s">
        <v>41</v>
      </c>
    </row>
    <row r="453" spans="1:26">
      <c r="A453" t="s">
        <v>1167</v>
      </c>
      <c r="B453" t="s">
        <v>43</v>
      </c>
      <c r="C453" t="s">
        <v>173</v>
      </c>
      <c r="D453" t="s">
        <v>77</v>
      </c>
      <c r="E453" t="s">
        <v>216</v>
      </c>
      <c r="F453" t="s">
        <v>57</v>
      </c>
      <c r="G453" t="s">
        <v>58</v>
      </c>
      <c r="H453">
        <v>4.8</v>
      </c>
      <c r="I453">
        <v>4.7</v>
      </c>
      <c r="J453" t="s">
        <v>20</v>
      </c>
      <c r="K453" t="s">
        <v>1168</v>
      </c>
      <c r="L453" t="s">
        <v>140</v>
      </c>
      <c r="M453" t="s">
        <v>127</v>
      </c>
      <c r="N453" t="s">
        <v>71</v>
      </c>
      <c r="O453">
        <v>145</v>
      </c>
      <c r="P453" t="s">
        <v>72</v>
      </c>
      <c r="Q453">
        <v>5462</v>
      </c>
      <c r="R453">
        <v>0</v>
      </c>
      <c r="S453" t="s">
        <v>152</v>
      </c>
      <c r="T453" t="s">
        <v>51</v>
      </c>
      <c r="U453" t="s">
        <v>52</v>
      </c>
      <c r="V453" t="s">
        <v>52</v>
      </c>
      <c r="W453" t="s">
        <v>52</v>
      </c>
      <c r="X453">
        <v>2024</v>
      </c>
      <c r="Y453" t="s">
        <v>63</v>
      </c>
      <c r="Z453" t="s">
        <v>64</v>
      </c>
    </row>
    <row r="454" spans="1:26">
      <c r="A454" t="s">
        <v>1169</v>
      </c>
      <c r="B454" t="s">
        <v>66</v>
      </c>
      <c r="C454" t="s">
        <v>76</v>
      </c>
      <c r="D454" t="s">
        <v>122</v>
      </c>
      <c r="E454" t="s">
        <v>155</v>
      </c>
      <c r="F454" t="s">
        <v>31</v>
      </c>
      <c r="G454" t="s">
        <v>32</v>
      </c>
      <c r="H454">
        <v>0.3</v>
      </c>
      <c r="I454">
        <v>24.4</v>
      </c>
      <c r="J454" t="s">
        <v>33</v>
      </c>
      <c r="K454" t="s">
        <v>459</v>
      </c>
      <c r="L454" t="s">
        <v>35</v>
      </c>
      <c r="M454" t="s">
        <v>1170</v>
      </c>
      <c r="N454" t="s">
        <v>171</v>
      </c>
      <c r="O454">
        <v>118</v>
      </c>
      <c r="Q454">
        <v>0</v>
      </c>
      <c r="R454">
        <v>0</v>
      </c>
      <c r="T454" t="s">
        <v>81</v>
      </c>
      <c r="U454" t="s">
        <v>52</v>
      </c>
      <c r="V454" t="s">
        <v>52</v>
      </c>
      <c r="W454" t="s">
        <v>52</v>
      </c>
      <c r="X454">
        <v>2023</v>
      </c>
      <c r="Y454" t="s">
        <v>312</v>
      </c>
      <c r="Z454" t="s">
        <v>83</v>
      </c>
    </row>
    <row r="455" spans="1:26">
      <c r="A455" t="s">
        <v>1171</v>
      </c>
      <c r="B455" t="s">
        <v>108</v>
      </c>
      <c r="C455" t="s">
        <v>28</v>
      </c>
      <c r="D455" t="s">
        <v>85</v>
      </c>
      <c r="E455" t="s">
        <v>138</v>
      </c>
      <c r="F455" t="s">
        <v>46</v>
      </c>
      <c r="G455" t="s">
        <v>32</v>
      </c>
      <c r="H455">
        <v>10.7</v>
      </c>
      <c r="I455">
        <v>28.7</v>
      </c>
      <c r="J455" t="s">
        <v>96</v>
      </c>
      <c r="K455" t="s">
        <v>248</v>
      </c>
      <c r="L455" t="s">
        <v>140</v>
      </c>
      <c r="M455" t="s">
        <v>1172</v>
      </c>
      <c r="N455" t="s">
        <v>71</v>
      </c>
      <c r="O455">
        <v>167</v>
      </c>
      <c r="P455" t="s">
        <v>72</v>
      </c>
      <c r="Q455">
        <v>2706</v>
      </c>
      <c r="R455">
        <v>0</v>
      </c>
      <c r="S455" t="s">
        <v>90</v>
      </c>
      <c r="T455" t="s">
        <v>81</v>
      </c>
      <c r="U455" t="s">
        <v>39</v>
      </c>
      <c r="V455" t="s">
        <v>39</v>
      </c>
      <c r="W455" t="s">
        <v>52</v>
      </c>
      <c r="X455">
        <v>2022</v>
      </c>
      <c r="Y455" t="s">
        <v>153</v>
      </c>
      <c r="Z455" t="s">
        <v>54</v>
      </c>
    </row>
    <row r="456" spans="1:26">
      <c r="A456" t="s">
        <v>1173</v>
      </c>
      <c r="B456" t="s">
        <v>66</v>
      </c>
      <c r="C456" t="s">
        <v>67</v>
      </c>
      <c r="D456" t="s">
        <v>122</v>
      </c>
      <c r="E456" t="s">
        <v>148</v>
      </c>
      <c r="F456" t="s">
        <v>124</v>
      </c>
      <c r="G456" t="s">
        <v>58</v>
      </c>
      <c r="H456">
        <v>9.1</v>
      </c>
      <c r="I456">
        <v>24</v>
      </c>
      <c r="J456" t="s">
        <v>96</v>
      </c>
      <c r="K456" t="s">
        <v>1174</v>
      </c>
      <c r="L456" t="s">
        <v>140</v>
      </c>
      <c r="M456" t="s">
        <v>1175</v>
      </c>
      <c r="N456" t="s">
        <v>37</v>
      </c>
      <c r="O456">
        <v>3</v>
      </c>
      <c r="Q456">
        <v>0</v>
      </c>
      <c r="R456">
        <v>0</v>
      </c>
      <c r="T456" t="s">
        <v>51</v>
      </c>
      <c r="U456" t="s">
        <v>39</v>
      </c>
      <c r="V456" t="s">
        <v>39</v>
      </c>
      <c r="W456" t="s">
        <v>52</v>
      </c>
      <c r="X456">
        <v>2024</v>
      </c>
      <c r="Y456" t="s">
        <v>153</v>
      </c>
      <c r="Z456" t="s">
        <v>54</v>
      </c>
    </row>
    <row r="457" spans="1:26">
      <c r="A457" t="s">
        <v>1176</v>
      </c>
      <c r="B457" t="s">
        <v>108</v>
      </c>
      <c r="C457" t="s">
        <v>28</v>
      </c>
      <c r="D457" t="s">
        <v>122</v>
      </c>
      <c r="E457" t="s">
        <v>123</v>
      </c>
      <c r="F457" t="s">
        <v>160</v>
      </c>
      <c r="G457" t="s">
        <v>32</v>
      </c>
      <c r="H457">
        <v>2.4</v>
      </c>
      <c r="I457">
        <v>28.8</v>
      </c>
      <c r="J457" t="s">
        <v>33</v>
      </c>
      <c r="K457" t="s">
        <v>753</v>
      </c>
      <c r="L457" t="s">
        <v>140</v>
      </c>
      <c r="M457" t="s">
        <v>1177</v>
      </c>
      <c r="N457" t="s">
        <v>37</v>
      </c>
      <c r="O457">
        <v>127</v>
      </c>
      <c r="Q457">
        <v>0</v>
      </c>
      <c r="R457">
        <v>0</v>
      </c>
      <c r="T457" t="s">
        <v>81</v>
      </c>
      <c r="U457" t="s">
        <v>39</v>
      </c>
      <c r="V457" t="s">
        <v>39</v>
      </c>
      <c r="W457" t="s">
        <v>52</v>
      </c>
      <c r="X457">
        <v>2023</v>
      </c>
      <c r="Y457" t="s">
        <v>40</v>
      </c>
      <c r="Z457" t="s">
        <v>41</v>
      </c>
    </row>
    <row r="458" spans="1:26">
      <c r="A458" t="s">
        <v>1178</v>
      </c>
      <c r="B458" t="s">
        <v>66</v>
      </c>
      <c r="C458" t="s">
        <v>173</v>
      </c>
      <c r="D458" t="s">
        <v>29</v>
      </c>
      <c r="E458" t="s">
        <v>45</v>
      </c>
      <c r="F458" t="s">
        <v>109</v>
      </c>
      <c r="G458" t="s">
        <v>32</v>
      </c>
      <c r="H458">
        <v>2.4</v>
      </c>
      <c r="I458">
        <v>23.9</v>
      </c>
      <c r="J458" t="s">
        <v>33</v>
      </c>
      <c r="K458" t="s">
        <v>268</v>
      </c>
      <c r="L458" t="s">
        <v>126</v>
      </c>
      <c r="M458" t="s">
        <v>214</v>
      </c>
      <c r="N458" t="s">
        <v>37</v>
      </c>
      <c r="O458">
        <v>146</v>
      </c>
      <c r="Q458">
        <v>0</v>
      </c>
      <c r="R458">
        <v>500</v>
      </c>
      <c r="T458" t="s">
        <v>38</v>
      </c>
      <c r="U458" t="s">
        <v>39</v>
      </c>
      <c r="V458" t="s">
        <v>52</v>
      </c>
      <c r="W458" t="s">
        <v>52</v>
      </c>
      <c r="X458">
        <v>2023</v>
      </c>
      <c r="Y458" t="s">
        <v>153</v>
      </c>
      <c r="Z458" t="s">
        <v>54</v>
      </c>
    </row>
    <row r="459" spans="1:26">
      <c r="A459" t="s">
        <v>1179</v>
      </c>
      <c r="B459" t="s">
        <v>66</v>
      </c>
      <c r="C459" t="s">
        <v>102</v>
      </c>
      <c r="D459" t="s">
        <v>29</v>
      </c>
      <c r="E459" t="s">
        <v>30</v>
      </c>
      <c r="F459" t="s">
        <v>238</v>
      </c>
      <c r="G459" t="s">
        <v>32</v>
      </c>
      <c r="H459">
        <v>6.3</v>
      </c>
      <c r="I459">
        <v>2</v>
      </c>
      <c r="J459" t="s">
        <v>144</v>
      </c>
      <c r="K459" t="s">
        <v>1180</v>
      </c>
      <c r="L459" t="s">
        <v>140</v>
      </c>
      <c r="M459" t="s">
        <v>127</v>
      </c>
      <c r="N459" t="s">
        <v>50</v>
      </c>
      <c r="O459">
        <v>120</v>
      </c>
      <c r="Q459">
        <v>0</v>
      </c>
      <c r="R459">
        <v>500</v>
      </c>
      <c r="T459" t="s">
        <v>136</v>
      </c>
      <c r="U459" t="s">
        <v>39</v>
      </c>
      <c r="V459" t="s">
        <v>39</v>
      </c>
      <c r="W459" t="s">
        <v>52</v>
      </c>
      <c r="X459">
        <v>2024</v>
      </c>
      <c r="Y459" t="s">
        <v>128</v>
      </c>
      <c r="Z459" t="s">
        <v>64</v>
      </c>
    </row>
    <row r="460" spans="1:26">
      <c r="A460" t="s">
        <v>1181</v>
      </c>
      <c r="B460" t="s">
        <v>43</v>
      </c>
      <c r="C460" t="s">
        <v>102</v>
      </c>
      <c r="D460" t="s">
        <v>77</v>
      </c>
      <c r="E460" t="s">
        <v>260</v>
      </c>
      <c r="F460" t="s">
        <v>68</v>
      </c>
      <c r="G460" t="s">
        <v>32</v>
      </c>
      <c r="H460">
        <v>5.0999999999999996</v>
      </c>
      <c r="I460">
        <v>3.1</v>
      </c>
      <c r="J460" t="s">
        <v>33</v>
      </c>
      <c r="K460" t="s">
        <v>378</v>
      </c>
      <c r="L460" t="s">
        <v>35</v>
      </c>
      <c r="M460" t="s">
        <v>184</v>
      </c>
      <c r="N460" t="s">
        <v>71</v>
      </c>
      <c r="O460">
        <v>147</v>
      </c>
      <c r="P460" t="s">
        <v>230</v>
      </c>
      <c r="Q460">
        <v>4848</v>
      </c>
      <c r="R460">
        <v>2000</v>
      </c>
      <c r="S460" t="s">
        <v>73</v>
      </c>
      <c r="T460" t="s">
        <v>136</v>
      </c>
      <c r="U460" t="s">
        <v>52</v>
      </c>
      <c r="V460" t="s">
        <v>39</v>
      </c>
      <c r="W460" t="s">
        <v>52</v>
      </c>
      <c r="X460">
        <v>2022</v>
      </c>
      <c r="Y460" t="s">
        <v>153</v>
      </c>
      <c r="Z460" t="s">
        <v>54</v>
      </c>
    </row>
    <row r="461" spans="1:26">
      <c r="A461" t="s">
        <v>1182</v>
      </c>
      <c r="B461" t="s">
        <v>27</v>
      </c>
      <c r="C461" t="s">
        <v>102</v>
      </c>
      <c r="D461" t="s">
        <v>29</v>
      </c>
      <c r="E461" t="s">
        <v>45</v>
      </c>
      <c r="F461" t="s">
        <v>95</v>
      </c>
      <c r="G461" t="s">
        <v>32</v>
      </c>
      <c r="H461">
        <v>10</v>
      </c>
      <c r="I461">
        <v>28.8</v>
      </c>
      <c r="J461" t="s">
        <v>96</v>
      </c>
      <c r="K461" t="s">
        <v>965</v>
      </c>
      <c r="L461" t="s">
        <v>35</v>
      </c>
      <c r="M461" t="s">
        <v>1027</v>
      </c>
      <c r="N461" t="s">
        <v>37</v>
      </c>
      <c r="O461">
        <v>122</v>
      </c>
      <c r="Q461">
        <v>0</v>
      </c>
      <c r="R461">
        <v>500</v>
      </c>
      <c r="T461" t="s">
        <v>136</v>
      </c>
      <c r="U461" t="s">
        <v>39</v>
      </c>
      <c r="V461" t="s">
        <v>39</v>
      </c>
      <c r="W461" t="s">
        <v>39</v>
      </c>
      <c r="X461">
        <v>2022</v>
      </c>
      <c r="Y461" t="s">
        <v>211</v>
      </c>
      <c r="Z461" t="s">
        <v>41</v>
      </c>
    </row>
    <row r="462" spans="1:26">
      <c r="A462" t="s">
        <v>1183</v>
      </c>
      <c r="B462" t="s">
        <v>93</v>
      </c>
      <c r="C462" t="s">
        <v>44</v>
      </c>
      <c r="D462" t="s">
        <v>77</v>
      </c>
      <c r="E462" t="s">
        <v>94</v>
      </c>
      <c r="F462" t="s">
        <v>95</v>
      </c>
      <c r="G462" t="s">
        <v>58</v>
      </c>
      <c r="H462">
        <v>11</v>
      </c>
      <c r="I462">
        <v>15.7</v>
      </c>
      <c r="J462" t="s">
        <v>156</v>
      </c>
      <c r="K462" t="s">
        <v>750</v>
      </c>
      <c r="L462" t="s">
        <v>35</v>
      </c>
      <c r="M462" t="s">
        <v>1184</v>
      </c>
      <c r="N462" t="s">
        <v>71</v>
      </c>
      <c r="O462">
        <v>178</v>
      </c>
      <c r="P462" t="s">
        <v>105</v>
      </c>
      <c r="Q462">
        <v>4044</v>
      </c>
      <c r="R462">
        <v>0</v>
      </c>
      <c r="S462" t="s">
        <v>73</v>
      </c>
      <c r="T462" t="s">
        <v>51</v>
      </c>
      <c r="U462" t="s">
        <v>52</v>
      </c>
      <c r="V462" t="s">
        <v>52</v>
      </c>
      <c r="W462" t="s">
        <v>39</v>
      </c>
      <c r="X462">
        <v>2023</v>
      </c>
      <c r="Y462" t="s">
        <v>91</v>
      </c>
      <c r="Z462" t="s">
        <v>64</v>
      </c>
    </row>
    <row r="463" spans="1:26">
      <c r="A463" t="s">
        <v>1185</v>
      </c>
      <c r="B463" t="s">
        <v>27</v>
      </c>
      <c r="C463" t="s">
        <v>28</v>
      </c>
      <c r="D463" t="s">
        <v>77</v>
      </c>
      <c r="E463" t="s">
        <v>94</v>
      </c>
      <c r="F463" t="s">
        <v>46</v>
      </c>
      <c r="G463" t="s">
        <v>58</v>
      </c>
      <c r="H463">
        <v>5.6</v>
      </c>
      <c r="I463">
        <v>15.3</v>
      </c>
      <c r="J463" t="s">
        <v>144</v>
      </c>
      <c r="K463" t="s">
        <v>1186</v>
      </c>
      <c r="L463" t="s">
        <v>140</v>
      </c>
      <c r="M463" t="s">
        <v>875</v>
      </c>
      <c r="N463" t="s">
        <v>71</v>
      </c>
      <c r="O463">
        <v>154</v>
      </c>
      <c r="P463" t="s">
        <v>72</v>
      </c>
      <c r="Q463">
        <v>6714</v>
      </c>
      <c r="R463">
        <v>500</v>
      </c>
      <c r="S463" t="s">
        <v>113</v>
      </c>
      <c r="T463" t="s">
        <v>38</v>
      </c>
      <c r="U463" t="s">
        <v>39</v>
      </c>
      <c r="V463" t="s">
        <v>39</v>
      </c>
      <c r="W463" t="s">
        <v>39</v>
      </c>
      <c r="X463">
        <v>2023</v>
      </c>
      <c r="Y463" t="s">
        <v>74</v>
      </c>
      <c r="Z463" t="s">
        <v>54</v>
      </c>
    </row>
    <row r="464" spans="1:26">
      <c r="A464" t="s">
        <v>1187</v>
      </c>
      <c r="B464" t="s">
        <v>27</v>
      </c>
      <c r="C464" t="s">
        <v>121</v>
      </c>
      <c r="D464" t="s">
        <v>77</v>
      </c>
      <c r="E464" t="s">
        <v>363</v>
      </c>
      <c r="F464" t="s">
        <v>68</v>
      </c>
      <c r="G464" t="s">
        <v>58</v>
      </c>
      <c r="H464">
        <v>4.3</v>
      </c>
      <c r="I464">
        <v>17.100000000000001</v>
      </c>
      <c r="J464" t="s">
        <v>33</v>
      </c>
      <c r="K464" t="s">
        <v>1188</v>
      </c>
      <c r="L464" t="s">
        <v>35</v>
      </c>
      <c r="M464" t="s">
        <v>1189</v>
      </c>
      <c r="N464" t="s">
        <v>61</v>
      </c>
      <c r="O464">
        <v>164</v>
      </c>
      <c r="Q464">
        <v>0</v>
      </c>
      <c r="R464">
        <v>0</v>
      </c>
      <c r="T464" t="s">
        <v>38</v>
      </c>
      <c r="U464" t="s">
        <v>39</v>
      </c>
      <c r="V464" t="s">
        <v>52</v>
      </c>
      <c r="W464" t="s">
        <v>52</v>
      </c>
      <c r="X464">
        <v>2022</v>
      </c>
      <c r="Y464" t="s">
        <v>114</v>
      </c>
      <c r="Z464" t="s">
        <v>41</v>
      </c>
    </row>
    <row r="465" spans="1:26">
      <c r="A465" t="s">
        <v>1190</v>
      </c>
      <c r="B465" t="s">
        <v>93</v>
      </c>
      <c r="C465" t="s">
        <v>76</v>
      </c>
      <c r="D465" t="s">
        <v>29</v>
      </c>
      <c r="E465" t="s">
        <v>94</v>
      </c>
      <c r="F465" t="s">
        <v>109</v>
      </c>
      <c r="G465" t="s">
        <v>58</v>
      </c>
      <c r="H465">
        <v>3.8</v>
      </c>
      <c r="I465">
        <v>12.3</v>
      </c>
      <c r="J465" t="s">
        <v>33</v>
      </c>
      <c r="K465" t="s">
        <v>1191</v>
      </c>
      <c r="L465" t="s">
        <v>48</v>
      </c>
      <c r="M465" t="s">
        <v>1192</v>
      </c>
      <c r="N465" t="s">
        <v>71</v>
      </c>
      <c r="O465">
        <v>80</v>
      </c>
      <c r="P465" t="s">
        <v>105</v>
      </c>
      <c r="Q465">
        <v>2103</v>
      </c>
      <c r="R465">
        <v>500</v>
      </c>
      <c r="S465" t="s">
        <v>73</v>
      </c>
      <c r="T465" t="s">
        <v>136</v>
      </c>
      <c r="U465" t="s">
        <v>39</v>
      </c>
      <c r="V465" t="s">
        <v>39</v>
      </c>
      <c r="W465" t="s">
        <v>52</v>
      </c>
      <c r="X465">
        <v>2024</v>
      </c>
      <c r="Y465" t="s">
        <v>106</v>
      </c>
      <c r="Z465" t="s">
        <v>83</v>
      </c>
    </row>
    <row r="466" spans="1:26">
      <c r="A466" t="s">
        <v>1193</v>
      </c>
      <c r="B466" t="s">
        <v>27</v>
      </c>
      <c r="C466" t="s">
        <v>67</v>
      </c>
      <c r="D466" t="s">
        <v>77</v>
      </c>
      <c r="E466" t="s">
        <v>143</v>
      </c>
      <c r="F466" t="s">
        <v>31</v>
      </c>
      <c r="G466" t="s">
        <v>32</v>
      </c>
      <c r="H466">
        <v>7.2</v>
      </c>
      <c r="I466">
        <v>11.9</v>
      </c>
      <c r="J466" t="s">
        <v>144</v>
      </c>
      <c r="K466" t="s">
        <v>1111</v>
      </c>
      <c r="L466" t="s">
        <v>60</v>
      </c>
      <c r="M466" t="s">
        <v>762</v>
      </c>
      <c r="N466" t="s">
        <v>50</v>
      </c>
      <c r="O466">
        <v>49</v>
      </c>
      <c r="Q466">
        <v>0</v>
      </c>
      <c r="R466">
        <v>1000</v>
      </c>
      <c r="T466" t="s">
        <v>81</v>
      </c>
      <c r="U466" t="s">
        <v>39</v>
      </c>
      <c r="V466" t="s">
        <v>52</v>
      </c>
      <c r="W466" t="s">
        <v>39</v>
      </c>
      <c r="X466">
        <v>2023</v>
      </c>
      <c r="Y466" t="s">
        <v>63</v>
      </c>
      <c r="Z466" t="s">
        <v>64</v>
      </c>
    </row>
    <row r="467" spans="1:26">
      <c r="A467" t="s">
        <v>1194</v>
      </c>
      <c r="B467" t="s">
        <v>108</v>
      </c>
      <c r="C467" t="s">
        <v>67</v>
      </c>
      <c r="D467" t="s">
        <v>77</v>
      </c>
      <c r="E467" t="s">
        <v>363</v>
      </c>
      <c r="F467" t="s">
        <v>57</v>
      </c>
      <c r="G467" t="s">
        <v>58</v>
      </c>
      <c r="H467">
        <v>5.7</v>
      </c>
      <c r="I467">
        <v>7.9</v>
      </c>
      <c r="J467" t="s">
        <v>144</v>
      </c>
      <c r="K467" t="s">
        <v>1195</v>
      </c>
      <c r="L467" t="s">
        <v>48</v>
      </c>
      <c r="M467" t="s">
        <v>1196</v>
      </c>
      <c r="N467" t="s">
        <v>37</v>
      </c>
      <c r="O467">
        <v>164</v>
      </c>
      <c r="Q467">
        <v>0</v>
      </c>
      <c r="R467">
        <v>0</v>
      </c>
      <c r="T467" t="s">
        <v>38</v>
      </c>
      <c r="U467" t="s">
        <v>39</v>
      </c>
      <c r="V467" t="s">
        <v>39</v>
      </c>
      <c r="W467" t="s">
        <v>39</v>
      </c>
      <c r="X467">
        <v>2022</v>
      </c>
      <c r="Y467" t="s">
        <v>106</v>
      </c>
      <c r="Z467" t="s">
        <v>83</v>
      </c>
    </row>
    <row r="468" spans="1:26">
      <c r="A468" t="s">
        <v>1197</v>
      </c>
      <c r="B468" t="s">
        <v>93</v>
      </c>
      <c r="C468" t="s">
        <v>76</v>
      </c>
      <c r="D468" t="s">
        <v>122</v>
      </c>
      <c r="E468" t="s">
        <v>123</v>
      </c>
      <c r="F468" t="s">
        <v>238</v>
      </c>
      <c r="G468" t="s">
        <v>58</v>
      </c>
      <c r="H468">
        <v>5.3</v>
      </c>
      <c r="I468">
        <v>22.3</v>
      </c>
      <c r="J468" t="s">
        <v>33</v>
      </c>
      <c r="K468" t="s">
        <v>532</v>
      </c>
      <c r="L468" t="s">
        <v>60</v>
      </c>
      <c r="M468" t="s">
        <v>569</v>
      </c>
      <c r="N468" t="s">
        <v>61</v>
      </c>
      <c r="O468">
        <v>37</v>
      </c>
      <c r="Q468">
        <v>0</v>
      </c>
      <c r="R468">
        <v>0</v>
      </c>
      <c r="T468" t="s">
        <v>81</v>
      </c>
      <c r="U468" t="s">
        <v>39</v>
      </c>
      <c r="V468" t="s">
        <v>52</v>
      </c>
      <c r="W468" t="s">
        <v>52</v>
      </c>
      <c r="X468">
        <v>2022</v>
      </c>
      <c r="Y468" t="s">
        <v>211</v>
      </c>
      <c r="Z468" t="s">
        <v>41</v>
      </c>
    </row>
    <row r="469" spans="1:26">
      <c r="A469" t="s">
        <v>1198</v>
      </c>
      <c r="B469" t="s">
        <v>116</v>
      </c>
      <c r="C469" t="s">
        <v>76</v>
      </c>
      <c r="D469" t="s">
        <v>122</v>
      </c>
      <c r="E469" t="s">
        <v>202</v>
      </c>
      <c r="F469" t="s">
        <v>68</v>
      </c>
      <c r="G469" t="s">
        <v>32</v>
      </c>
      <c r="H469">
        <v>2.2000000000000002</v>
      </c>
      <c r="I469">
        <v>9.5</v>
      </c>
      <c r="J469" t="s">
        <v>156</v>
      </c>
      <c r="K469" t="s">
        <v>472</v>
      </c>
      <c r="L469" t="s">
        <v>35</v>
      </c>
      <c r="M469" t="s">
        <v>1170</v>
      </c>
      <c r="N469" t="s">
        <v>37</v>
      </c>
      <c r="O469">
        <v>46</v>
      </c>
      <c r="Q469">
        <v>0</v>
      </c>
      <c r="R469">
        <v>0</v>
      </c>
      <c r="T469" t="s">
        <v>51</v>
      </c>
      <c r="U469" t="s">
        <v>39</v>
      </c>
      <c r="V469" t="s">
        <v>52</v>
      </c>
      <c r="W469" t="s">
        <v>52</v>
      </c>
      <c r="X469">
        <v>2023</v>
      </c>
      <c r="Y469" t="s">
        <v>53</v>
      </c>
      <c r="Z469" t="s">
        <v>54</v>
      </c>
    </row>
    <row r="470" spans="1:26">
      <c r="A470" t="s">
        <v>1199</v>
      </c>
      <c r="B470" t="s">
        <v>66</v>
      </c>
      <c r="C470" t="s">
        <v>28</v>
      </c>
      <c r="D470" t="s">
        <v>77</v>
      </c>
      <c r="E470" t="s">
        <v>260</v>
      </c>
      <c r="F470" t="s">
        <v>95</v>
      </c>
      <c r="G470" t="s">
        <v>58</v>
      </c>
      <c r="H470">
        <v>12</v>
      </c>
      <c r="I470">
        <v>30.9</v>
      </c>
      <c r="J470" t="s">
        <v>33</v>
      </c>
      <c r="K470" t="s">
        <v>274</v>
      </c>
      <c r="L470" t="s">
        <v>48</v>
      </c>
      <c r="M470" t="s">
        <v>1200</v>
      </c>
      <c r="N470" t="s">
        <v>71</v>
      </c>
      <c r="O470">
        <v>170</v>
      </c>
      <c r="P470" t="s">
        <v>89</v>
      </c>
      <c r="Q470">
        <v>7316</v>
      </c>
      <c r="R470">
        <v>5000</v>
      </c>
      <c r="S470" t="s">
        <v>90</v>
      </c>
      <c r="T470" t="s">
        <v>51</v>
      </c>
      <c r="U470" t="s">
        <v>39</v>
      </c>
      <c r="V470" t="s">
        <v>52</v>
      </c>
      <c r="W470" t="s">
        <v>52</v>
      </c>
      <c r="X470">
        <v>2024</v>
      </c>
      <c r="Y470" t="s">
        <v>82</v>
      </c>
      <c r="Z470" t="s">
        <v>83</v>
      </c>
    </row>
    <row r="471" spans="1:26">
      <c r="A471" t="s">
        <v>1201</v>
      </c>
      <c r="B471" t="s">
        <v>116</v>
      </c>
      <c r="C471" t="s">
        <v>173</v>
      </c>
      <c r="D471" t="s">
        <v>77</v>
      </c>
      <c r="E471" t="s">
        <v>220</v>
      </c>
      <c r="F471" t="s">
        <v>68</v>
      </c>
      <c r="G471" t="s">
        <v>32</v>
      </c>
      <c r="H471">
        <v>9.5</v>
      </c>
      <c r="I471">
        <v>11.8</v>
      </c>
      <c r="J471" t="s">
        <v>33</v>
      </c>
      <c r="K471" t="s">
        <v>1202</v>
      </c>
      <c r="L471" t="s">
        <v>98</v>
      </c>
      <c r="M471" t="s">
        <v>825</v>
      </c>
      <c r="N471" t="s">
        <v>61</v>
      </c>
      <c r="O471">
        <v>138</v>
      </c>
      <c r="Q471">
        <v>0</v>
      </c>
      <c r="R471">
        <v>0</v>
      </c>
      <c r="T471" t="s">
        <v>38</v>
      </c>
      <c r="U471" t="s">
        <v>52</v>
      </c>
      <c r="V471" t="s">
        <v>52</v>
      </c>
      <c r="W471" t="s">
        <v>39</v>
      </c>
      <c r="X471">
        <v>2023</v>
      </c>
      <c r="Y471" t="s">
        <v>106</v>
      </c>
      <c r="Z471" t="s">
        <v>83</v>
      </c>
    </row>
    <row r="472" spans="1:26">
      <c r="A472" t="s">
        <v>1203</v>
      </c>
      <c r="B472" t="s">
        <v>27</v>
      </c>
      <c r="C472" t="s">
        <v>121</v>
      </c>
      <c r="D472" t="s">
        <v>77</v>
      </c>
      <c r="E472" t="s">
        <v>94</v>
      </c>
      <c r="F472" t="s">
        <v>149</v>
      </c>
      <c r="G472" t="s">
        <v>32</v>
      </c>
      <c r="H472">
        <v>2.2000000000000002</v>
      </c>
      <c r="I472">
        <v>25.1</v>
      </c>
      <c r="J472" t="s">
        <v>33</v>
      </c>
      <c r="K472" t="s">
        <v>1204</v>
      </c>
      <c r="L472" t="s">
        <v>140</v>
      </c>
      <c r="M472" t="s">
        <v>127</v>
      </c>
      <c r="N472" t="s">
        <v>50</v>
      </c>
      <c r="O472">
        <v>96</v>
      </c>
      <c r="Q472">
        <v>0</v>
      </c>
      <c r="R472">
        <v>1000</v>
      </c>
      <c r="T472" t="s">
        <v>136</v>
      </c>
      <c r="U472" t="s">
        <v>39</v>
      </c>
      <c r="V472" t="s">
        <v>39</v>
      </c>
      <c r="W472" t="s">
        <v>52</v>
      </c>
      <c r="X472">
        <v>2024</v>
      </c>
      <c r="Y472" t="s">
        <v>128</v>
      </c>
      <c r="Z472" t="s">
        <v>64</v>
      </c>
    </row>
    <row r="473" spans="1:26">
      <c r="A473" t="s">
        <v>1205</v>
      </c>
      <c r="B473" t="s">
        <v>43</v>
      </c>
      <c r="C473" t="s">
        <v>67</v>
      </c>
      <c r="D473" t="s">
        <v>77</v>
      </c>
      <c r="E473" t="s">
        <v>78</v>
      </c>
      <c r="F473" t="s">
        <v>160</v>
      </c>
      <c r="G473" t="s">
        <v>58</v>
      </c>
      <c r="H473">
        <v>5.2</v>
      </c>
      <c r="I473">
        <v>13.5</v>
      </c>
      <c r="J473" t="s">
        <v>33</v>
      </c>
      <c r="K473" t="s">
        <v>282</v>
      </c>
      <c r="L473" t="s">
        <v>35</v>
      </c>
      <c r="M473" t="s">
        <v>785</v>
      </c>
      <c r="N473" t="s">
        <v>37</v>
      </c>
      <c r="O473">
        <v>102</v>
      </c>
      <c r="Q473">
        <v>0</v>
      </c>
      <c r="R473">
        <v>500</v>
      </c>
      <c r="T473" t="s">
        <v>51</v>
      </c>
      <c r="U473" t="s">
        <v>52</v>
      </c>
      <c r="V473" t="s">
        <v>52</v>
      </c>
      <c r="W473" t="s">
        <v>52</v>
      </c>
      <c r="X473">
        <v>2023</v>
      </c>
      <c r="Y473" t="s">
        <v>74</v>
      </c>
      <c r="Z473" t="s">
        <v>54</v>
      </c>
    </row>
    <row r="474" spans="1:26">
      <c r="A474" t="s">
        <v>1206</v>
      </c>
      <c r="B474" t="s">
        <v>108</v>
      </c>
      <c r="C474" t="s">
        <v>67</v>
      </c>
      <c r="D474" t="s">
        <v>77</v>
      </c>
      <c r="E474" t="s">
        <v>220</v>
      </c>
      <c r="F474" t="s">
        <v>149</v>
      </c>
      <c r="G474" t="s">
        <v>32</v>
      </c>
      <c r="H474">
        <v>5.2</v>
      </c>
      <c r="I474">
        <v>16.600000000000001</v>
      </c>
      <c r="J474" t="s">
        <v>33</v>
      </c>
      <c r="K474" t="s">
        <v>1207</v>
      </c>
      <c r="L474" t="s">
        <v>126</v>
      </c>
      <c r="M474" t="s">
        <v>873</v>
      </c>
      <c r="N474" t="s">
        <v>171</v>
      </c>
      <c r="O474">
        <v>132</v>
      </c>
      <c r="Q474">
        <v>0</v>
      </c>
      <c r="R474">
        <v>0</v>
      </c>
      <c r="T474" t="s">
        <v>38</v>
      </c>
      <c r="U474" t="s">
        <v>39</v>
      </c>
      <c r="V474" t="s">
        <v>52</v>
      </c>
      <c r="W474" t="s">
        <v>52</v>
      </c>
      <c r="X474">
        <v>2024</v>
      </c>
      <c r="Y474" t="s">
        <v>211</v>
      </c>
      <c r="Z474" t="s">
        <v>41</v>
      </c>
    </row>
    <row r="475" spans="1:26">
      <c r="A475" t="s">
        <v>1208</v>
      </c>
      <c r="B475" t="s">
        <v>116</v>
      </c>
      <c r="C475" t="s">
        <v>173</v>
      </c>
      <c r="D475" t="s">
        <v>29</v>
      </c>
      <c r="E475" t="s">
        <v>94</v>
      </c>
      <c r="F475" t="s">
        <v>124</v>
      </c>
      <c r="G475" t="s">
        <v>58</v>
      </c>
      <c r="H475">
        <v>6.1</v>
      </c>
      <c r="I475">
        <v>19.399999999999999</v>
      </c>
      <c r="J475" t="s">
        <v>33</v>
      </c>
      <c r="K475" t="s">
        <v>1209</v>
      </c>
      <c r="L475" t="s">
        <v>35</v>
      </c>
      <c r="M475" t="s">
        <v>235</v>
      </c>
      <c r="N475" t="s">
        <v>71</v>
      </c>
      <c r="O475">
        <v>92</v>
      </c>
      <c r="P475" t="s">
        <v>72</v>
      </c>
      <c r="Q475">
        <v>2706</v>
      </c>
      <c r="R475">
        <v>5000</v>
      </c>
      <c r="S475" t="s">
        <v>73</v>
      </c>
      <c r="T475" t="s">
        <v>62</v>
      </c>
      <c r="U475" t="s">
        <v>39</v>
      </c>
      <c r="V475" t="s">
        <v>52</v>
      </c>
      <c r="W475" t="s">
        <v>52</v>
      </c>
      <c r="X475">
        <v>2022</v>
      </c>
      <c r="Y475" t="s">
        <v>153</v>
      </c>
      <c r="Z475" t="s">
        <v>54</v>
      </c>
    </row>
    <row r="476" spans="1:26">
      <c r="A476" t="s">
        <v>1210</v>
      </c>
      <c r="B476" t="s">
        <v>43</v>
      </c>
      <c r="C476" t="s">
        <v>173</v>
      </c>
      <c r="D476" t="s">
        <v>122</v>
      </c>
      <c r="E476" t="s">
        <v>155</v>
      </c>
      <c r="F476" t="s">
        <v>238</v>
      </c>
      <c r="G476" t="s">
        <v>32</v>
      </c>
      <c r="H476">
        <v>2.4</v>
      </c>
      <c r="I476">
        <v>21.3</v>
      </c>
      <c r="J476" t="s">
        <v>33</v>
      </c>
      <c r="K476" t="s">
        <v>1086</v>
      </c>
      <c r="L476" t="s">
        <v>60</v>
      </c>
      <c r="M476" t="s">
        <v>1145</v>
      </c>
      <c r="N476" t="s">
        <v>61</v>
      </c>
      <c r="O476">
        <v>175</v>
      </c>
      <c r="Q476">
        <v>0</v>
      </c>
      <c r="R476">
        <v>0</v>
      </c>
      <c r="T476" t="s">
        <v>136</v>
      </c>
      <c r="U476" t="s">
        <v>52</v>
      </c>
      <c r="V476" t="s">
        <v>52</v>
      </c>
      <c r="W476" t="s">
        <v>39</v>
      </c>
      <c r="X476">
        <v>2023</v>
      </c>
      <c r="Y476" t="s">
        <v>114</v>
      </c>
      <c r="Z476" t="s">
        <v>41</v>
      </c>
    </row>
    <row r="477" spans="1:26">
      <c r="A477" t="s">
        <v>1211</v>
      </c>
      <c r="B477" t="s">
        <v>27</v>
      </c>
      <c r="C477" t="s">
        <v>121</v>
      </c>
      <c r="D477" t="s">
        <v>77</v>
      </c>
      <c r="E477" t="s">
        <v>216</v>
      </c>
      <c r="F477" t="s">
        <v>149</v>
      </c>
      <c r="G477" t="s">
        <v>32</v>
      </c>
      <c r="H477">
        <v>5.7</v>
      </c>
      <c r="I477">
        <v>18.3</v>
      </c>
      <c r="J477" t="s">
        <v>96</v>
      </c>
      <c r="K477" t="s">
        <v>308</v>
      </c>
      <c r="L477" t="s">
        <v>35</v>
      </c>
      <c r="M477" t="s">
        <v>318</v>
      </c>
      <c r="N477" t="s">
        <v>37</v>
      </c>
      <c r="O477">
        <v>59</v>
      </c>
      <c r="Q477">
        <v>0</v>
      </c>
      <c r="R477">
        <v>0</v>
      </c>
      <c r="T477" t="s">
        <v>51</v>
      </c>
      <c r="U477" t="s">
        <v>39</v>
      </c>
      <c r="V477" t="s">
        <v>52</v>
      </c>
      <c r="W477" t="s">
        <v>52</v>
      </c>
      <c r="X477">
        <v>2024</v>
      </c>
      <c r="Y477" t="s">
        <v>312</v>
      </c>
      <c r="Z477" t="s">
        <v>83</v>
      </c>
    </row>
    <row r="478" spans="1:26">
      <c r="A478" t="s">
        <v>1212</v>
      </c>
      <c r="B478" t="s">
        <v>66</v>
      </c>
      <c r="C478" t="s">
        <v>76</v>
      </c>
      <c r="D478" t="s">
        <v>77</v>
      </c>
      <c r="E478" t="s">
        <v>78</v>
      </c>
      <c r="F478" t="s">
        <v>149</v>
      </c>
      <c r="G478" t="s">
        <v>32</v>
      </c>
      <c r="H478">
        <v>7</v>
      </c>
      <c r="I478">
        <v>4.9000000000000004</v>
      </c>
      <c r="J478" t="s">
        <v>33</v>
      </c>
      <c r="K478" t="s">
        <v>199</v>
      </c>
      <c r="L478" t="s">
        <v>48</v>
      </c>
      <c r="M478" t="s">
        <v>905</v>
      </c>
      <c r="N478" t="s">
        <v>71</v>
      </c>
      <c r="O478">
        <v>143</v>
      </c>
      <c r="P478" t="s">
        <v>112</v>
      </c>
      <c r="Q478">
        <v>6069</v>
      </c>
      <c r="R478">
        <v>0</v>
      </c>
      <c r="S478" t="s">
        <v>90</v>
      </c>
      <c r="T478" t="s">
        <v>136</v>
      </c>
      <c r="U478" t="s">
        <v>39</v>
      </c>
      <c r="V478" t="s">
        <v>52</v>
      </c>
      <c r="W478" t="s">
        <v>39</v>
      </c>
      <c r="X478">
        <v>2024</v>
      </c>
      <c r="Y478" t="s">
        <v>40</v>
      </c>
      <c r="Z478" t="s">
        <v>41</v>
      </c>
    </row>
    <row r="479" spans="1:26">
      <c r="A479" t="s">
        <v>1213</v>
      </c>
      <c r="B479" t="s">
        <v>27</v>
      </c>
      <c r="C479" t="s">
        <v>44</v>
      </c>
      <c r="D479" t="s">
        <v>77</v>
      </c>
      <c r="E479" t="s">
        <v>220</v>
      </c>
      <c r="F479" t="s">
        <v>57</v>
      </c>
      <c r="G479" t="s">
        <v>58</v>
      </c>
      <c r="H479">
        <v>6.9</v>
      </c>
      <c r="I479">
        <v>28.1</v>
      </c>
      <c r="J479" t="s">
        <v>144</v>
      </c>
      <c r="K479" t="s">
        <v>1214</v>
      </c>
      <c r="L479" t="s">
        <v>35</v>
      </c>
      <c r="M479" t="s">
        <v>1215</v>
      </c>
      <c r="N479" t="s">
        <v>171</v>
      </c>
      <c r="O479">
        <v>40</v>
      </c>
      <c r="Q479">
        <v>0</v>
      </c>
      <c r="R479">
        <v>0</v>
      </c>
      <c r="T479" t="s">
        <v>62</v>
      </c>
      <c r="U479" t="s">
        <v>52</v>
      </c>
      <c r="V479" t="s">
        <v>39</v>
      </c>
      <c r="W479" t="s">
        <v>52</v>
      </c>
      <c r="X479">
        <v>2022</v>
      </c>
      <c r="Y479" t="s">
        <v>91</v>
      </c>
      <c r="Z479" t="s">
        <v>64</v>
      </c>
    </row>
    <row r="480" spans="1:26">
      <c r="A480" t="s">
        <v>1216</v>
      </c>
      <c r="B480" t="s">
        <v>27</v>
      </c>
      <c r="C480" t="s">
        <v>164</v>
      </c>
      <c r="D480" t="s">
        <v>29</v>
      </c>
      <c r="E480" t="s">
        <v>56</v>
      </c>
      <c r="F480" t="s">
        <v>238</v>
      </c>
      <c r="G480" t="s">
        <v>32</v>
      </c>
      <c r="H480">
        <v>1.2</v>
      </c>
      <c r="I480">
        <v>4.0999999999999996</v>
      </c>
      <c r="J480" t="s">
        <v>33</v>
      </c>
      <c r="K480" t="s">
        <v>1217</v>
      </c>
      <c r="L480" t="s">
        <v>48</v>
      </c>
      <c r="M480" t="s">
        <v>757</v>
      </c>
      <c r="N480" t="s">
        <v>61</v>
      </c>
      <c r="O480">
        <v>164</v>
      </c>
      <c r="Q480">
        <v>0</v>
      </c>
      <c r="R480">
        <v>0</v>
      </c>
      <c r="T480" t="s">
        <v>81</v>
      </c>
      <c r="U480" t="s">
        <v>39</v>
      </c>
      <c r="V480" t="s">
        <v>52</v>
      </c>
      <c r="W480" t="s">
        <v>52</v>
      </c>
      <c r="X480">
        <v>2024</v>
      </c>
      <c r="Y480" t="s">
        <v>40</v>
      </c>
      <c r="Z480" t="s">
        <v>41</v>
      </c>
    </row>
    <row r="481" spans="1:26">
      <c r="A481" t="s">
        <v>1218</v>
      </c>
      <c r="B481" t="s">
        <v>93</v>
      </c>
      <c r="C481" t="s">
        <v>44</v>
      </c>
      <c r="D481" t="s">
        <v>77</v>
      </c>
      <c r="E481" t="s">
        <v>363</v>
      </c>
      <c r="F481" t="s">
        <v>57</v>
      </c>
      <c r="G481" t="s">
        <v>58</v>
      </c>
      <c r="H481">
        <v>4.5</v>
      </c>
      <c r="I481">
        <v>0.9</v>
      </c>
      <c r="J481" t="s">
        <v>33</v>
      </c>
      <c r="K481" t="s">
        <v>793</v>
      </c>
      <c r="L481" t="s">
        <v>48</v>
      </c>
      <c r="M481" t="s">
        <v>1219</v>
      </c>
      <c r="N481" t="s">
        <v>71</v>
      </c>
      <c r="O481">
        <v>169</v>
      </c>
      <c r="P481" t="s">
        <v>105</v>
      </c>
      <c r="Q481">
        <v>6724</v>
      </c>
      <c r="R481">
        <v>0</v>
      </c>
      <c r="S481" t="s">
        <v>90</v>
      </c>
      <c r="T481" t="s">
        <v>136</v>
      </c>
      <c r="U481" t="s">
        <v>39</v>
      </c>
      <c r="V481" t="s">
        <v>52</v>
      </c>
      <c r="W481" t="s">
        <v>52</v>
      </c>
      <c r="X481">
        <v>2023</v>
      </c>
      <c r="Y481" t="s">
        <v>211</v>
      </c>
      <c r="Z481" t="s">
        <v>41</v>
      </c>
    </row>
    <row r="482" spans="1:26">
      <c r="A482" t="s">
        <v>1220</v>
      </c>
      <c r="B482" t="s">
        <v>27</v>
      </c>
      <c r="C482" t="s">
        <v>102</v>
      </c>
      <c r="D482" t="s">
        <v>77</v>
      </c>
      <c r="E482" t="s">
        <v>363</v>
      </c>
      <c r="F482" t="s">
        <v>109</v>
      </c>
      <c r="G482" t="s">
        <v>32</v>
      </c>
      <c r="H482">
        <v>7.3</v>
      </c>
      <c r="I482">
        <v>32.9</v>
      </c>
      <c r="J482" t="s">
        <v>33</v>
      </c>
      <c r="K482" t="s">
        <v>360</v>
      </c>
      <c r="L482" t="s">
        <v>48</v>
      </c>
      <c r="M482" t="s">
        <v>1221</v>
      </c>
      <c r="N482" t="s">
        <v>50</v>
      </c>
      <c r="O482">
        <v>111</v>
      </c>
      <c r="Q482">
        <v>0</v>
      </c>
      <c r="R482">
        <v>0</v>
      </c>
      <c r="T482" t="s">
        <v>38</v>
      </c>
      <c r="U482" t="s">
        <v>39</v>
      </c>
      <c r="V482" t="s">
        <v>52</v>
      </c>
      <c r="W482" t="s">
        <v>39</v>
      </c>
      <c r="X482">
        <v>2023</v>
      </c>
      <c r="Y482" t="s">
        <v>114</v>
      </c>
      <c r="Z482" t="s">
        <v>41</v>
      </c>
    </row>
    <row r="483" spans="1:26">
      <c r="A483" t="s">
        <v>1222</v>
      </c>
      <c r="B483" t="s">
        <v>108</v>
      </c>
      <c r="C483" t="s">
        <v>121</v>
      </c>
      <c r="D483" t="s">
        <v>85</v>
      </c>
      <c r="E483" t="s">
        <v>138</v>
      </c>
      <c r="F483" t="s">
        <v>31</v>
      </c>
      <c r="G483" t="s">
        <v>58</v>
      </c>
      <c r="H483">
        <v>10.9</v>
      </c>
      <c r="I483">
        <v>30.8</v>
      </c>
      <c r="J483" t="s">
        <v>156</v>
      </c>
      <c r="K483" t="s">
        <v>421</v>
      </c>
      <c r="L483" t="s">
        <v>35</v>
      </c>
      <c r="M483" t="s">
        <v>1223</v>
      </c>
      <c r="N483" t="s">
        <v>171</v>
      </c>
      <c r="O483">
        <v>135</v>
      </c>
      <c r="Q483">
        <v>0</v>
      </c>
      <c r="R483">
        <v>0</v>
      </c>
      <c r="T483" t="s">
        <v>51</v>
      </c>
      <c r="U483" t="s">
        <v>52</v>
      </c>
      <c r="V483" t="s">
        <v>52</v>
      </c>
      <c r="W483" t="s">
        <v>52</v>
      </c>
      <c r="X483">
        <v>2023</v>
      </c>
      <c r="Y483" t="s">
        <v>53</v>
      </c>
      <c r="Z483" t="s">
        <v>54</v>
      </c>
    </row>
    <row r="484" spans="1:26">
      <c r="A484" t="s">
        <v>1224</v>
      </c>
      <c r="B484" t="s">
        <v>108</v>
      </c>
      <c r="C484" t="s">
        <v>44</v>
      </c>
      <c r="D484" t="s">
        <v>85</v>
      </c>
      <c r="E484" t="s">
        <v>138</v>
      </c>
      <c r="F484" t="s">
        <v>68</v>
      </c>
      <c r="G484" t="s">
        <v>58</v>
      </c>
      <c r="H484">
        <v>10.8</v>
      </c>
      <c r="I484">
        <v>25.8</v>
      </c>
      <c r="J484" t="s">
        <v>144</v>
      </c>
      <c r="K484" t="s">
        <v>257</v>
      </c>
      <c r="L484" t="s">
        <v>98</v>
      </c>
      <c r="M484" t="s">
        <v>1225</v>
      </c>
      <c r="N484" t="s">
        <v>37</v>
      </c>
      <c r="O484">
        <v>107</v>
      </c>
      <c r="Q484">
        <v>0</v>
      </c>
      <c r="R484">
        <v>0</v>
      </c>
      <c r="T484" t="s">
        <v>38</v>
      </c>
      <c r="U484" t="s">
        <v>39</v>
      </c>
      <c r="V484" t="s">
        <v>39</v>
      </c>
      <c r="W484" t="s">
        <v>52</v>
      </c>
      <c r="X484">
        <v>2022</v>
      </c>
      <c r="Y484" t="s">
        <v>63</v>
      </c>
      <c r="Z484" t="s">
        <v>64</v>
      </c>
    </row>
    <row r="485" spans="1:26">
      <c r="A485" t="s">
        <v>1226</v>
      </c>
      <c r="B485" t="s">
        <v>116</v>
      </c>
      <c r="C485" t="s">
        <v>67</v>
      </c>
      <c r="D485" t="s">
        <v>29</v>
      </c>
      <c r="E485" t="s">
        <v>56</v>
      </c>
      <c r="F485" t="s">
        <v>95</v>
      </c>
      <c r="G485" t="s">
        <v>58</v>
      </c>
      <c r="H485">
        <v>5</v>
      </c>
      <c r="I485">
        <v>26.8</v>
      </c>
      <c r="J485" t="s">
        <v>20</v>
      </c>
      <c r="K485" t="s">
        <v>1227</v>
      </c>
      <c r="L485" t="s">
        <v>60</v>
      </c>
      <c r="M485" t="s">
        <v>1023</v>
      </c>
      <c r="N485" t="s">
        <v>37</v>
      </c>
      <c r="O485">
        <v>179</v>
      </c>
      <c r="Q485">
        <v>0</v>
      </c>
      <c r="R485">
        <v>1000</v>
      </c>
      <c r="T485" t="s">
        <v>136</v>
      </c>
      <c r="U485" t="s">
        <v>52</v>
      </c>
      <c r="V485" t="s">
        <v>39</v>
      </c>
      <c r="W485" t="s">
        <v>52</v>
      </c>
      <c r="X485">
        <v>2022</v>
      </c>
      <c r="Y485" t="s">
        <v>53</v>
      </c>
      <c r="Z485" t="s">
        <v>54</v>
      </c>
    </row>
    <row r="486" spans="1:26">
      <c r="A486" t="s">
        <v>1228</v>
      </c>
      <c r="B486" t="s">
        <v>43</v>
      </c>
      <c r="C486" t="s">
        <v>44</v>
      </c>
      <c r="D486" t="s">
        <v>77</v>
      </c>
      <c r="E486" t="s">
        <v>220</v>
      </c>
      <c r="F486" t="s">
        <v>238</v>
      </c>
      <c r="G486" t="s">
        <v>58</v>
      </c>
      <c r="H486">
        <v>4.2</v>
      </c>
      <c r="I486">
        <v>14.3</v>
      </c>
      <c r="J486" t="s">
        <v>33</v>
      </c>
      <c r="K486" t="s">
        <v>466</v>
      </c>
      <c r="L486" t="s">
        <v>35</v>
      </c>
      <c r="M486" t="s">
        <v>994</v>
      </c>
      <c r="N486" t="s">
        <v>71</v>
      </c>
      <c r="O486">
        <v>7</v>
      </c>
      <c r="P486" t="s">
        <v>89</v>
      </c>
      <c r="Q486">
        <v>6783</v>
      </c>
      <c r="R486">
        <v>500</v>
      </c>
      <c r="S486" t="s">
        <v>152</v>
      </c>
      <c r="T486" t="s">
        <v>136</v>
      </c>
      <c r="U486" t="s">
        <v>52</v>
      </c>
      <c r="V486" t="s">
        <v>52</v>
      </c>
      <c r="W486" t="s">
        <v>39</v>
      </c>
      <c r="X486">
        <v>2024</v>
      </c>
      <c r="Y486" t="s">
        <v>211</v>
      </c>
      <c r="Z486" t="s">
        <v>41</v>
      </c>
    </row>
    <row r="487" spans="1:26">
      <c r="A487" t="s">
        <v>1229</v>
      </c>
      <c r="B487" t="s">
        <v>116</v>
      </c>
      <c r="C487" t="s">
        <v>28</v>
      </c>
      <c r="D487" t="s">
        <v>29</v>
      </c>
      <c r="E487" t="s">
        <v>244</v>
      </c>
      <c r="F487" t="s">
        <v>68</v>
      </c>
      <c r="G487" t="s">
        <v>32</v>
      </c>
      <c r="H487">
        <v>3.4</v>
      </c>
      <c r="I487">
        <v>6.1</v>
      </c>
      <c r="J487" t="s">
        <v>33</v>
      </c>
      <c r="K487" t="s">
        <v>767</v>
      </c>
      <c r="L487" t="s">
        <v>140</v>
      </c>
      <c r="M487" t="s">
        <v>543</v>
      </c>
      <c r="N487" t="s">
        <v>71</v>
      </c>
      <c r="O487">
        <v>113</v>
      </c>
      <c r="P487" t="s">
        <v>112</v>
      </c>
      <c r="Q487">
        <v>3428</v>
      </c>
      <c r="R487">
        <v>5000</v>
      </c>
      <c r="S487" t="s">
        <v>113</v>
      </c>
      <c r="T487" t="s">
        <v>38</v>
      </c>
      <c r="U487" t="s">
        <v>39</v>
      </c>
      <c r="V487" t="s">
        <v>52</v>
      </c>
      <c r="W487" t="s">
        <v>52</v>
      </c>
      <c r="X487">
        <v>2023</v>
      </c>
      <c r="Y487" t="s">
        <v>53</v>
      </c>
      <c r="Z487" t="s">
        <v>54</v>
      </c>
    </row>
    <row r="488" spans="1:26">
      <c r="A488" t="s">
        <v>1230</v>
      </c>
      <c r="B488" t="s">
        <v>108</v>
      </c>
      <c r="C488" t="s">
        <v>76</v>
      </c>
      <c r="D488" t="s">
        <v>77</v>
      </c>
      <c r="E488" t="s">
        <v>78</v>
      </c>
      <c r="F488" t="s">
        <v>109</v>
      </c>
      <c r="G488" t="s">
        <v>58</v>
      </c>
      <c r="H488">
        <v>10.7</v>
      </c>
      <c r="I488">
        <v>18.899999999999999</v>
      </c>
      <c r="J488" t="s">
        <v>144</v>
      </c>
      <c r="K488" t="s">
        <v>1162</v>
      </c>
      <c r="L488" t="s">
        <v>98</v>
      </c>
      <c r="M488" t="s">
        <v>1231</v>
      </c>
      <c r="N488" t="s">
        <v>37</v>
      </c>
      <c r="O488">
        <v>46</v>
      </c>
      <c r="Q488">
        <v>0</v>
      </c>
      <c r="R488">
        <v>0</v>
      </c>
      <c r="T488" t="s">
        <v>51</v>
      </c>
      <c r="U488" t="s">
        <v>52</v>
      </c>
      <c r="V488" t="s">
        <v>39</v>
      </c>
      <c r="W488" t="s">
        <v>39</v>
      </c>
      <c r="X488">
        <v>2024</v>
      </c>
      <c r="Y488" t="s">
        <v>106</v>
      </c>
      <c r="Z488" t="s">
        <v>83</v>
      </c>
    </row>
    <row r="489" spans="1:26">
      <c r="A489" t="s">
        <v>1232</v>
      </c>
      <c r="B489" t="s">
        <v>116</v>
      </c>
      <c r="C489" t="s">
        <v>44</v>
      </c>
      <c r="D489" t="s">
        <v>77</v>
      </c>
      <c r="E489" t="s">
        <v>94</v>
      </c>
      <c r="F489" t="s">
        <v>238</v>
      </c>
      <c r="G489" t="s">
        <v>58</v>
      </c>
      <c r="H489">
        <v>10.9</v>
      </c>
      <c r="I489">
        <v>7.4</v>
      </c>
      <c r="J489" t="s">
        <v>33</v>
      </c>
      <c r="K489" t="s">
        <v>784</v>
      </c>
      <c r="L489" t="s">
        <v>48</v>
      </c>
      <c r="M489" t="s">
        <v>1186</v>
      </c>
      <c r="N489" t="s">
        <v>171</v>
      </c>
      <c r="O489">
        <v>64</v>
      </c>
      <c r="Q489">
        <v>0</v>
      </c>
      <c r="R489">
        <v>0</v>
      </c>
      <c r="T489" t="s">
        <v>38</v>
      </c>
      <c r="U489" t="s">
        <v>39</v>
      </c>
      <c r="V489" t="s">
        <v>39</v>
      </c>
      <c r="W489" t="s">
        <v>52</v>
      </c>
      <c r="X489">
        <v>2023</v>
      </c>
      <c r="Y489" t="s">
        <v>82</v>
      </c>
      <c r="Z489" t="s">
        <v>83</v>
      </c>
    </row>
    <row r="490" spans="1:26">
      <c r="A490" t="s">
        <v>1233</v>
      </c>
      <c r="B490" t="s">
        <v>43</v>
      </c>
      <c r="C490" t="s">
        <v>44</v>
      </c>
      <c r="D490" t="s">
        <v>77</v>
      </c>
      <c r="E490" t="s">
        <v>220</v>
      </c>
      <c r="F490" t="s">
        <v>57</v>
      </c>
      <c r="G490" t="s">
        <v>58</v>
      </c>
      <c r="H490">
        <v>6.8</v>
      </c>
      <c r="I490">
        <v>7</v>
      </c>
      <c r="J490" t="s">
        <v>33</v>
      </c>
      <c r="K490" t="s">
        <v>871</v>
      </c>
      <c r="L490" t="s">
        <v>48</v>
      </c>
      <c r="M490" t="s">
        <v>1234</v>
      </c>
      <c r="N490" t="s">
        <v>71</v>
      </c>
      <c r="O490">
        <v>132</v>
      </c>
      <c r="P490" t="s">
        <v>230</v>
      </c>
      <c r="Q490">
        <v>5679</v>
      </c>
      <c r="R490">
        <v>0</v>
      </c>
      <c r="S490" t="s">
        <v>152</v>
      </c>
      <c r="T490" t="s">
        <v>51</v>
      </c>
      <c r="U490" t="s">
        <v>39</v>
      </c>
      <c r="V490" t="s">
        <v>39</v>
      </c>
      <c r="W490" t="s">
        <v>52</v>
      </c>
      <c r="X490">
        <v>2024</v>
      </c>
      <c r="Y490" t="s">
        <v>53</v>
      </c>
      <c r="Z490" t="s">
        <v>54</v>
      </c>
    </row>
    <row r="491" spans="1:26">
      <c r="A491" t="s">
        <v>1235</v>
      </c>
      <c r="B491" t="s">
        <v>66</v>
      </c>
      <c r="C491" t="s">
        <v>67</v>
      </c>
      <c r="D491" t="s">
        <v>122</v>
      </c>
      <c r="E491" t="s">
        <v>123</v>
      </c>
      <c r="F491" t="s">
        <v>238</v>
      </c>
      <c r="G491" t="s">
        <v>58</v>
      </c>
      <c r="H491">
        <v>0.9</v>
      </c>
      <c r="I491">
        <v>28.6</v>
      </c>
      <c r="J491" t="s">
        <v>33</v>
      </c>
      <c r="K491" t="s">
        <v>1236</v>
      </c>
      <c r="L491" t="s">
        <v>126</v>
      </c>
      <c r="M491" t="s">
        <v>245</v>
      </c>
      <c r="N491" t="s">
        <v>50</v>
      </c>
      <c r="O491">
        <v>55</v>
      </c>
      <c r="Q491">
        <v>0</v>
      </c>
      <c r="R491">
        <v>0</v>
      </c>
      <c r="T491" t="s">
        <v>51</v>
      </c>
      <c r="U491" t="s">
        <v>52</v>
      </c>
      <c r="V491" t="s">
        <v>39</v>
      </c>
      <c r="W491" t="s">
        <v>52</v>
      </c>
      <c r="X491">
        <v>2024</v>
      </c>
      <c r="Y491" t="s">
        <v>312</v>
      </c>
      <c r="Z491" t="s">
        <v>83</v>
      </c>
    </row>
    <row r="492" spans="1:26">
      <c r="A492" t="s">
        <v>1237</v>
      </c>
      <c r="B492" t="s">
        <v>66</v>
      </c>
      <c r="C492" t="s">
        <v>164</v>
      </c>
      <c r="D492" t="s">
        <v>29</v>
      </c>
      <c r="E492" t="s">
        <v>30</v>
      </c>
      <c r="F492" t="s">
        <v>46</v>
      </c>
      <c r="G492" t="s">
        <v>58</v>
      </c>
      <c r="H492">
        <v>8.1999999999999993</v>
      </c>
      <c r="I492">
        <v>34</v>
      </c>
      <c r="J492" t="s">
        <v>156</v>
      </c>
      <c r="K492" t="s">
        <v>1238</v>
      </c>
      <c r="L492" t="s">
        <v>98</v>
      </c>
      <c r="M492" t="s">
        <v>689</v>
      </c>
      <c r="N492" t="s">
        <v>100</v>
      </c>
      <c r="O492">
        <v>162</v>
      </c>
      <c r="Q492">
        <v>0</v>
      </c>
      <c r="R492">
        <v>0</v>
      </c>
      <c r="T492" t="s">
        <v>51</v>
      </c>
      <c r="U492" t="s">
        <v>52</v>
      </c>
      <c r="V492" t="s">
        <v>39</v>
      </c>
      <c r="W492" t="s">
        <v>52</v>
      </c>
      <c r="X492">
        <v>2023</v>
      </c>
      <c r="Y492" t="s">
        <v>91</v>
      </c>
      <c r="Z492" t="s">
        <v>64</v>
      </c>
    </row>
    <row r="493" spans="1:26">
      <c r="A493" t="s">
        <v>1239</v>
      </c>
      <c r="B493" t="s">
        <v>116</v>
      </c>
      <c r="C493" t="s">
        <v>173</v>
      </c>
      <c r="D493" t="s">
        <v>77</v>
      </c>
      <c r="E493" t="s">
        <v>78</v>
      </c>
      <c r="F493" t="s">
        <v>124</v>
      </c>
      <c r="G493" t="s">
        <v>32</v>
      </c>
      <c r="H493">
        <v>2.9</v>
      </c>
      <c r="I493">
        <v>21.8</v>
      </c>
      <c r="J493" t="s">
        <v>96</v>
      </c>
      <c r="K493" t="s">
        <v>829</v>
      </c>
      <c r="L493" t="s">
        <v>48</v>
      </c>
      <c r="M493" t="s">
        <v>567</v>
      </c>
      <c r="N493" t="s">
        <v>37</v>
      </c>
      <c r="O493">
        <v>131</v>
      </c>
      <c r="Q493">
        <v>0</v>
      </c>
      <c r="R493">
        <v>0</v>
      </c>
      <c r="T493" t="s">
        <v>62</v>
      </c>
      <c r="U493" t="s">
        <v>39</v>
      </c>
      <c r="V493" t="s">
        <v>39</v>
      </c>
      <c r="W493" t="s">
        <v>52</v>
      </c>
      <c r="X493">
        <v>2024</v>
      </c>
      <c r="Y493" t="s">
        <v>82</v>
      </c>
      <c r="Z493" t="s">
        <v>83</v>
      </c>
    </row>
    <row r="494" spans="1:26">
      <c r="A494" t="s">
        <v>1240</v>
      </c>
      <c r="B494" t="s">
        <v>66</v>
      </c>
      <c r="C494" t="s">
        <v>121</v>
      </c>
      <c r="D494" t="s">
        <v>122</v>
      </c>
      <c r="E494" t="s">
        <v>130</v>
      </c>
      <c r="F494" t="s">
        <v>46</v>
      </c>
      <c r="G494" t="s">
        <v>58</v>
      </c>
      <c r="H494">
        <v>7.7</v>
      </c>
      <c r="I494">
        <v>8.6999999999999993</v>
      </c>
      <c r="J494" t="s">
        <v>33</v>
      </c>
      <c r="K494" t="s">
        <v>1241</v>
      </c>
      <c r="L494" t="s">
        <v>60</v>
      </c>
      <c r="M494" t="s">
        <v>320</v>
      </c>
      <c r="N494" t="s">
        <v>71</v>
      </c>
      <c r="O494">
        <v>52</v>
      </c>
      <c r="P494" t="s">
        <v>230</v>
      </c>
      <c r="Q494">
        <v>2039</v>
      </c>
      <c r="R494">
        <v>0</v>
      </c>
      <c r="S494" t="s">
        <v>90</v>
      </c>
      <c r="T494" t="s">
        <v>51</v>
      </c>
      <c r="U494" t="s">
        <v>39</v>
      </c>
      <c r="V494" t="s">
        <v>39</v>
      </c>
      <c r="W494" t="s">
        <v>52</v>
      </c>
      <c r="X494">
        <v>2023</v>
      </c>
      <c r="Y494" t="s">
        <v>211</v>
      </c>
      <c r="Z494" t="s">
        <v>41</v>
      </c>
    </row>
    <row r="495" spans="1:26">
      <c r="A495" t="s">
        <v>1242</v>
      </c>
      <c r="B495" t="s">
        <v>27</v>
      </c>
      <c r="C495" t="s">
        <v>44</v>
      </c>
      <c r="D495" t="s">
        <v>122</v>
      </c>
      <c r="E495" t="s">
        <v>148</v>
      </c>
      <c r="F495" t="s">
        <v>109</v>
      </c>
      <c r="G495" t="s">
        <v>32</v>
      </c>
      <c r="H495">
        <v>8.3000000000000007</v>
      </c>
      <c r="I495">
        <v>25.3</v>
      </c>
      <c r="J495" t="s">
        <v>33</v>
      </c>
      <c r="K495" t="s">
        <v>1243</v>
      </c>
      <c r="L495" t="s">
        <v>126</v>
      </c>
      <c r="M495" t="s">
        <v>561</v>
      </c>
      <c r="N495" t="s">
        <v>71</v>
      </c>
      <c r="O495">
        <v>139</v>
      </c>
      <c r="P495" t="s">
        <v>230</v>
      </c>
      <c r="Q495">
        <v>1517</v>
      </c>
      <c r="R495">
        <v>5000</v>
      </c>
      <c r="S495" t="s">
        <v>73</v>
      </c>
      <c r="T495" t="s">
        <v>136</v>
      </c>
      <c r="U495" t="s">
        <v>39</v>
      </c>
      <c r="V495" t="s">
        <v>39</v>
      </c>
      <c r="W495" t="s">
        <v>39</v>
      </c>
      <c r="X495">
        <v>2023</v>
      </c>
      <c r="Y495" t="s">
        <v>82</v>
      </c>
      <c r="Z495" t="s">
        <v>83</v>
      </c>
    </row>
    <row r="496" spans="1:26">
      <c r="A496" t="s">
        <v>1244</v>
      </c>
      <c r="B496" t="s">
        <v>43</v>
      </c>
      <c r="C496" t="s">
        <v>28</v>
      </c>
      <c r="D496" t="s">
        <v>77</v>
      </c>
      <c r="E496" t="s">
        <v>363</v>
      </c>
      <c r="F496" t="s">
        <v>57</v>
      </c>
      <c r="G496" t="s">
        <v>32</v>
      </c>
      <c r="H496">
        <v>10</v>
      </c>
      <c r="I496">
        <v>32.6</v>
      </c>
      <c r="J496" t="s">
        <v>33</v>
      </c>
      <c r="K496" t="s">
        <v>1245</v>
      </c>
      <c r="L496" t="s">
        <v>48</v>
      </c>
      <c r="M496" t="s">
        <v>338</v>
      </c>
      <c r="N496" t="s">
        <v>71</v>
      </c>
      <c r="O496">
        <v>24</v>
      </c>
      <c r="P496" t="s">
        <v>89</v>
      </c>
      <c r="Q496">
        <v>7854</v>
      </c>
      <c r="R496">
        <v>1000</v>
      </c>
      <c r="S496" t="s">
        <v>113</v>
      </c>
      <c r="T496" t="s">
        <v>136</v>
      </c>
      <c r="U496" t="s">
        <v>39</v>
      </c>
      <c r="V496" t="s">
        <v>52</v>
      </c>
      <c r="W496" t="s">
        <v>52</v>
      </c>
      <c r="X496">
        <v>2022</v>
      </c>
      <c r="Y496" t="s">
        <v>114</v>
      </c>
      <c r="Z496" t="s">
        <v>41</v>
      </c>
    </row>
    <row r="497" spans="1:26">
      <c r="A497" t="s">
        <v>1246</v>
      </c>
      <c r="B497" t="s">
        <v>93</v>
      </c>
      <c r="C497" t="s">
        <v>44</v>
      </c>
      <c r="D497" t="s">
        <v>29</v>
      </c>
      <c r="E497" t="s">
        <v>56</v>
      </c>
      <c r="F497" t="s">
        <v>57</v>
      </c>
      <c r="G497" t="s">
        <v>58</v>
      </c>
      <c r="H497">
        <v>10.4</v>
      </c>
      <c r="I497">
        <v>17.100000000000001</v>
      </c>
      <c r="J497" t="s">
        <v>144</v>
      </c>
      <c r="K497" t="s">
        <v>336</v>
      </c>
      <c r="L497" t="s">
        <v>126</v>
      </c>
      <c r="M497" t="s">
        <v>910</v>
      </c>
      <c r="N497" t="s">
        <v>37</v>
      </c>
      <c r="O497">
        <v>163</v>
      </c>
      <c r="Q497">
        <v>0</v>
      </c>
      <c r="R497">
        <v>500</v>
      </c>
      <c r="T497" t="s">
        <v>136</v>
      </c>
      <c r="U497" t="s">
        <v>52</v>
      </c>
      <c r="V497" t="s">
        <v>39</v>
      </c>
      <c r="W497" t="s">
        <v>52</v>
      </c>
      <c r="X497">
        <v>2024</v>
      </c>
      <c r="Y497" t="s">
        <v>40</v>
      </c>
      <c r="Z497" t="s">
        <v>41</v>
      </c>
    </row>
    <row r="498" spans="1:26">
      <c r="A498" t="s">
        <v>1247</v>
      </c>
      <c r="B498" t="s">
        <v>66</v>
      </c>
      <c r="C498" t="s">
        <v>164</v>
      </c>
      <c r="D498" t="s">
        <v>77</v>
      </c>
      <c r="E498" t="s">
        <v>94</v>
      </c>
      <c r="F498" t="s">
        <v>160</v>
      </c>
      <c r="G498" t="s">
        <v>32</v>
      </c>
      <c r="H498">
        <v>7.2</v>
      </c>
      <c r="I498">
        <v>5.8</v>
      </c>
      <c r="J498" t="s">
        <v>144</v>
      </c>
      <c r="K498" t="s">
        <v>1248</v>
      </c>
      <c r="L498" t="s">
        <v>60</v>
      </c>
      <c r="M498" t="s">
        <v>551</v>
      </c>
      <c r="N498" t="s">
        <v>61</v>
      </c>
      <c r="O498">
        <v>22</v>
      </c>
      <c r="Q498">
        <v>0</v>
      </c>
      <c r="R498">
        <v>0</v>
      </c>
      <c r="T498" t="s">
        <v>136</v>
      </c>
      <c r="U498" t="s">
        <v>39</v>
      </c>
      <c r="V498" t="s">
        <v>52</v>
      </c>
      <c r="W498" t="s">
        <v>52</v>
      </c>
      <c r="X498">
        <v>2024</v>
      </c>
      <c r="Y498" t="s">
        <v>53</v>
      </c>
      <c r="Z498" t="s">
        <v>54</v>
      </c>
    </row>
    <row r="499" spans="1:26">
      <c r="A499" t="s">
        <v>1249</v>
      </c>
      <c r="B499" t="s">
        <v>27</v>
      </c>
      <c r="C499" t="s">
        <v>67</v>
      </c>
      <c r="D499" t="s">
        <v>29</v>
      </c>
      <c r="E499" t="s">
        <v>56</v>
      </c>
      <c r="F499" t="s">
        <v>149</v>
      </c>
      <c r="G499" t="s">
        <v>32</v>
      </c>
      <c r="H499">
        <v>11</v>
      </c>
      <c r="I499">
        <v>0.6</v>
      </c>
      <c r="J499" t="s">
        <v>144</v>
      </c>
      <c r="K499" t="s">
        <v>345</v>
      </c>
      <c r="L499" t="s">
        <v>126</v>
      </c>
      <c r="M499" t="s">
        <v>1250</v>
      </c>
      <c r="N499" t="s">
        <v>37</v>
      </c>
      <c r="O499">
        <v>121</v>
      </c>
      <c r="Q499">
        <v>0</v>
      </c>
      <c r="R499">
        <v>0</v>
      </c>
      <c r="T499" t="s">
        <v>51</v>
      </c>
      <c r="U499" t="s">
        <v>52</v>
      </c>
      <c r="V499" t="s">
        <v>52</v>
      </c>
      <c r="W499" t="s">
        <v>52</v>
      </c>
      <c r="X499">
        <v>2022</v>
      </c>
      <c r="Y499" t="s">
        <v>91</v>
      </c>
      <c r="Z499" t="s">
        <v>64</v>
      </c>
    </row>
    <row r="500" spans="1:26">
      <c r="A500" t="s">
        <v>1251</v>
      </c>
      <c r="B500" t="s">
        <v>93</v>
      </c>
      <c r="C500" t="s">
        <v>67</v>
      </c>
      <c r="D500" t="s">
        <v>77</v>
      </c>
      <c r="E500" t="s">
        <v>143</v>
      </c>
      <c r="F500" t="s">
        <v>109</v>
      </c>
      <c r="G500" t="s">
        <v>32</v>
      </c>
      <c r="H500">
        <v>2</v>
      </c>
      <c r="I500">
        <v>26.8</v>
      </c>
      <c r="J500" t="s">
        <v>156</v>
      </c>
      <c r="K500" t="s">
        <v>1252</v>
      </c>
      <c r="L500" t="s">
        <v>98</v>
      </c>
      <c r="M500" t="s">
        <v>80</v>
      </c>
      <c r="N500" t="s">
        <v>71</v>
      </c>
      <c r="O500">
        <v>10</v>
      </c>
      <c r="P500" t="s">
        <v>72</v>
      </c>
      <c r="Q500">
        <v>6152</v>
      </c>
      <c r="R500">
        <v>1000</v>
      </c>
      <c r="S500" t="s">
        <v>73</v>
      </c>
      <c r="T500" t="s">
        <v>136</v>
      </c>
      <c r="U500" t="s">
        <v>52</v>
      </c>
      <c r="V500" t="s">
        <v>52</v>
      </c>
      <c r="W500" t="s">
        <v>52</v>
      </c>
      <c r="X500">
        <v>2024</v>
      </c>
      <c r="Y500" t="s">
        <v>74</v>
      </c>
      <c r="Z500" t="s">
        <v>54</v>
      </c>
    </row>
    <row r="501" spans="1:26">
      <c r="A501" t="s">
        <v>1253</v>
      </c>
      <c r="B501" t="s">
        <v>43</v>
      </c>
      <c r="C501" t="s">
        <v>173</v>
      </c>
      <c r="D501" t="s">
        <v>77</v>
      </c>
      <c r="E501" t="s">
        <v>78</v>
      </c>
      <c r="F501" t="s">
        <v>124</v>
      </c>
      <c r="G501" t="s">
        <v>58</v>
      </c>
      <c r="H501">
        <v>7.3</v>
      </c>
      <c r="I501">
        <v>33.1</v>
      </c>
      <c r="J501" t="s">
        <v>33</v>
      </c>
      <c r="K501" t="s">
        <v>1254</v>
      </c>
      <c r="L501" t="s">
        <v>35</v>
      </c>
      <c r="M501" t="s">
        <v>1255</v>
      </c>
      <c r="N501" t="s">
        <v>71</v>
      </c>
      <c r="O501">
        <v>93</v>
      </c>
      <c r="P501" t="s">
        <v>230</v>
      </c>
      <c r="Q501">
        <v>4211</v>
      </c>
      <c r="R501">
        <v>0</v>
      </c>
      <c r="S501" t="s">
        <v>90</v>
      </c>
      <c r="T501" t="s">
        <v>136</v>
      </c>
      <c r="U501" t="s">
        <v>39</v>
      </c>
      <c r="V501" t="s">
        <v>52</v>
      </c>
      <c r="W501" t="s">
        <v>52</v>
      </c>
      <c r="X501">
        <v>2022</v>
      </c>
      <c r="Y501" t="s">
        <v>312</v>
      </c>
      <c r="Z501" t="s">
        <v>83</v>
      </c>
    </row>
    <row r="502" spans="1:26">
      <c r="A502" t="s">
        <v>1256</v>
      </c>
      <c r="B502" t="s">
        <v>108</v>
      </c>
      <c r="C502" t="s">
        <v>173</v>
      </c>
      <c r="D502" t="s">
        <v>85</v>
      </c>
      <c r="E502" t="s">
        <v>208</v>
      </c>
      <c r="F502" t="s">
        <v>57</v>
      </c>
      <c r="G502" t="s">
        <v>58</v>
      </c>
      <c r="H502">
        <v>6.1</v>
      </c>
      <c r="I502">
        <v>18.899999999999999</v>
      </c>
      <c r="J502" t="s">
        <v>33</v>
      </c>
      <c r="K502" t="s">
        <v>1257</v>
      </c>
      <c r="L502" t="s">
        <v>98</v>
      </c>
      <c r="M502" t="s">
        <v>280</v>
      </c>
      <c r="N502" t="s">
        <v>61</v>
      </c>
      <c r="O502">
        <v>65</v>
      </c>
      <c r="Q502">
        <v>0</v>
      </c>
      <c r="R502">
        <v>0</v>
      </c>
      <c r="T502" t="s">
        <v>62</v>
      </c>
      <c r="U502" t="s">
        <v>39</v>
      </c>
      <c r="V502" t="s">
        <v>39</v>
      </c>
      <c r="W502" t="s">
        <v>52</v>
      </c>
      <c r="X502">
        <v>2024</v>
      </c>
      <c r="Y502" t="s">
        <v>53</v>
      </c>
      <c r="Z502" t="s">
        <v>54</v>
      </c>
    </row>
    <row r="503" spans="1:26">
      <c r="A503" t="s">
        <v>1258</v>
      </c>
      <c r="B503" t="s">
        <v>108</v>
      </c>
      <c r="C503" t="s">
        <v>44</v>
      </c>
      <c r="D503" t="s">
        <v>77</v>
      </c>
      <c r="E503" t="s">
        <v>94</v>
      </c>
      <c r="F503" t="s">
        <v>160</v>
      </c>
      <c r="G503" t="s">
        <v>32</v>
      </c>
      <c r="H503">
        <v>1.3</v>
      </c>
      <c r="I503">
        <v>27.2</v>
      </c>
      <c r="J503" t="s">
        <v>33</v>
      </c>
      <c r="K503" t="s">
        <v>162</v>
      </c>
      <c r="L503" t="s">
        <v>48</v>
      </c>
      <c r="M503" t="s">
        <v>1259</v>
      </c>
      <c r="N503" t="s">
        <v>71</v>
      </c>
      <c r="O503">
        <v>2</v>
      </c>
      <c r="P503" t="s">
        <v>72</v>
      </c>
      <c r="Q503">
        <v>7028</v>
      </c>
      <c r="R503">
        <v>0</v>
      </c>
      <c r="S503" t="s">
        <v>113</v>
      </c>
      <c r="T503" t="s">
        <v>81</v>
      </c>
      <c r="U503" t="s">
        <v>39</v>
      </c>
      <c r="V503" t="s">
        <v>52</v>
      </c>
      <c r="W503" t="s">
        <v>52</v>
      </c>
      <c r="X503">
        <v>2023</v>
      </c>
      <c r="Y503" t="s">
        <v>114</v>
      </c>
      <c r="Z503" t="s">
        <v>41</v>
      </c>
    </row>
    <row r="504" spans="1:26">
      <c r="A504" t="s">
        <v>1260</v>
      </c>
      <c r="B504" t="s">
        <v>43</v>
      </c>
      <c r="C504" t="s">
        <v>173</v>
      </c>
      <c r="D504" t="s">
        <v>29</v>
      </c>
      <c r="E504" t="s">
        <v>30</v>
      </c>
      <c r="F504" t="s">
        <v>57</v>
      </c>
      <c r="G504" t="s">
        <v>32</v>
      </c>
      <c r="H504">
        <v>2.5</v>
      </c>
      <c r="I504">
        <v>26.4</v>
      </c>
      <c r="J504" t="s">
        <v>156</v>
      </c>
      <c r="K504" t="s">
        <v>233</v>
      </c>
      <c r="L504" t="s">
        <v>140</v>
      </c>
      <c r="M504" t="s">
        <v>1261</v>
      </c>
      <c r="N504" t="s">
        <v>37</v>
      </c>
      <c r="O504">
        <v>146</v>
      </c>
      <c r="Q504">
        <v>0</v>
      </c>
      <c r="R504">
        <v>0</v>
      </c>
      <c r="T504" t="s">
        <v>38</v>
      </c>
      <c r="U504" t="s">
        <v>39</v>
      </c>
      <c r="V504" t="s">
        <v>39</v>
      </c>
      <c r="W504" t="s">
        <v>52</v>
      </c>
      <c r="X504">
        <v>2024</v>
      </c>
      <c r="Y504" t="s">
        <v>40</v>
      </c>
      <c r="Z504" t="s">
        <v>41</v>
      </c>
    </row>
    <row r="505" spans="1:26">
      <c r="A505" t="s">
        <v>1262</v>
      </c>
      <c r="B505" t="s">
        <v>66</v>
      </c>
      <c r="C505" t="s">
        <v>28</v>
      </c>
      <c r="D505" t="s">
        <v>29</v>
      </c>
      <c r="E505" t="s">
        <v>117</v>
      </c>
      <c r="F505" t="s">
        <v>238</v>
      </c>
      <c r="G505" t="s">
        <v>58</v>
      </c>
      <c r="H505">
        <v>7.1</v>
      </c>
      <c r="I505">
        <v>17</v>
      </c>
      <c r="J505" t="s">
        <v>33</v>
      </c>
      <c r="K505" t="s">
        <v>1130</v>
      </c>
      <c r="L505" t="s">
        <v>35</v>
      </c>
      <c r="M505" t="s">
        <v>1060</v>
      </c>
      <c r="N505" t="s">
        <v>71</v>
      </c>
      <c r="O505">
        <v>71</v>
      </c>
      <c r="P505" t="s">
        <v>105</v>
      </c>
      <c r="Q505">
        <v>2901</v>
      </c>
      <c r="R505">
        <v>0</v>
      </c>
      <c r="S505" t="s">
        <v>73</v>
      </c>
      <c r="T505" t="s">
        <v>38</v>
      </c>
      <c r="U505" t="s">
        <v>39</v>
      </c>
      <c r="V505" t="s">
        <v>52</v>
      </c>
      <c r="W505" t="s">
        <v>39</v>
      </c>
      <c r="X505">
        <v>2022</v>
      </c>
      <c r="Y505" t="s">
        <v>114</v>
      </c>
      <c r="Z505" t="s">
        <v>41</v>
      </c>
    </row>
    <row r="506" spans="1:26">
      <c r="A506" t="s">
        <v>1263</v>
      </c>
      <c r="B506" t="s">
        <v>93</v>
      </c>
      <c r="C506" t="s">
        <v>67</v>
      </c>
      <c r="D506" t="s">
        <v>85</v>
      </c>
      <c r="E506" t="s">
        <v>138</v>
      </c>
      <c r="F506" t="s">
        <v>46</v>
      </c>
      <c r="G506" t="s">
        <v>32</v>
      </c>
      <c r="H506">
        <v>9.1</v>
      </c>
      <c r="I506">
        <v>21.4</v>
      </c>
      <c r="J506" t="s">
        <v>96</v>
      </c>
      <c r="K506" t="s">
        <v>1139</v>
      </c>
      <c r="L506" t="s">
        <v>48</v>
      </c>
      <c r="M506" t="s">
        <v>127</v>
      </c>
      <c r="N506" t="s">
        <v>50</v>
      </c>
      <c r="O506">
        <v>69</v>
      </c>
      <c r="Q506">
        <v>0</v>
      </c>
      <c r="R506">
        <v>1000</v>
      </c>
      <c r="T506" t="s">
        <v>51</v>
      </c>
      <c r="U506" t="s">
        <v>52</v>
      </c>
      <c r="V506" t="s">
        <v>52</v>
      </c>
      <c r="W506" t="s">
        <v>39</v>
      </c>
      <c r="X506">
        <v>2024</v>
      </c>
      <c r="Y506" t="s">
        <v>63</v>
      </c>
      <c r="Z506" t="s">
        <v>64</v>
      </c>
    </row>
    <row r="507" spans="1:26">
      <c r="A507" t="s">
        <v>1264</v>
      </c>
      <c r="B507" t="s">
        <v>43</v>
      </c>
      <c r="C507" t="s">
        <v>76</v>
      </c>
      <c r="D507" t="s">
        <v>122</v>
      </c>
      <c r="E507" t="s">
        <v>155</v>
      </c>
      <c r="F507" t="s">
        <v>31</v>
      </c>
      <c r="G507" t="s">
        <v>58</v>
      </c>
      <c r="H507">
        <v>8.6999999999999993</v>
      </c>
      <c r="I507">
        <v>31.1</v>
      </c>
      <c r="J507" t="s">
        <v>96</v>
      </c>
      <c r="K507" t="s">
        <v>1265</v>
      </c>
      <c r="L507" t="s">
        <v>140</v>
      </c>
      <c r="M507" t="s">
        <v>694</v>
      </c>
      <c r="N507" t="s">
        <v>50</v>
      </c>
      <c r="O507">
        <v>1</v>
      </c>
      <c r="Q507">
        <v>0</v>
      </c>
      <c r="R507">
        <v>1000</v>
      </c>
      <c r="T507" t="s">
        <v>51</v>
      </c>
      <c r="U507" t="s">
        <v>39</v>
      </c>
      <c r="V507" t="s">
        <v>52</v>
      </c>
      <c r="W507" t="s">
        <v>52</v>
      </c>
      <c r="X507">
        <v>2022</v>
      </c>
      <c r="Y507" t="s">
        <v>40</v>
      </c>
      <c r="Z507" t="s">
        <v>41</v>
      </c>
    </row>
    <row r="508" spans="1:26">
      <c r="A508" t="s">
        <v>1266</v>
      </c>
      <c r="B508" t="s">
        <v>93</v>
      </c>
      <c r="C508" t="s">
        <v>76</v>
      </c>
      <c r="D508" t="s">
        <v>77</v>
      </c>
      <c r="E508" t="s">
        <v>78</v>
      </c>
      <c r="F508" t="s">
        <v>46</v>
      </c>
      <c r="G508" t="s">
        <v>58</v>
      </c>
      <c r="H508">
        <v>11.8</v>
      </c>
      <c r="I508">
        <v>33.5</v>
      </c>
      <c r="J508" t="s">
        <v>96</v>
      </c>
      <c r="K508" t="s">
        <v>1267</v>
      </c>
      <c r="L508" t="s">
        <v>98</v>
      </c>
      <c r="M508" t="s">
        <v>127</v>
      </c>
      <c r="N508" t="s">
        <v>37</v>
      </c>
      <c r="O508">
        <v>106</v>
      </c>
      <c r="Q508">
        <v>0</v>
      </c>
      <c r="R508">
        <v>0</v>
      </c>
      <c r="T508" t="s">
        <v>51</v>
      </c>
      <c r="U508" t="s">
        <v>52</v>
      </c>
      <c r="V508" t="s">
        <v>39</v>
      </c>
      <c r="W508" t="s">
        <v>52</v>
      </c>
      <c r="X508">
        <v>2024</v>
      </c>
      <c r="Y508" t="s">
        <v>128</v>
      </c>
      <c r="Z508" t="s">
        <v>64</v>
      </c>
    </row>
    <row r="509" spans="1:26">
      <c r="A509" t="s">
        <v>1268</v>
      </c>
      <c r="B509" t="s">
        <v>108</v>
      </c>
      <c r="C509" t="s">
        <v>28</v>
      </c>
      <c r="D509" t="s">
        <v>85</v>
      </c>
      <c r="E509" t="s">
        <v>138</v>
      </c>
      <c r="F509" t="s">
        <v>57</v>
      </c>
      <c r="G509" t="s">
        <v>32</v>
      </c>
      <c r="H509">
        <v>11.3</v>
      </c>
      <c r="I509">
        <v>33</v>
      </c>
      <c r="J509" t="s">
        <v>20</v>
      </c>
      <c r="K509" t="s">
        <v>248</v>
      </c>
      <c r="L509" t="s">
        <v>48</v>
      </c>
      <c r="M509" t="s">
        <v>1034</v>
      </c>
      <c r="N509" t="s">
        <v>100</v>
      </c>
      <c r="O509">
        <v>90</v>
      </c>
      <c r="Q509">
        <v>0</v>
      </c>
      <c r="R509">
        <v>0</v>
      </c>
      <c r="T509" t="s">
        <v>81</v>
      </c>
      <c r="U509" t="s">
        <v>39</v>
      </c>
      <c r="V509" t="s">
        <v>39</v>
      </c>
      <c r="W509" t="s">
        <v>52</v>
      </c>
      <c r="X509">
        <v>2022</v>
      </c>
      <c r="Y509" t="s">
        <v>153</v>
      </c>
      <c r="Z509" t="s">
        <v>54</v>
      </c>
    </row>
    <row r="510" spans="1:26">
      <c r="A510" t="s">
        <v>1269</v>
      </c>
      <c r="B510" t="s">
        <v>43</v>
      </c>
      <c r="C510" t="s">
        <v>102</v>
      </c>
      <c r="D510" t="s">
        <v>29</v>
      </c>
      <c r="E510" t="s">
        <v>56</v>
      </c>
      <c r="F510" t="s">
        <v>68</v>
      </c>
      <c r="G510" t="s">
        <v>58</v>
      </c>
      <c r="H510">
        <v>5.8</v>
      </c>
      <c r="I510">
        <v>19.2</v>
      </c>
      <c r="J510" t="s">
        <v>33</v>
      </c>
      <c r="K510" t="s">
        <v>1270</v>
      </c>
      <c r="L510" t="s">
        <v>126</v>
      </c>
      <c r="M510" t="s">
        <v>1271</v>
      </c>
      <c r="N510" t="s">
        <v>50</v>
      </c>
      <c r="O510">
        <v>44</v>
      </c>
      <c r="Q510">
        <v>0</v>
      </c>
      <c r="R510">
        <v>0</v>
      </c>
      <c r="T510" t="s">
        <v>38</v>
      </c>
      <c r="U510" t="s">
        <v>39</v>
      </c>
      <c r="V510" t="s">
        <v>52</v>
      </c>
      <c r="W510" t="s">
        <v>52</v>
      </c>
      <c r="X510">
        <v>2024</v>
      </c>
      <c r="Y510" t="s">
        <v>211</v>
      </c>
      <c r="Z510" t="s">
        <v>41</v>
      </c>
    </row>
    <row r="511" spans="1:26">
      <c r="A511" t="s">
        <v>1272</v>
      </c>
      <c r="B511" t="s">
        <v>66</v>
      </c>
      <c r="C511" t="s">
        <v>121</v>
      </c>
      <c r="D511" t="s">
        <v>29</v>
      </c>
      <c r="E511" t="s">
        <v>45</v>
      </c>
      <c r="F511" t="s">
        <v>95</v>
      </c>
      <c r="G511" t="s">
        <v>32</v>
      </c>
      <c r="H511">
        <v>8</v>
      </c>
      <c r="I511">
        <v>32.299999999999997</v>
      </c>
      <c r="J511" t="s">
        <v>96</v>
      </c>
      <c r="K511" t="s">
        <v>1273</v>
      </c>
      <c r="L511" t="s">
        <v>48</v>
      </c>
      <c r="M511" t="s">
        <v>1274</v>
      </c>
      <c r="N511" t="s">
        <v>50</v>
      </c>
      <c r="O511">
        <v>171</v>
      </c>
      <c r="Q511">
        <v>0</v>
      </c>
      <c r="R511">
        <v>0</v>
      </c>
      <c r="T511" t="s">
        <v>62</v>
      </c>
      <c r="U511" t="s">
        <v>39</v>
      </c>
      <c r="V511" t="s">
        <v>52</v>
      </c>
      <c r="W511" t="s">
        <v>52</v>
      </c>
      <c r="X511">
        <v>2023</v>
      </c>
      <c r="Y511" t="s">
        <v>153</v>
      </c>
      <c r="Z511" t="s">
        <v>54</v>
      </c>
    </row>
    <row r="512" spans="1:26">
      <c r="A512" t="s">
        <v>1275</v>
      </c>
      <c r="B512" t="s">
        <v>116</v>
      </c>
      <c r="C512" t="s">
        <v>67</v>
      </c>
      <c r="D512" t="s">
        <v>85</v>
      </c>
      <c r="E512" t="s">
        <v>86</v>
      </c>
      <c r="F512" t="s">
        <v>31</v>
      </c>
      <c r="G512" t="s">
        <v>58</v>
      </c>
      <c r="H512">
        <v>1.5</v>
      </c>
      <c r="I512">
        <v>3.5</v>
      </c>
      <c r="J512" t="s">
        <v>156</v>
      </c>
      <c r="K512" t="s">
        <v>255</v>
      </c>
      <c r="L512" t="s">
        <v>35</v>
      </c>
      <c r="M512" t="s">
        <v>1276</v>
      </c>
      <c r="N512" t="s">
        <v>37</v>
      </c>
      <c r="O512">
        <v>60</v>
      </c>
      <c r="Q512">
        <v>0</v>
      </c>
      <c r="R512">
        <v>500</v>
      </c>
      <c r="T512" t="s">
        <v>62</v>
      </c>
      <c r="U512" t="s">
        <v>39</v>
      </c>
      <c r="V512" t="s">
        <v>39</v>
      </c>
      <c r="W512" t="s">
        <v>52</v>
      </c>
      <c r="X512">
        <v>2024</v>
      </c>
      <c r="Y512" t="s">
        <v>153</v>
      </c>
      <c r="Z512" t="s">
        <v>54</v>
      </c>
    </row>
    <row r="513" spans="1:26">
      <c r="A513" t="s">
        <v>1277</v>
      </c>
      <c r="B513" t="s">
        <v>108</v>
      </c>
      <c r="C513" t="s">
        <v>67</v>
      </c>
      <c r="D513" t="s">
        <v>85</v>
      </c>
      <c r="E513" t="s">
        <v>138</v>
      </c>
      <c r="F513" t="s">
        <v>46</v>
      </c>
      <c r="G513" t="s">
        <v>58</v>
      </c>
      <c r="H513">
        <v>2.4</v>
      </c>
      <c r="I513">
        <v>13.9</v>
      </c>
      <c r="J513" t="s">
        <v>20</v>
      </c>
      <c r="K513" t="s">
        <v>1278</v>
      </c>
      <c r="L513" t="s">
        <v>98</v>
      </c>
      <c r="M513" t="s">
        <v>1042</v>
      </c>
      <c r="N513" t="s">
        <v>71</v>
      </c>
      <c r="O513">
        <v>80</v>
      </c>
      <c r="P513" t="s">
        <v>105</v>
      </c>
      <c r="Q513">
        <v>2916</v>
      </c>
      <c r="R513">
        <v>1000</v>
      </c>
      <c r="S513" t="s">
        <v>113</v>
      </c>
      <c r="T513" t="s">
        <v>38</v>
      </c>
      <c r="U513" t="s">
        <v>52</v>
      </c>
      <c r="V513" t="s">
        <v>39</v>
      </c>
      <c r="W513" t="s">
        <v>52</v>
      </c>
      <c r="X513">
        <v>2022</v>
      </c>
      <c r="Y513" t="s">
        <v>106</v>
      </c>
      <c r="Z513" t="s">
        <v>83</v>
      </c>
    </row>
    <row r="514" spans="1:26">
      <c r="A514" t="s">
        <v>1279</v>
      </c>
      <c r="B514" t="s">
        <v>66</v>
      </c>
      <c r="C514" t="s">
        <v>76</v>
      </c>
      <c r="D514" t="s">
        <v>122</v>
      </c>
      <c r="E514" t="s">
        <v>148</v>
      </c>
      <c r="F514" t="s">
        <v>31</v>
      </c>
      <c r="G514" t="s">
        <v>32</v>
      </c>
      <c r="H514">
        <v>1.9</v>
      </c>
      <c r="I514">
        <v>10.3</v>
      </c>
      <c r="J514" t="s">
        <v>33</v>
      </c>
      <c r="K514" t="s">
        <v>1241</v>
      </c>
      <c r="L514" t="s">
        <v>140</v>
      </c>
      <c r="M514" t="s">
        <v>1238</v>
      </c>
      <c r="N514" t="s">
        <v>50</v>
      </c>
      <c r="O514">
        <v>57</v>
      </c>
      <c r="Q514">
        <v>0</v>
      </c>
      <c r="R514">
        <v>1000</v>
      </c>
      <c r="T514" t="s">
        <v>38</v>
      </c>
      <c r="U514" t="s">
        <v>39</v>
      </c>
      <c r="V514" t="s">
        <v>52</v>
      </c>
      <c r="W514" t="s">
        <v>52</v>
      </c>
      <c r="X514">
        <v>2023</v>
      </c>
      <c r="Y514" t="s">
        <v>211</v>
      </c>
      <c r="Z514" t="s">
        <v>41</v>
      </c>
    </row>
    <row r="515" spans="1:26">
      <c r="A515" t="s">
        <v>1280</v>
      </c>
      <c r="B515" t="s">
        <v>66</v>
      </c>
      <c r="C515" t="s">
        <v>102</v>
      </c>
      <c r="D515" t="s">
        <v>77</v>
      </c>
      <c r="E515" t="s">
        <v>78</v>
      </c>
      <c r="F515" t="s">
        <v>238</v>
      </c>
      <c r="G515" t="s">
        <v>58</v>
      </c>
      <c r="H515">
        <v>10</v>
      </c>
      <c r="I515">
        <v>7.8</v>
      </c>
      <c r="J515" t="s">
        <v>96</v>
      </c>
      <c r="K515" t="s">
        <v>793</v>
      </c>
      <c r="L515" t="s">
        <v>126</v>
      </c>
      <c r="M515" t="s">
        <v>1281</v>
      </c>
      <c r="N515" t="s">
        <v>71</v>
      </c>
      <c r="O515">
        <v>97</v>
      </c>
      <c r="P515" t="s">
        <v>112</v>
      </c>
      <c r="Q515">
        <v>5729</v>
      </c>
      <c r="R515">
        <v>0</v>
      </c>
      <c r="S515" t="s">
        <v>152</v>
      </c>
      <c r="T515" t="s">
        <v>81</v>
      </c>
      <c r="U515" t="s">
        <v>39</v>
      </c>
      <c r="V515" t="s">
        <v>52</v>
      </c>
      <c r="W515" t="s">
        <v>52</v>
      </c>
      <c r="X515">
        <v>2023</v>
      </c>
      <c r="Y515" t="s">
        <v>211</v>
      </c>
      <c r="Z515" t="s">
        <v>41</v>
      </c>
    </row>
    <row r="516" spans="1:26">
      <c r="A516" t="s">
        <v>1282</v>
      </c>
      <c r="B516" t="s">
        <v>93</v>
      </c>
      <c r="C516" t="s">
        <v>173</v>
      </c>
      <c r="D516" t="s">
        <v>122</v>
      </c>
      <c r="E516" t="s">
        <v>130</v>
      </c>
      <c r="F516" t="s">
        <v>124</v>
      </c>
      <c r="G516" t="s">
        <v>32</v>
      </c>
      <c r="H516">
        <v>4.8</v>
      </c>
      <c r="I516">
        <v>18.7</v>
      </c>
      <c r="J516" t="s">
        <v>33</v>
      </c>
      <c r="K516" t="s">
        <v>1283</v>
      </c>
      <c r="L516" t="s">
        <v>48</v>
      </c>
      <c r="M516" t="s">
        <v>1001</v>
      </c>
      <c r="N516" t="s">
        <v>100</v>
      </c>
      <c r="O516">
        <v>90</v>
      </c>
      <c r="Q516">
        <v>0</v>
      </c>
      <c r="R516">
        <v>0</v>
      </c>
      <c r="T516" t="s">
        <v>51</v>
      </c>
      <c r="U516" t="s">
        <v>39</v>
      </c>
      <c r="V516" t="s">
        <v>52</v>
      </c>
      <c r="W516" t="s">
        <v>52</v>
      </c>
      <c r="X516">
        <v>2024</v>
      </c>
      <c r="Y516" t="s">
        <v>211</v>
      </c>
      <c r="Z516" t="s">
        <v>41</v>
      </c>
    </row>
    <row r="517" spans="1:26">
      <c r="A517" t="s">
        <v>1284</v>
      </c>
      <c r="B517" t="s">
        <v>66</v>
      </c>
      <c r="C517" t="s">
        <v>102</v>
      </c>
      <c r="D517" t="s">
        <v>77</v>
      </c>
      <c r="E517" t="s">
        <v>216</v>
      </c>
      <c r="F517" t="s">
        <v>238</v>
      </c>
      <c r="G517" t="s">
        <v>32</v>
      </c>
      <c r="H517">
        <v>10.8</v>
      </c>
      <c r="I517">
        <v>7.7</v>
      </c>
      <c r="J517" t="s">
        <v>156</v>
      </c>
      <c r="K517" t="s">
        <v>338</v>
      </c>
      <c r="L517" t="s">
        <v>140</v>
      </c>
      <c r="M517" t="s">
        <v>1285</v>
      </c>
      <c r="N517" t="s">
        <v>50</v>
      </c>
      <c r="O517">
        <v>114</v>
      </c>
      <c r="Q517">
        <v>0</v>
      </c>
      <c r="R517">
        <v>500</v>
      </c>
      <c r="T517" t="s">
        <v>38</v>
      </c>
      <c r="U517" t="s">
        <v>39</v>
      </c>
      <c r="V517" t="s">
        <v>52</v>
      </c>
      <c r="W517" t="s">
        <v>52</v>
      </c>
      <c r="X517">
        <v>2022</v>
      </c>
      <c r="Y517" t="s">
        <v>91</v>
      </c>
      <c r="Z517" t="s">
        <v>64</v>
      </c>
    </row>
    <row r="518" spans="1:26">
      <c r="A518" t="s">
        <v>1286</v>
      </c>
      <c r="B518" t="s">
        <v>27</v>
      </c>
      <c r="C518" t="s">
        <v>67</v>
      </c>
      <c r="D518" t="s">
        <v>77</v>
      </c>
      <c r="E518" t="s">
        <v>220</v>
      </c>
      <c r="F518" t="s">
        <v>31</v>
      </c>
      <c r="G518" t="s">
        <v>32</v>
      </c>
      <c r="H518">
        <v>11.3</v>
      </c>
      <c r="I518">
        <v>4.5</v>
      </c>
      <c r="J518" t="s">
        <v>33</v>
      </c>
      <c r="K518" t="s">
        <v>1287</v>
      </c>
      <c r="L518" t="s">
        <v>98</v>
      </c>
      <c r="M518" t="s">
        <v>423</v>
      </c>
      <c r="N518" t="s">
        <v>50</v>
      </c>
      <c r="O518">
        <v>92</v>
      </c>
      <c r="Q518">
        <v>0</v>
      </c>
      <c r="R518">
        <v>0</v>
      </c>
      <c r="T518" t="s">
        <v>136</v>
      </c>
      <c r="U518" t="s">
        <v>39</v>
      </c>
      <c r="V518" t="s">
        <v>39</v>
      </c>
      <c r="W518" t="s">
        <v>39</v>
      </c>
      <c r="X518">
        <v>2022</v>
      </c>
      <c r="Y518" t="s">
        <v>40</v>
      </c>
      <c r="Z518" t="s">
        <v>41</v>
      </c>
    </row>
    <row r="519" spans="1:26">
      <c r="A519" t="s">
        <v>1288</v>
      </c>
      <c r="B519" t="s">
        <v>66</v>
      </c>
      <c r="C519" t="s">
        <v>28</v>
      </c>
      <c r="D519" t="s">
        <v>77</v>
      </c>
      <c r="E519" t="s">
        <v>94</v>
      </c>
      <c r="F519" t="s">
        <v>149</v>
      </c>
      <c r="G519" t="s">
        <v>32</v>
      </c>
      <c r="H519">
        <v>8.3000000000000007</v>
      </c>
      <c r="I519">
        <v>27.9</v>
      </c>
      <c r="J519" t="s">
        <v>33</v>
      </c>
      <c r="K519" t="s">
        <v>1271</v>
      </c>
      <c r="L519" t="s">
        <v>98</v>
      </c>
      <c r="M519" t="s">
        <v>190</v>
      </c>
      <c r="N519" t="s">
        <v>71</v>
      </c>
      <c r="O519">
        <v>78</v>
      </c>
      <c r="P519" t="s">
        <v>112</v>
      </c>
      <c r="Q519">
        <v>6075</v>
      </c>
      <c r="R519">
        <v>5000</v>
      </c>
      <c r="S519" t="s">
        <v>152</v>
      </c>
      <c r="T519" t="s">
        <v>38</v>
      </c>
      <c r="U519" t="s">
        <v>39</v>
      </c>
      <c r="V519" t="s">
        <v>39</v>
      </c>
      <c r="W519" t="s">
        <v>39</v>
      </c>
      <c r="X519">
        <v>2024</v>
      </c>
      <c r="Y519" t="s">
        <v>114</v>
      </c>
      <c r="Z519" t="s">
        <v>41</v>
      </c>
    </row>
    <row r="520" spans="1:26">
      <c r="A520" t="s">
        <v>1289</v>
      </c>
      <c r="B520" t="s">
        <v>66</v>
      </c>
      <c r="C520" t="s">
        <v>28</v>
      </c>
      <c r="D520" t="s">
        <v>29</v>
      </c>
      <c r="E520" t="s">
        <v>117</v>
      </c>
      <c r="F520" t="s">
        <v>31</v>
      </c>
      <c r="G520" t="s">
        <v>58</v>
      </c>
      <c r="H520">
        <v>11.8</v>
      </c>
      <c r="I520">
        <v>17</v>
      </c>
      <c r="J520" t="s">
        <v>144</v>
      </c>
      <c r="K520" t="s">
        <v>505</v>
      </c>
      <c r="L520" t="s">
        <v>126</v>
      </c>
      <c r="M520" t="s">
        <v>127</v>
      </c>
      <c r="N520" t="s">
        <v>71</v>
      </c>
      <c r="O520">
        <v>58</v>
      </c>
      <c r="P520" t="s">
        <v>112</v>
      </c>
      <c r="Q520">
        <v>3903</v>
      </c>
      <c r="R520">
        <v>1000</v>
      </c>
      <c r="S520" t="s">
        <v>152</v>
      </c>
      <c r="T520" t="s">
        <v>62</v>
      </c>
      <c r="U520" t="s">
        <v>39</v>
      </c>
      <c r="V520" t="s">
        <v>39</v>
      </c>
      <c r="W520" t="s">
        <v>52</v>
      </c>
      <c r="X520">
        <v>2024</v>
      </c>
      <c r="Y520" t="s">
        <v>128</v>
      </c>
      <c r="Z520" t="s">
        <v>64</v>
      </c>
    </row>
    <row r="521" spans="1:26">
      <c r="A521" t="s">
        <v>1290</v>
      </c>
      <c r="B521" t="s">
        <v>27</v>
      </c>
      <c r="C521" t="s">
        <v>121</v>
      </c>
      <c r="D521" t="s">
        <v>29</v>
      </c>
      <c r="E521" t="s">
        <v>94</v>
      </c>
      <c r="F521" t="s">
        <v>95</v>
      </c>
      <c r="G521" t="s">
        <v>58</v>
      </c>
      <c r="H521">
        <v>9.8000000000000007</v>
      </c>
      <c r="I521">
        <v>27.5</v>
      </c>
      <c r="J521" t="s">
        <v>96</v>
      </c>
      <c r="K521" t="s">
        <v>1291</v>
      </c>
      <c r="L521" t="s">
        <v>48</v>
      </c>
      <c r="M521" t="s">
        <v>1028</v>
      </c>
      <c r="N521" t="s">
        <v>71</v>
      </c>
      <c r="O521">
        <v>104</v>
      </c>
      <c r="P521" t="s">
        <v>230</v>
      </c>
      <c r="Q521">
        <v>3112</v>
      </c>
      <c r="R521">
        <v>1000</v>
      </c>
      <c r="S521" t="s">
        <v>113</v>
      </c>
      <c r="T521" t="s">
        <v>62</v>
      </c>
      <c r="U521" t="s">
        <v>39</v>
      </c>
      <c r="V521" t="s">
        <v>39</v>
      </c>
      <c r="W521" t="s">
        <v>52</v>
      </c>
      <c r="X521">
        <v>2023</v>
      </c>
      <c r="Y521" t="s">
        <v>106</v>
      </c>
      <c r="Z521" t="s">
        <v>83</v>
      </c>
    </row>
    <row r="522" spans="1:26">
      <c r="A522" t="s">
        <v>1292</v>
      </c>
      <c r="B522" t="s">
        <v>116</v>
      </c>
      <c r="C522" t="s">
        <v>28</v>
      </c>
      <c r="D522" t="s">
        <v>122</v>
      </c>
      <c r="E522" t="s">
        <v>123</v>
      </c>
      <c r="F522" t="s">
        <v>95</v>
      </c>
      <c r="G522" t="s">
        <v>32</v>
      </c>
      <c r="H522">
        <v>1.1000000000000001</v>
      </c>
      <c r="I522">
        <v>9.4</v>
      </c>
      <c r="J522" t="s">
        <v>33</v>
      </c>
      <c r="K522" t="s">
        <v>456</v>
      </c>
      <c r="L522" t="s">
        <v>140</v>
      </c>
      <c r="M522" t="s">
        <v>628</v>
      </c>
      <c r="N522" t="s">
        <v>37</v>
      </c>
      <c r="O522">
        <v>33</v>
      </c>
      <c r="Q522">
        <v>0</v>
      </c>
      <c r="R522">
        <v>0</v>
      </c>
      <c r="T522" t="s">
        <v>81</v>
      </c>
      <c r="U522" t="s">
        <v>52</v>
      </c>
      <c r="V522" t="s">
        <v>52</v>
      </c>
      <c r="W522" t="s">
        <v>39</v>
      </c>
      <c r="X522">
        <v>2022</v>
      </c>
      <c r="Y522" t="s">
        <v>312</v>
      </c>
      <c r="Z522" t="s">
        <v>83</v>
      </c>
    </row>
    <row r="523" spans="1:26">
      <c r="A523" t="s">
        <v>1293</v>
      </c>
      <c r="B523" t="s">
        <v>27</v>
      </c>
      <c r="C523" t="s">
        <v>121</v>
      </c>
      <c r="D523" t="s">
        <v>77</v>
      </c>
      <c r="E523" t="s">
        <v>168</v>
      </c>
      <c r="F523" t="s">
        <v>46</v>
      </c>
      <c r="G523" t="s">
        <v>32</v>
      </c>
      <c r="H523">
        <v>7.9</v>
      </c>
      <c r="I523">
        <v>15.8</v>
      </c>
      <c r="J523" t="s">
        <v>20</v>
      </c>
      <c r="K523" t="s">
        <v>1294</v>
      </c>
      <c r="L523" t="s">
        <v>140</v>
      </c>
      <c r="M523" t="s">
        <v>1129</v>
      </c>
      <c r="N523" t="s">
        <v>61</v>
      </c>
      <c r="O523">
        <v>133</v>
      </c>
      <c r="Q523">
        <v>0</v>
      </c>
      <c r="R523">
        <v>0</v>
      </c>
      <c r="T523" t="s">
        <v>62</v>
      </c>
      <c r="U523" t="s">
        <v>39</v>
      </c>
      <c r="V523" t="s">
        <v>52</v>
      </c>
      <c r="W523" t="s">
        <v>39</v>
      </c>
      <c r="X523">
        <v>2022</v>
      </c>
      <c r="Y523" t="s">
        <v>74</v>
      </c>
      <c r="Z523" t="s">
        <v>54</v>
      </c>
    </row>
    <row r="524" spans="1:26">
      <c r="A524" t="s">
        <v>1295</v>
      </c>
      <c r="B524" t="s">
        <v>27</v>
      </c>
      <c r="C524" t="s">
        <v>102</v>
      </c>
      <c r="D524" t="s">
        <v>77</v>
      </c>
      <c r="E524" t="s">
        <v>363</v>
      </c>
      <c r="F524" t="s">
        <v>31</v>
      </c>
      <c r="G524" t="s">
        <v>32</v>
      </c>
      <c r="H524">
        <v>10</v>
      </c>
      <c r="I524">
        <v>33.5</v>
      </c>
      <c r="J524" t="s">
        <v>33</v>
      </c>
      <c r="K524" t="s">
        <v>1296</v>
      </c>
      <c r="L524" t="s">
        <v>48</v>
      </c>
      <c r="M524" t="s">
        <v>1297</v>
      </c>
      <c r="N524" t="s">
        <v>71</v>
      </c>
      <c r="O524">
        <v>49</v>
      </c>
      <c r="P524" t="s">
        <v>105</v>
      </c>
      <c r="Q524">
        <v>5455</v>
      </c>
      <c r="R524">
        <v>5000</v>
      </c>
      <c r="S524" t="s">
        <v>90</v>
      </c>
      <c r="T524" t="s">
        <v>38</v>
      </c>
      <c r="U524" t="s">
        <v>39</v>
      </c>
      <c r="V524" t="s">
        <v>52</v>
      </c>
      <c r="W524" t="s">
        <v>52</v>
      </c>
      <c r="X524">
        <v>2022</v>
      </c>
      <c r="Y524" t="s">
        <v>312</v>
      </c>
      <c r="Z524" t="s">
        <v>83</v>
      </c>
    </row>
    <row r="525" spans="1:26">
      <c r="A525" t="s">
        <v>1298</v>
      </c>
      <c r="B525" t="s">
        <v>43</v>
      </c>
      <c r="C525" t="s">
        <v>102</v>
      </c>
      <c r="D525" t="s">
        <v>77</v>
      </c>
      <c r="E525" t="s">
        <v>94</v>
      </c>
      <c r="F525" t="s">
        <v>95</v>
      </c>
      <c r="G525" t="s">
        <v>32</v>
      </c>
      <c r="H525">
        <v>8.1999999999999993</v>
      </c>
      <c r="I525">
        <v>32.9</v>
      </c>
      <c r="J525" t="s">
        <v>156</v>
      </c>
      <c r="K525" t="s">
        <v>1299</v>
      </c>
      <c r="L525" t="s">
        <v>98</v>
      </c>
      <c r="M525" t="s">
        <v>1270</v>
      </c>
      <c r="N525" t="s">
        <v>61</v>
      </c>
      <c r="O525">
        <v>22</v>
      </c>
      <c r="Q525">
        <v>0</v>
      </c>
      <c r="R525">
        <v>0</v>
      </c>
      <c r="T525" t="s">
        <v>81</v>
      </c>
      <c r="U525" t="s">
        <v>39</v>
      </c>
      <c r="V525" t="s">
        <v>52</v>
      </c>
      <c r="W525" t="s">
        <v>52</v>
      </c>
      <c r="X525">
        <v>2024</v>
      </c>
      <c r="Y525" t="s">
        <v>40</v>
      </c>
      <c r="Z525" t="s">
        <v>41</v>
      </c>
    </row>
    <row r="526" spans="1:26">
      <c r="A526" t="s">
        <v>1300</v>
      </c>
      <c r="B526" t="s">
        <v>116</v>
      </c>
      <c r="C526" t="s">
        <v>173</v>
      </c>
      <c r="D526" t="s">
        <v>85</v>
      </c>
      <c r="E526" t="s">
        <v>208</v>
      </c>
      <c r="F526" t="s">
        <v>95</v>
      </c>
      <c r="G526" t="s">
        <v>58</v>
      </c>
      <c r="H526">
        <v>0.4</v>
      </c>
      <c r="I526">
        <v>21.3</v>
      </c>
      <c r="J526" t="s">
        <v>156</v>
      </c>
      <c r="K526" t="s">
        <v>1092</v>
      </c>
      <c r="L526" t="s">
        <v>140</v>
      </c>
      <c r="M526" t="s">
        <v>857</v>
      </c>
      <c r="N526" t="s">
        <v>100</v>
      </c>
      <c r="O526">
        <v>112</v>
      </c>
      <c r="Q526">
        <v>0</v>
      </c>
      <c r="R526">
        <v>0</v>
      </c>
      <c r="T526" t="s">
        <v>136</v>
      </c>
      <c r="U526" t="s">
        <v>39</v>
      </c>
      <c r="V526" t="s">
        <v>52</v>
      </c>
      <c r="W526" t="s">
        <v>39</v>
      </c>
      <c r="X526">
        <v>2023</v>
      </c>
      <c r="Y526" t="s">
        <v>91</v>
      </c>
      <c r="Z526" t="s">
        <v>64</v>
      </c>
    </row>
    <row r="527" spans="1:26">
      <c r="A527" t="s">
        <v>1301</v>
      </c>
      <c r="B527" t="s">
        <v>43</v>
      </c>
      <c r="C527" t="s">
        <v>44</v>
      </c>
      <c r="D527" t="s">
        <v>122</v>
      </c>
      <c r="E527" t="s">
        <v>155</v>
      </c>
      <c r="F527" t="s">
        <v>95</v>
      </c>
      <c r="G527" t="s">
        <v>58</v>
      </c>
      <c r="H527">
        <v>0.2</v>
      </c>
      <c r="I527">
        <v>13.5</v>
      </c>
      <c r="J527" t="s">
        <v>33</v>
      </c>
      <c r="K527" t="s">
        <v>270</v>
      </c>
      <c r="L527" t="s">
        <v>140</v>
      </c>
      <c r="M527" t="s">
        <v>642</v>
      </c>
      <c r="N527" t="s">
        <v>37</v>
      </c>
      <c r="O527">
        <v>38</v>
      </c>
      <c r="Q527">
        <v>0</v>
      </c>
      <c r="R527">
        <v>500</v>
      </c>
      <c r="T527" t="s">
        <v>51</v>
      </c>
      <c r="U527" t="s">
        <v>52</v>
      </c>
      <c r="V527" t="s">
        <v>39</v>
      </c>
      <c r="W527" t="s">
        <v>52</v>
      </c>
      <c r="X527">
        <v>2023</v>
      </c>
      <c r="Y527" t="s">
        <v>40</v>
      </c>
      <c r="Z527" t="s">
        <v>41</v>
      </c>
    </row>
    <row r="528" spans="1:26">
      <c r="A528" t="s">
        <v>1302</v>
      </c>
      <c r="B528" t="s">
        <v>43</v>
      </c>
      <c r="C528" t="s">
        <v>67</v>
      </c>
      <c r="D528" t="s">
        <v>77</v>
      </c>
      <c r="E528" t="s">
        <v>168</v>
      </c>
      <c r="F528" t="s">
        <v>109</v>
      </c>
      <c r="G528" t="s">
        <v>32</v>
      </c>
      <c r="H528">
        <v>3.9</v>
      </c>
      <c r="I528">
        <v>26.4</v>
      </c>
      <c r="J528" t="s">
        <v>144</v>
      </c>
      <c r="K528" t="s">
        <v>1303</v>
      </c>
      <c r="L528" t="s">
        <v>140</v>
      </c>
      <c r="M528" t="s">
        <v>227</v>
      </c>
      <c r="N528" t="s">
        <v>71</v>
      </c>
      <c r="O528">
        <v>156</v>
      </c>
      <c r="P528" t="s">
        <v>89</v>
      </c>
      <c r="Q528">
        <v>3392</v>
      </c>
      <c r="R528">
        <v>0</v>
      </c>
      <c r="S528" t="s">
        <v>152</v>
      </c>
      <c r="T528" t="s">
        <v>38</v>
      </c>
      <c r="U528" t="s">
        <v>39</v>
      </c>
      <c r="V528" t="s">
        <v>52</v>
      </c>
      <c r="W528" t="s">
        <v>52</v>
      </c>
      <c r="X528">
        <v>2023</v>
      </c>
      <c r="Y528" t="s">
        <v>40</v>
      </c>
      <c r="Z528" t="s">
        <v>41</v>
      </c>
    </row>
    <row r="529" spans="1:26">
      <c r="A529" t="s">
        <v>1304</v>
      </c>
      <c r="B529" t="s">
        <v>27</v>
      </c>
      <c r="C529" t="s">
        <v>44</v>
      </c>
      <c r="D529" t="s">
        <v>77</v>
      </c>
      <c r="E529" t="s">
        <v>94</v>
      </c>
      <c r="F529" t="s">
        <v>149</v>
      </c>
      <c r="G529" t="s">
        <v>58</v>
      </c>
      <c r="H529">
        <v>8.5</v>
      </c>
      <c r="I529">
        <v>9.1</v>
      </c>
      <c r="J529" t="s">
        <v>144</v>
      </c>
      <c r="K529" t="s">
        <v>996</v>
      </c>
      <c r="L529" t="s">
        <v>60</v>
      </c>
      <c r="M529" t="s">
        <v>1305</v>
      </c>
      <c r="N529" t="s">
        <v>171</v>
      </c>
      <c r="O529">
        <v>14</v>
      </c>
      <c r="Q529">
        <v>0</v>
      </c>
      <c r="R529">
        <v>0</v>
      </c>
      <c r="T529" t="s">
        <v>136</v>
      </c>
      <c r="U529" t="s">
        <v>39</v>
      </c>
      <c r="V529" t="s">
        <v>52</v>
      </c>
      <c r="W529" t="s">
        <v>52</v>
      </c>
      <c r="X529">
        <v>2023</v>
      </c>
      <c r="Y529" t="s">
        <v>40</v>
      </c>
      <c r="Z529" t="s">
        <v>41</v>
      </c>
    </row>
    <row r="530" spans="1:26">
      <c r="A530" t="s">
        <v>1306</v>
      </c>
      <c r="B530" t="s">
        <v>66</v>
      </c>
      <c r="C530" t="s">
        <v>28</v>
      </c>
      <c r="D530" t="s">
        <v>29</v>
      </c>
      <c r="E530" t="s">
        <v>94</v>
      </c>
      <c r="F530" t="s">
        <v>95</v>
      </c>
      <c r="G530" t="s">
        <v>58</v>
      </c>
      <c r="H530">
        <v>9.3000000000000007</v>
      </c>
      <c r="I530">
        <v>29.7</v>
      </c>
      <c r="J530" t="s">
        <v>33</v>
      </c>
      <c r="K530" t="s">
        <v>1307</v>
      </c>
      <c r="L530" t="s">
        <v>48</v>
      </c>
      <c r="M530" t="s">
        <v>996</v>
      </c>
      <c r="N530" t="s">
        <v>71</v>
      </c>
      <c r="O530">
        <v>79</v>
      </c>
      <c r="P530" t="s">
        <v>105</v>
      </c>
      <c r="Q530">
        <v>2751</v>
      </c>
      <c r="R530">
        <v>500</v>
      </c>
      <c r="S530" t="s">
        <v>73</v>
      </c>
      <c r="T530" t="s">
        <v>38</v>
      </c>
      <c r="U530" t="s">
        <v>39</v>
      </c>
      <c r="V530" t="s">
        <v>52</v>
      </c>
      <c r="W530" t="s">
        <v>52</v>
      </c>
      <c r="X530">
        <v>2023</v>
      </c>
      <c r="Y530" t="s">
        <v>74</v>
      </c>
      <c r="Z530" t="s">
        <v>54</v>
      </c>
    </row>
    <row r="531" spans="1:26">
      <c r="A531" t="s">
        <v>1308</v>
      </c>
      <c r="B531" t="s">
        <v>27</v>
      </c>
      <c r="C531" t="s">
        <v>28</v>
      </c>
      <c r="D531" t="s">
        <v>77</v>
      </c>
      <c r="E531" t="s">
        <v>94</v>
      </c>
      <c r="F531" t="s">
        <v>57</v>
      </c>
      <c r="G531" t="s">
        <v>58</v>
      </c>
      <c r="H531">
        <v>6.2</v>
      </c>
      <c r="I531">
        <v>34.9</v>
      </c>
      <c r="J531" t="s">
        <v>20</v>
      </c>
      <c r="K531" t="s">
        <v>780</v>
      </c>
      <c r="L531" t="s">
        <v>48</v>
      </c>
      <c r="M531" t="s">
        <v>547</v>
      </c>
      <c r="N531" t="s">
        <v>50</v>
      </c>
      <c r="O531">
        <v>35</v>
      </c>
      <c r="Q531">
        <v>0</v>
      </c>
      <c r="R531">
        <v>1000</v>
      </c>
      <c r="T531" t="s">
        <v>38</v>
      </c>
      <c r="U531" t="s">
        <v>52</v>
      </c>
      <c r="V531" t="s">
        <v>52</v>
      </c>
      <c r="W531" t="s">
        <v>52</v>
      </c>
      <c r="X531">
        <v>2024</v>
      </c>
      <c r="Y531" t="s">
        <v>128</v>
      </c>
      <c r="Z531" t="s">
        <v>64</v>
      </c>
    </row>
    <row r="532" spans="1:26">
      <c r="A532" t="s">
        <v>1309</v>
      </c>
      <c r="B532" t="s">
        <v>27</v>
      </c>
      <c r="C532" t="s">
        <v>67</v>
      </c>
      <c r="D532" t="s">
        <v>77</v>
      </c>
      <c r="E532" t="s">
        <v>220</v>
      </c>
      <c r="F532" t="s">
        <v>238</v>
      </c>
      <c r="G532" t="s">
        <v>32</v>
      </c>
      <c r="H532">
        <v>1</v>
      </c>
      <c r="I532">
        <v>29.5</v>
      </c>
      <c r="J532" t="s">
        <v>144</v>
      </c>
      <c r="K532" t="s">
        <v>336</v>
      </c>
      <c r="L532" t="s">
        <v>126</v>
      </c>
      <c r="M532" t="s">
        <v>1055</v>
      </c>
      <c r="N532" t="s">
        <v>37</v>
      </c>
      <c r="O532">
        <v>44</v>
      </c>
      <c r="Q532">
        <v>0</v>
      </c>
      <c r="R532">
        <v>0</v>
      </c>
      <c r="T532" t="s">
        <v>81</v>
      </c>
      <c r="U532" t="s">
        <v>39</v>
      </c>
      <c r="V532" t="s">
        <v>39</v>
      </c>
      <c r="W532" t="s">
        <v>52</v>
      </c>
      <c r="X532">
        <v>2024</v>
      </c>
      <c r="Y532" t="s">
        <v>40</v>
      </c>
      <c r="Z532" t="s">
        <v>41</v>
      </c>
    </row>
    <row r="533" spans="1:26">
      <c r="A533" t="s">
        <v>1310</v>
      </c>
      <c r="B533" t="s">
        <v>66</v>
      </c>
      <c r="C533" t="s">
        <v>44</v>
      </c>
      <c r="D533" t="s">
        <v>77</v>
      </c>
      <c r="E533" t="s">
        <v>143</v>
      </c>
      <c r="F533" t="s">
        <v>124</v>
      </c>
      <c r="G533" t="s">
        <v>32</v>
      </c>
      <c r="H533">
        <v>3.3</v>
      </c>
      <c r="I533">
        <v>0.6</v>
      </c>
      <c r="J533" t="s">
        <v>156</v>
      </c>
      <c r="K533" t="s">
        <v>1311</v>
      </c>
      <c r="L533" t="s">
        <v>140</v>
      </c>
      <c r="M533" t="s">
        <v>301</v>
      </c>
      <c r="N533" t="s">
        <v>50</v>
      </c>
      <c r="O533">
        <v>77</v>
      </c>
      <c r="Q533">
        <v>0</v>
      </c>
      <c r="R533">
        <v>500</v>
      </c>
      <c r="T533" t="s">
        <v>38</v>
      </c>
      <c r="U533" t="s">
        <v>52</v>
      </c>
      <c r="V533" t="s">
        <v>52</v>
      </c>
      <c r="W533" t="s">
        <v>52</v>
      </c>
      <c r="X533">
        <v>2023</v>
      </c>
      <c r="Y533" t="s">
        <v>211</v>
      </c>
      <c r="Z533" t="s">
        <v>41</v>
      </c>
    </row>
    <row r="534" spans="1:26">
      <c r="A534" t="s">
        <v>1312</v>
      </c>
      <c r="B534" t="s">
        <v>93</v>
      </c>
      <c r="C534" t="s">
        <v>164</v>
      </c>
      <c r="D534" t="s">
        <v>77</v>
      </c>
      <c r="E534" t="s">
        <v>260</v>
      </c>
      <c r="F534" t="s">
        <v>57</v>
      </c>
      <c r="G534" t="s">
        <v>32</v>
      </c>
      <c r="H534">
        <v>3.7</v>
      </c>
      <c r="I534">
        <v>4.2</v>
      </c>
      <c r="J534" t="s">
        <v>33</v>
      </c>
      <c r="K534" t="s">
        <v>1313</v>
      </c>
      <c r="L534" t="s">
        <v>35</v>
      </c>
      <c r="M534" t="s">
        <v>1314</v>
      </c>
      <c r="N534" t="s">
        <v>50</v>
      </c>
      <c r="O534">
        <v>158</v>
      </c>
      <c r="Q534">
        <v>0</v>
      </c>
      <c r="R534">
        <v>500</v>
      </c>
      <c r="T534" t="s">
        <v>136</v>
      </c>
      <c r="U534" t="s">
        <v>52</v>
      </c>
      <c r="V534" t="s">
        <v>39</v>
      </c>
      <c r="W534" t="s">
        <v>39</v>
      </c>
      <c r="X534">
        <v>2022</v>
      </c>
      <c r="Y534" t="s">
        <v>106</v>
      </c>
      <c r="Z534" t="s">
        <v>83</v>
      </c>
    </row>
    <row r="535" spans="1:26">
      <c r="A535" t="s">
        <v>1315</v>
      </c>
      <c r="B535" t="s">
        <v>43</v>
      </c>
      <c r="C535" t="s">
        <v>121</v>
      </c>
      <c r="D535" t="s">
        <v>29</v>
      </c>
      <c r="E535" t="s">
        <v>244</v>
      </c>
      <c r="F535" t="s">
        <v>57</v>
      </c>
      <c r="G535" t="s">
        <v>32</v>
      </c>
      <c r="H535">
        <v>2</v>
      </c>
      <c r="I535">
        <v>23.2</v>
      </c>
      <c r="J535" t="s">
        <v>33</v>
      </c>
      <c r="K535" t="s">
        <v>184</v>
      </c>
      <c r="L535" t="s">
        <v>60</v>
      </c>
      <c r="M535" t="s">
        <v>464</v>
      </c>
      <c r="N535" t="s">
        <v>71</v>
      </c>
      <c r="O535">
        <v>106</v>
      </c>
      <c r="P535" t="s">
        <v>112</v>
      </c>
      <c r="Q535">
        <v>3496</v>
      </c>
      <c r="R535">
        <v>0</v>
      </c>
      <c r="S535" t="s">
        <v>113</v>
      </c>
      <c r="T535" t="s">
        <v>62</v>
      </c>
      <c r="U535" t="s">
        <v>39</v>
      </c>
      <c r="V535" t="s">
        <v>39</v>
      </c>
      <c r="W535" t="s">
        <v>52</v>
      </c>
      <c r="X535">
        <v>2022</v>
      </c>
      <c r="Y535" t="s">
        <v>128</v>
      </c>
      <c r="Z535" t="s">
        <v>64</v>
      </c>
    </row>
    <row r="536" spans="1:26">
      <c r="A536" t="s">
        <v>1316</v>
      </c>
      <c r="B536" t="s">
        <v>66</v>
      </c>
      <c r="C536" t="s">
        <v>102</v>
      </c>
      <c r="D536" t="s">
        <v>77</v>
      </c>
      <c r="E536" t="s">
        <v>216</v>
      </c>
      <c r="F536" t="s">
        <v>95</v>
      </c>
      <c r="G536" t="s">
        <v>58</v>
      </c>
      <c r="H536">
        <v>0.2</v>
      </c>
      <c r="I536">
        <v>31</v>
      </c>
      <c r="J536" t="s">
        <v>33</v>
      </c>
      <c r="K536" t="s">
        <v>1317</v>
      </c>
      <c r="L536" t="s">
        <v>35</v>
      </c>
      <c r="M536" t="s">
        <v>305</v>
      </c>
      <c r="N536" t="s">
        <v>100</v>
      </c>
      <c r="O536">
        <v>91</v>
      </c>
      <c r="Q536">
        <v>0</v>
      </c>
      <c r="R536">
        <v>0</v>
      </c>
      <c r="T536" t="s">
        <v>81</v>
      </c>
      <c r="U536" t="s">
        <v>52</v>
      </c>
      <c r="V536" t="s">
        <v>52</v>
      </c>
      <c r="W536" t="s">
        <v>52</v>
      </c>
      <c r="X536">
        <v>2022</v>
      </c>
      <c r="Y536" t="s">
        <v>91</v>
      </c>
      <c r="Z536" t="s">
        <v>64</v>
      </c>
    </row>
    <row r="537" spans="1:26">
      <c r="A537" t="s">
        <v>1318</v>
      </c>
      <c r="B537" t="s">
        <v>108</v>
      </c>
      <c r="C537" t="s">
        <v>164</v>
      </c>
      <c r="D537" t="s">
        <v>77</v>
      </c>
      <c r="E537" t="s">
        <v>216</v>
      </c>
      <c r="F537" t="s">
        <v>46</v>
      </c>
      <c r="G537" t="s">
        <v>32</v>
      </c>
      <c r="H537">
        <v>1.5</v>
      </c>
      <c r="I537">
        <v>17.399999999999999</v>
      </c>
      <c r="J537" t="s">
        <v>20</v>
      </c>
      <c r="K537" t="s">
        <v>192</v>
      </c>
      <c r="L537" t="s">
        <v>98</v>
      </c>
      <c r="M537" t="s">
        <v>1319</v>
      </c>
      <c r="N537" t="s">
        <v>61</v>
      </c>
      <c r="O537">
        <v>123</v>
      </c>
      <c r="Q537">
        <v>0</v>
      </c>
      <c r="R537">
        <v>0</v>
      </c>
      <c r="T537" t="s">
        <v>136</v>
      </c>
      <c r="U537" t="s">
        <v>39</v>
      </c>
      <c r="V537" t="s">
        <v>39</v>
      </c>
      <c r="W537" t="s">
        <v>39</v>
      </c>
      <c r="X537">
        <v>2023</v>
      </c>
      <c r="Y537" t="s">
        <v>82</v>
      </c>
      <c r="Z537" t="s">
        <v>83</v>
      </c>
    </row>
    <row r="538" spans="1:26">
      <c r="A538" t="s">
        <v>1320</v>
      </c>
      <c r="B538" t="s">
        <v>27</v>
      </c>
      <c r="C538" t="s">
        <v>76</v>
      </c>
      <c r="D538" t="s">
        <v>77</v>
      </c>
      <c r="E538" t="s">
        <v>216</v>
      </c>
      <c r="F538" t="s">
        <v>57</v>
      </c>
      <c r="G538" t="s">
        <v>32</v>
      </c>
      <c r="H538">
        <v>8.1999999999999993</v>
      </c>
      <c r="I538">
        <v>12.3</v>
      </c>
      <c r="J538" t="s">
        <v>33</v>
      </c>
      <c r="K538" t="s">
        <v>1321</v>
      </c>
      <c r="L538" t="s">
        <v>60</v>
      </c>
      <c r="M538" t="s">
        <v>192</v>
      </c>
      <c r="N538" t="s">
        <v>71</v>
      </c>
      <c r="O538">
        <v>89</v>
      </c>
      <c r="P538" t="s">
        <v>112</v>
      </c>
      <c r="Q538">
        <v>4937</v>
      </c>
      <c r="R538">
        <v>0</v>
      </c>
      <c r="S538" t="s">
        <v>73</v>
      </c>
      <c r="T538" t="s">
        <v>136</v>
      </c>
      <c r="U538" t="s">
        <v>39</v>
      </c>
      <c r="V538" t="s">
        <v>52</v>
      </c>
      <c r="W538" t="s">
        <v>52</v>
      </c>
      <c r="X538">
        <v>2022</v>
      </c>
      <c r="Y538" t="s">
        <v>128</v>
      </c>
      <c r="Z538" t="s">
        <v>64</v>
      </c>
    </row>
    <row r="539" spans="1:26">
      <c r="A539" t="s">
        <v>1322</v>
      </c>
      <c r="B539" t="s">
        <v>43</v>
      </c>
      <c r="C539" t="s">
        <v>121</v>
      </c>
      <c r="D539" t="s">
        <v>29</v>
      </c>
      <c r="E539" t="s">
        <v>45</v>
      </c>
      <c r="F539" t="s">
        <v>95</v>
      </c>
      <c r="G539" t="s">
        <v>58</v>
      </c>
      <c r="H539">
        <v>3</v>
      </c>
      <c r="I539">
        <v>28.8</v>
      </c>
      <c r="J539" t="s">
        <v>33</v>
      </c>
      <c r="K539" t="s">
        <v>659</v>
      </c>
      <c r="L539" t="s">
        <v>140</v>
      </c>
      <c r="M539" t="s">
        <v>785</v>
      </c>
      <c r="N539" t="s">
        <v>71</v>
      </c>
      <c r="O539">
        <v>72</v>
      </c>
      <c r="P539" t="s">
        <v>89</v>
      </c>
      <c r="Q539">
        <v>2579</v>
      </c>
      <c r="R539">
        <v>2000</v>
      </c>
      <c r="S539" t="s">
        <v>113</v>
      </c>
      <c r="T539" t="s">
        <v>38</v>
      </c>
      <c r="U539" t="s">
        <v>39</v>
      </c>
      <c r="V539" t="s">
        <v>52</v>
      </c>
      <c r="W539" t="s">
        <v>39</v>
      </c>
      <c r="X539">
        <v>2023</v>
      </c>
      <c r="Y539" t="s">
        <v>53</v>
      </c>
      <c r="Z539" t="s">
        <v>54</v>
      </c>
    </row>
    <row r="540" spans="1:26">
      <c r="A540" t="s">
        <v>1323</v>
      </c>
      <c r="B540" t="s">
        <v>108</v>
      </c>
      <c r="C540" t="s">
        <v>173</v>
      </c>
      <c r="D540" t="s">
        <v>29</v>
      </c>
      <c r="E540" t="s">
        <v>45</v>
      </c>
      <c r="F540" t="s">
        <v>124</v>
      </c>
      <c r="G540" t="s">
        <v>58</v>
      </c>
      <c r="H540">
        <v>1.2</v>
      </c>
      <c r="I540">
        <v>2.2999999999999998</v>
      </c>
      <c r="J540" t="s">
        <v>33</v>
      </c>
      <c r="K540" t="s">
        <v>443</v>
      </c>
      <c r="L540" t="s">
        <v>126</v>
      </c>
      <c r="M540" t="s">
        <v>984</v>
      </c>
      <c r="N540" t="s">
        <v>71</v>
      </c>
      <c r="O540">
        <v>110</v>
      </c>
      <c r="P540" t="s">
        <v>112</v>
      </c>
      <c r="Q540">
        <v>4025</v>
      </c>
      <c r="R540">
        <v>0</v>
      </c>
      <c r="S540" t="s">
        <v>73</v>
      </c>
      <c r="T540" t="s">
        <v>62</v>
      </c>
      <c r="U540" t="s">
        <v>52</v>
      </c>
      <c r="V540" t="s">
        <v>52</v>
      </c>
      <c r="W540" t="s">
        <v>39</v>
      </c>
      <c r="X540">
        <v>2022</v>
      </c>
      <c r="Y540" t="s">
        <v>91</v>
      </c>
      <c r="Z540" t="s">
        <v>64</v>
      </c>
    </row>
    <row r="541" spans="1:26">
      <c r="A541" t="s">
        <v>1324</v>
      </c>
      <c r="B541" t="s">
        <v>43</v>
      </c>
      <c r="C541" t="s">
        <v>67</v>
      </c>
      <c r="D541" t="s">
        <v>29</v>
      </c>
      <c r="E541" t="s">
        <v>30</v>
      </c>
      <c r="F541" t="s">
        <v>238</v>
      </c>
      <c r="G541" t="s">
        <v>58</v>
      </c>
      <c r="H541">
        <v>11.3</v>
      </c>
      <c r="I541">
        <v>25</v>
      </c>
      <c r="J541" t="s">
        <v>33</v>
      </c>
      <c r="K541" t="s">
        <v>1325</v>
      </c>
      <c r="L541" t="s">
        <v>35</v>
      </c>
      <c r="M541" t="s">
        <v>151</v>
      </c>
      <c r="N541" t="s">
        <v>61</v>
      </c>
      <c r="O541">
        <v>94</v>
      </c>
      <c r="Q541">
        <v>0</v>
      </c>
      <c r="R541">
        <v>0</v>
      </c>
      <c r="T541" t="s">
        <v>38</v>
      </c>
      <c r="U541" t="s">
        <v>39</v>
      </c>
      <c r="V541" t="s">
        <v>39</v>
      </c>
      <c r="W541" t="s">
        <v>52</v>
      </c>
      <c r="X541">
        <v>2023</v>
      </c>
      <c r="Y541" t="s">
        <v>40</v>
      </c>
      <c r="Z541" t="s">
        <v>41</v>
      </c>
    </row>
    <row r="542" spans="1:26">
      <c r="A542" t="s">
        <v>1326</v>
      </c>
      <c r="B542" t="s">
        <v>116</v>
      </c>
      <c r="C542" t="s">
        <v>76</v>
      </c>
      <c r="D542" t="s">
        <v>77</v>
      </c>
      <c r="E542" t="s">
        <v>168</v>
      </c>
      <c r="F542" t="s">
        <v>109</v>
      </c>
      <c r="G542" t="s">
        <v>58</v>
      </c>
      <c r="H542">
        <v>4.4000000000000004</v>
      </c>
      <c r="I542">
        <v>11</v>
      </c>
      <c r="J542" t="s">
        <v>33</v>
      </c>
      <c r="K542" t="s">
        <v>694</v>
      </c>
      <c r="L542" t="s">
        <v>60</v>
      </c>
      <c r="M542" t="s">
        <v>1327</v>
      </c>
      <c r="N542" t="s">
        <v>71</v>
      </c>
      <c r="O542">
        <v>111</v>
      </c>
      <c r="P542" t="s">
        <v>72</v>
      </c>
      <c r="Q542">
        <v>5066</v>
      </c>
      <c r="R542">
        <v>500</v>
      </c>
      <c r="S542" t="s">
        <v>152</v>
      </c>
      <c r="T542" t="s">
        <v>81</v>
      </c>
      <c r="U542" t="s">
        <v>39</v>
      </c>
      <c r="V542" t="s">
        <v>39</v>
      </c>
      <c r="W542" t="s">
        <v>52</v>
      </c>
      <c r="X542">
        <v>2022</v>
      </c>
      <c r="Y542" t="s">
        <v>40</v>
      </c>
      <c r="Z542" t="s">
        <v>41</v>
      </c>
    </row>
    <row r="543" spans="1:26">
      <c r="A543" t="s">
        <v>1328</v>
      </c>
      <c r="B543" t="s">
        <v>43</v>
      </c>
      <c r="C543" t="s">
        <v>102</v>
      </c>
      <c r="D543" t="s">
        <v>29</v>
      </c>
      <c r="E543" t="s">
        <v>30</v>
      </c>
      <c r="F543" t="s">
        <v>149</v>
      </c>
      <c r="G543" t="s">
        <v>58</v>
      </c>
      <c r="H543">
        <v>11.6</v>
      </c>
      <c r="I543">
        <v>31</v>
      </c>
      <c r="J543" t="s">
        <v>33</v>
      </c>
      <c r="K543" t="s">
        <v>1329</v>
      </c>
      <c r="L543" t="s">
        <v>140</v>
      </c>
      <c r="M543" t="s">
        <v>1330</v>
      </c>
      <c r="N543" t="s">
        <v>71</v>
      </c>
      <c r="O543">
        <v>162</v>
      </c>
      <c r="P543" t="s">
        <v>105</v>
      </c>
      <c r="Q543">
        <v>1668</v>
      </c>
      <c r="R543">
        <v>1000</v>
      </c>
      <c r="S543" t="s">
        <v>152</v>
      </c>
      <c r="T543" t="s">
        <v>51</v>
      </c>
      <c r="U543" t="s">
        <v>52</v>
      </c>
      <c r="V543" t="s">
        <v>39</v>
      </c>
      <c r="W543" t="s">
        <v>52</v>
      </c>
      <c r="X543">
        <v>2022</v>
      </c>
      <c r="Y543" t="s">
        <v>114</v>
      </c>
      <c r="Z543" t="s">
        <v>41</v>
      </c>
    </row>
    <row r="544" spans="1:26">
      <c r="A544" t="s">
        <v>1331</v>
      </c>
      <c r="B544" t="s">
        <v>27</v>
      </c>
      <c r="C544" t="s">
        <v>67</v>
      </c>
      <c r="D544" t="s">
        <v>77</v>
      </c>
      <c r="E544" t="s">
        <v>216</v>
      </c>
      <c r="F544" t="s">
        <v>46</v>
      </c>
      <c r="G544" t="s">
        <v>32</v>
      </c>
      <c r="H544">
        <v>10.7</v>
      </c>
      <c r="I544">
        <v>26.7</v>
      </c>
      <c r="J544" t="s">
        <v>156</v>
      </c>
      <c r="K544" t="s">
        <v>186</v>
      </c>
      <c r="L544" t="s">
        <v>98</v>
      </c>
      <c r="M544" t="s">
        <v>187</v>
      </c>
      <c r="N544" t="s">
        <v>61</v>
      </c>
      <c r="O544">
        <v>108</v>
      </c>
      <c r="Q544">
        <v>0</v>
      </c>
      <c r="R544">
        <v>0</v>
      </c>
      <c r="T544" t="s">
        <v>38</v>
      </c>
      <c r="U544" t="s">
        <v>52</v>
      </c>
      <c r="V544" t="s">
        <v>39</v>
      </c>
      <c r="W544" t="s">
        <v>52</v>
      </c>
      <c r="X544">
        <v>2023</v>
      </c>
      <c r="Y544" t="s">
        <v>106</v>
      </c>
      <c r="Z544" t="s">
        <v>83</v>
      </c>
    </row>
    <row r="545" spans="1:26">
      <c r="A545" t="s">
        <v>1332</v>
      </c>
      <c r="B545" t="s">
        <v>116</v>
      </c>
      <c r="C545" t="s">
        <v>76</v>
      </c>
      <c r="D545" t="s">
        <v>85</v>
      </c>
      <c r="E545" t="s">
        <v>138</v>
      </c>
      <c r="F545" t="s">
        <v>124</v>
      </c>
      <c r="G545" t="s">
        <v>32</v>
      </c>
      <c r="H545">
        <v>8.4</v>
      </c>
      <c r="I545">
        <v>4.9000000000000004</v>
      </c>
      <c r="J545" t="s">
        <v>144</v>
      </c>
      <c r="K545" t="s">
        <v>1333</v>
      </c>
      <c r="L545" t="s">
        <v>98</v>
      </c>
      <c r="M545" t="s">
        <v>1334</v>
      </c>
      <c r="N545" t="s">
        <v>71</v>
      </c>
      <c r="O545">
        <v>6</v>
      </c>
      <c r="P545" t="s">
        <v>105</v>
      </c>
      <c r="Q545">
        <v>2954</v>
      </c>
      <c r="R545">
        <v>0</v>
      </c>
      <c r="S545" t="s">
        <v>73</v>
      </c>
      <c r="T545" t="s">
        <v>81</v>
      </c>
      <c r="U545" t="s">
        <v>52</v>
      </c>
      <c r="V545" t="s">
        <v>52</v>
      </c>
      <c r="W545" t="s">
        <v>52</v>
      </c>
      <c r="X545">
        <v>2024</v>
      </c>
      <c r="Y545" t="s">
        <v>91</v>
      </c>
      <c r="Z545" t="s">
        <v>64</v>
      </c>
    </row>
    <row r="546" spans="1:26">
      <c r="A546" t="s">
        <v>1335</v>
      </c>
      <c r="B546" t="s">
        <v>27</v>
      </c>
      <c r="C546" t="s">
        <v>102</v>
      </c>
      <c r="D546" t="s">
        <v>29</v>
      </c>
      <c r="E546" t="s">
        <v>195</v>
      </c>
      <c r="F546" t="s">
        <v>31</v>
      </c>
      <c r="G546" t="s">
        <v>58</v>
      </c>
      <c r="H546">
        <v>2.6</v>
      </c>
      <c r="I546">
        <v>0.6</v>
      </c>
      <c r="J546" t="s">
        <v>96</v>
      </c>
      <c r="K546" t="s">
        <v>1123</v>
      </c>
      <c r="L546" t="s">
        <v>140</v>
      </c>
      <c r="M546" t="s">
        <v>242</v>
      </c>
      <c r="N546" t="s">
        <v>61</v>
      </c>
      <c r="O546">
        <v>103</v>
      </c>
      <c r="Q546">
        <v>0</v>
      </c>
      <c r="R546">
        <v>0</v>
      </c>
      <c r="T546" t="s">
        <v>136</v>
      </c>
      <c r="U546" t="s">
        <v>39</v>
      </c>
      <c r="V546" t="s">
        <v>52</v>
      </c>
      <c r="W546" t="s">
        <v>52</v>
      </c>
      <c r="X546">
        <v>2024</v>
      </c>
      <c r="Y546" t="s">
        <v>312</v>
      </c>
      <c r="Z546" t="s">
        <v>83</v>
      </c>
    </row>
    <row r="547" spans="1:26">
      <c r="A547" t="s">
        <v>1336</v>
      </c>
      <c r="B547" t="s">
        <v>116</v>
      </c>
      <c r="C547" t="s">
        <v>164</v>
      </c>
      <c r="D547" t="s">
        <v>29</v>
      </c>
      <c r="E547" t="s">
        <v>94</v>
      </c>
      <c r="F547" t="s">
        <v>160</v>
      </c>
      <c r="G547" t="s">
        <v>58</v>
      </c>
      <c r="H547">
        <v>0.6</v>
      </c>
      <c r="I547">
        <v>8.6999999999999993</v>
      </c>
      <c r="J547" t="s">
        <v>33</v>
      </c>
      <c r="K547" t="s">
        <v>1170</v>
      </c>
      <c r="L547" t="s">
        <v>35</v>
      </c>
      <c r="M547" t="s">
        <v>111</v>
      </c>
      <c r="N547" t="s">
        <v>71</v>
      </c>
      <c r="O547">
        <v>142</v>
      </c>
      <c r="P547" t="s">
        <v>89</v>
      </c>
      <c r="Q547">
        <v>2200</v>
      </c>
      <c r="R547">
        <v>0</v>
      </c>
      <c r="S547" t="s">
        <v>113</v>
      </c>
      <c r="T547" t="s">
        <v>62</v>
      </c>
      <c r="U547" t="s">
        <v>39</v>
      </c>
      <c r="V547" t="s">
        <v>39</v>
      </c>
      <c r="W547" t="s">
        <v>52</v>
      </c>
      <c r="X547">
        <v>2023</v>
      </c>
      <c r="Y547" t="s">
        <v>40</v>
      </c>
      <c r="Z547" t="s">
        <v>41</v>
      </c>
    </row>
    <row r="548" spans="1:26">
      <c r="A548" t="s">
        <v>1337</v>
      </c>
      <c r="B548" t="s">
        <v>27</v>
      </c>
      <c r="C548" t="s">
        <v>173</v>
      </c>
      <c r="D548" t="s">
        <v>77</v>
      </c>
      <c r="E548" t="s">
        <v>260</v>
      </c>
      <c r="F548" t="s">
        <v>46</v>
      </c>
      <c r="G548" t="s">
        <v>58</v>
      </c>
      <c r="H548">
        <v>8.6999999999999993</v>
      </c>
      <c r="I548">
        <v>14.6</v>
      </c>
      <c r="J548" t="s">
        <v>156</v>
      </c>
      <c r="K548" t="s">
        <v>1238</v>
      </c>
      <c r="L548" t="s">
        <v>35</v>
      </c>
      <c r="M548" t="s">
        <v>588</v>
      </c>
      <c r="N548" t="s">
        <v>61</v>
      </c>
      <c r="O548">
        <v>22</v>
      </c>
      <c r="Q548">
        <v>0</v>
      </c>
      <c r="R548">
        <v>0</v>
      </c>
      <c r="T548" t="s">
        <v>51</v>
      </c>
      <c r="U548" t="s">
        <v>39</v>
      </c>
      <c r="V548" t="s">
        <v>52</v>
      </c>
      <c r="W548" t="s">
        <v>52</v>
      </c>
      <c r="X548">
        <v>2023</v>
      </c>
      <c r="Y548" t="s">
        <v>91</v>
      </c>
      <c r="Z548" t="s">
        <v>64</v>
      </c>
    </row>
    <row r="549" spans="1:26">
      <c r="A549" t="s">
        <v>1338</v>
      </c>
      <c r="B549" t="s">
        <v>27</v>
      </c>
      <c r="C549" t="s">
        <v>102</v>
      </c>
      <c r="D549" t="s">
        <v>77</v>
      </c>
      <c r="E549" t="s">
        <v>168</v>
      </c>
      <c r="F549" t="s">
        <v>149</v>
      </c>
      <c r="G549" t="s">
        <v>58</v>
      </c>
      <c r="H549">
        <v>3.2</v>
      </c>
      <c r="I549">
        <v>22.1</v>
      </c>
      <c r="J549" t="s">
        <v>33</v>
      </c>
      <c r="K549" t="s">
        <v>1339</v>
      </c>
      <c r="L549" t="s">
        <v>60</v>
      </c>
      <c r="M549" t="s">
        <v>1314</v>
      </c>
      <c r="N549" t="s">
        <v>71</v>
      </c>
      <c r="O549">
        <v>138</v>
      </c>
      <c r="P549" t="s">
        <v>89</v>
      </c>
      <c r="Q549">
        <v>6129</v>
      </c>
      <c r="R549">
        <v>2000</v>
      </c>
      <c r="S549" t="s">
        <v>90</v>
      </c>
      <c r="T549" t="s">
        <v>81</v>
      </c>
      <c r="U549" t="s">
        <v>52</v>
      </c>
      <c r="V549" t="s">
        <v>39</v>
      </c>
      <c r="W549" t="s">
        <v>52</v>
      </c>
      <c r="X549">
        <v>2022</v>
      </c>
      <c r="Y549" t="s">
        <v>82</v>
      </c>
      <c r="Z549" t="s">
        <v>83</v>
      </c>
    </row>
    <row r="550" spans="1:26">
      <c r="A550" t="s">
        <v>1340</v>
      </c>
      <c r="B550" t="s">
        <v>43</v>
      </c>
      <c r="C550" t="s">
        <v>102</v>
      </c>
      <c r="D550" t="s">
        <v>122</v>
      </c>
      <c r="E550" t="s">
        <v>148</v>
      </c>
      <c r="F550" t="s">
        <v>31</v>
      </c>
      <c r="G550" t="s">
        <v>32</v>
      </c>
      <c r="H550">
        <v>5.6</v>
      </c>
      <c r="I550">
        <v>28.6</v>
      </c>
      <c r="J550" t="s">
        <v>156</v>
      </c>
      <c r="K550" t="s">
        <v>440</v>
      </c>
      <c r="L550" t="s">
        <v>48</v>
      </c>
      <c r="M550" t="s">
        <v>1104</v>
      </c>
      <c r="N550" t="s">
        <v>50</v>
      </c>
      <c r="O550">
        <v>24</v>
      </c>
      <c r="Q550">
        <v>0</v>
      </c>
      <c r="R550">
        <v>0</v>
      </c>
      <c r="T550" t="s">
        <v>51</v>
      </c>
      <c r="U550" t="s">
        <v>39</v>
      </c>
      <c r="V550" t="s">
        <v>52</v>
      </c>
      <c r="W550" t="s">
        <v>52</v>
      </c>
      <c r="X550">
        <v>2024</v>
      </c>
      <c r="Y550" t="s">
        <v>114</v>
      </c>
      <c r="Z550" t="s">
        <v>41</v>
      </c>
    </row>
    <row r="551" spans="1:26">
      <c r="A551" t="s">
        <v>1341</v>
      </c>
      <c r="B551" t="s">
        <v>108</v>
      </c>
      <c r="C551" t="s">
        <v>28</v>
      </c>
      <c r="D551" t="s">
        <v>77</v>
      </c>
      <c r="E551" t="s">
        <v>94</v>
      </c>
      <c r="F551" t="s">
        <v>109</v>
      </c>
      <c r="G551" t="s">
        <v>58</v>
      </c>
      <c r="H551">
        <v>3</v>
      </c>
      <c r="I551">
        <v>31.9</v>
      </c>
      <c r="J551" t="s">
        <v>156</v>
      </c>
      <c r="K551" t="s">
        <v>836</v>
      </c>
      <c r="L551" t="s">
        <v>35</v>
      </c>
      <c r="M551" t="s">
        <v>1342</v>
      </c>
      <c r="N551" t="s">
        <v>71</v>
      </c>
      <c r="O551">
        <v>18</v>
      </c>
      <c r="P551" t="s">
        <v>105</v>
      </c>
      <c r="Q551">
        <v>3590</v>
      </c>
      <c r="R551">
        <v>500</v>
      </c>
      <c r="S551" t="s">
        <v>73</v>
      </c>
      <c r="T551" t="s">
        <v>136</v>
      </c>
      <c r="U551" t="s">
        <v>52</v>
      </c>
      <c r="V551" t="s">
        <v>39</v>
      </c>
      <c r="W551" t="s">
        <v>39</v>
      </c>
      <c r="X551">
        <v>2023</v>
      </c>
      <c r="Y551" t="s">
        <v>106</v>
      </c>
      <c r="Z551" t="s">
        <v>83</v>
      </c>
    </row>
    <row r="552" spans="1:26">
      <c r="A552" t="s">
        <v>1343</v>
      </c>
      <c r="B552" t="s">
        <v>116</v>
      </c>
      <c r="C552" t="s">
        <v>28</v>
      </c>
      <c r="D552" t="s">
        <v>77</v>
      </c>
      <c r="E552" t="s">
        <v>220</v>
      </c>
      <c r="F552" t="s">
        <v>109</v>
      </c>
      <c r="G552" t="s">
        <v>32</v>
      </c>
      <c r="H552">
        <v>11.3</v>
      </c>
      <c r="I552">
        <v>21.2</v>
      </c>
      <c r="J552" t="s">
        <v>96</v>
      </c>
      <c r="K552" t="s">
        <v>577</v>
      </c>
      <c r="L552" t="s">
        <v>98</v>
      </c>
      <c r="M552" t="s">
        <v>1344</v>
      </c>
      <c r="N552" t="s">
        <v>71</v>
      </c>
      <c r="O552">
        <v>64</v>
      </c>
      <c r="P552" t="s">
        <v>230</v>
      </c>
      <c r="Q552">
        <v>5192</v>
      </c>
      <c r="R552">
        <v>0</v>
      </c>
      <c r="S552" t="s">
        <v>113</v>
      </c>
      <c r="T552" t="s">
        <v>81</v>
      </c>
      <c r="U552" t="s">
        <v>52</v>
      </c>
      <c r="V552" t="s">
        <v>52</v>
      </c>
      <c r="W552" t="s">
        <v>52</v>
      </c>
      <c r="X552">
        <v>2022</v>
      </c>
      <c r="Y552" t="s">
        <v>114</v>
      </c>
      <c r="Z552" t="s">
        <v>41</v>
      </c>
    </row>
    <row r="553" spans="1:26">
      <c r="A553" t="s">
        <v>1345</v>
      </c>
      <c r="B553" t="s">
        <v>27</v>
      </c>
      <c r="C553" t="s">
        <v>28</v>
      </c>
      <c r="D553" t="s">
        <v>77</v>
      </c>
      <c r="E553" t="s">
        <v>168</v>
      </c>
      <c r="F553" t="s">
        <v>238</v>
      </c>
      <c r="G553" t="s">
        <v>58</v>
      </c>
      <c r="H553">
        <v>6.6</v>
      </c>
      <c r="I553">
        <v>9.6999999999999993</v>
      </c>
      <c r="J553" t="s">
        <v>33</v>
      </c>
      <c r="K553" t="s">
        <v>1346</v>
      </c>
      <c r="L553" t="s">
        <v>140</v>
      </c>
      <c r="M553" t="s">
        <v>631</v>
      </c>
      <c r="N553" t="s">
        <v>71</v>
      </c>
      <c r="O553">
        <v>123</v>
      </c>
      <c r="P553" t="s">
        <v>72</v>
      </c>
      <c r="Q553">
        <v>4997</v>
      </c>
      <c r="R553">
        <v>0</v>
      </c>
      <c r="S553" t="s">
        <v>73</v>
      </c>
      <c r="T553" t="s">
        <v>62</v>
      </c>
      <c r="U553" t="s">
        <v>52</v>
      </c>
      <c r="V553" t="s">
        <v>39</v>
      </c>
      <c r="W553" t="s">
        <v>39</v>
      </c>
      <c r="X553">
        <v>2023</v>
      </c>
      <c r="Y553" t="s">
        <v>128</v>
      </c>
      <c r="Z553" t="s">
        <v>64</v>
      </c>
    </row>
    <row r="554" spans="1:26">
      <c r="A554" t="s">
        <v>1347</v>
      </c>
      <c r="B554" t="s">
        <v>43</v>
      </c>
      <c r="C554" t="s">
        <v>44</v>
      </c>
      <c r="D554" t="s">
        <v>77</v>
      </c>
      <c r="E554" t="s">
        <v>220</v>
      </c>
      <c r="F554" t="s">
        <v>95</v>
      </c>
      <c r="G554" t="s">
        <v>32</v>
      </c>
      <c r="H554">
        <v>1.9</v>
      </c>
      <c r="I554">
        <v>23.1</v>
      </c>
      <c r="J554" t="s">
        <v>33</v>
      </c>
      <c r="K554" t="s">
        <v>1127</v>
      </c>
      <c r="L554" t="s">
        <v>35</v>
      </c>
      <c r="M554" t="s">
        <v>753</v>
      </c>
      <c r="N554" t="s">
        <v>100</v>
      </c>
      <c r="O554">
        <v>110</v>
      </c>
      <c r="Q554">
        <v>0</v>
      </c>
      <c r="R554">
        <v>0</v>
      </c>
      <c r="T554" t="s">
        <v>81</v>
      </c>
      <c r="U554" t="s">
        <v>39</v>
      </c>
      <c r="V554" t="s">
        <v>52</v>
      </c>
      <c r="W554" t="s">
        <v>52</v>
      </c>
      <c r="X554">
        <v>2023</v>
      </c>
      <c r="Y554" t="s">
        <v>74</v>
      </c>
      <c r="Z554" t="s">
        <v>54</v>
      </c>
    </row>
    <row r="555" spans="1:26">
      <c r="A555" t="s">
        <v>1348</v>
      </c>
      <c r="B555" t="s">
        <v>116</v>
      </c>
      <c r="C555" t="s">
        <v>164</v>
      </c>
      <c r="D555" t="s">
        <v>29</v>
      </c>
      <c r="E555" t="s">
        <v>244</v>
      </c>
      <c r="F555" t="s">
        <v>68</v>
      </c>
      <c r="G555" t="s">
        <v>32</v>
      </c>
      <c r="H555">
        <v>11.1</v>
      </c>
      <c r="I555">
        <v>32.200000000000003</v>
      </c>
      <c r="J555" t="s">
        <v>20</v>
      </c>
      <c r="K555" t="s">
        <v>1349</v>
      </c>
      <c r="L555" t="s">
        <v>60</v>
      </c>
      <c r="M555" t="s">
        <v>1350</v>
      </c>
      <c r="N555" t="s">
        <v>171</v>
      </c>
      <c r="O555">
        <v>31</v>
      </c>
      <c r="Q555">
        <v>0</v>
      </c>
      <c r="R555">
        <v>0</v>
      </c>
      <c r="T555" t="s">
        <v>62</v>
      </c>
      <c r="U555" t="s">
        <v>39</v>
      </c>
      <c r="V555" t="s">
        <v>52</v>
      </c>
      <c r="W555" t="s">
        <v>52</v>
      </c>
      <c r="X555">
        <v>2023</v>
      </c>
      <c r="Y555" t="s">
        <v>128</v>
      </c>
      <c r="Z555" t="s">
        <v>64</v>
      </c>
    </row>
    <row r="556" spans="1:26">
      <c r="A556" t="s">
        <v>1351</v>
      </c>
      <c r="B556" t="s">
        <v>66</v>
      </c>
      <c r="C556" t="s">
        <v>28</v>
      </c>
      <c r="D556" t="s">
        <v>77</v>
      </c>
      <c r="E556" t="s">
        <v>168</v>
      </c>
      <c r="F556" t="s">
        <v>238</v>
      </c>
      <c r="G556" t="s">
        <v>58</v>
      </c>
      <c r="H556">
        <v>8</v>
      </c>
      <c r="I556">
        <v>32.700000000000003</v>
      </c>
      <c r="J556" t="s">
        <v>96</v>
      </c>
      <c r="K556" t="s">
        <v>541</v>
      </c>
      <c r="L556" t="s">
        <v>98</v>
      </c>
      <c r="M556" t="s">
        <v>214</v>
      </c>
      <c r="N556" t="s">
        <v>71</v>
      </c>
      <c r="O556">
        <v>90</v>
      </c>
      <c r="P556" t="s">
        <v>89</v>
      </c>
      <c r="Q556">
        <v>5220</v>
      </c>
      <c r="R556">
        <v>500</v>
      </c>
      <c r="S556" t="s">
        <v>152</v>
      </c>
      <c r="T556" t="s">
        <v>81</v>
      </c>
      <c r="U556" t="s">
        <v>52</v>
      </c>
      <c r="V556" t="s">
        <v>52</v>
      </c>
      <c r="W556" t="s">
        <v>52</v>
      </c>
      <c r="X556">
        <v>2023</v>
      </c>
      <c r="Y556" t="s">
        <v>211</v>
      </c>
      <c r="Z556" t="s">
        <v>41</v>
      </c>
    </row>
    <row r="557" spans="1:26">
      <c r="A557" t="s">
        <v>1352</v>
      </c>
      <c r="B557" t="s">
        <v>108</v>
      </c>
      <c r="C557" t="s">
        <v>67</v>
      </c>
      <c r="D557" t="s">
        <v>29</v>
      </c>
      <c r="E557" t="s">
        <v>30</v>
      </c>
      <c r="F557" t="s">
        <v>46</v>
      </c>
      <c r="G557" t="s">
        <v>32</v>
      </c>
      <c r="H557">
        <v>11.9</v>
      </c>
      <c r="I557">
        <v>6.8</v>
      </c>
      <c r="J557" t="s">
        <v>144</v>
      </c>
      <c r="K557" t="s">
        <v>1248</v>
      </c>
      <c r="L557" t="s">
        <v>126</v>
      </c>
      <c r="M557" t="s">
        <v>1353</v>
      </c>
      <c r="N557" t="s">
        <v>71</v>
      </c>
      <c r="O557">
        <v>72</v>
      </c>
      <c r="P557" t="s">
        <v>112</v>
      </c>
      <c r="Q557">
        <v>1870</v>
      </c>
      <c r="R557">
        <v>0</v>
      </c>
      <c r="S557" t="s">
        <v>152</v>
      </c>
      <c r="T557" t="s">
        <v>81</v>
      </c>
      <c r="U557" t="s">
        <v>39</v>
      </c>
      <c r="V557" t="s">
        <v>52</v>
      </c>
      <c r="W557" t="s">
        <v>52</v>
      </c>
      <c r="X557">
        <v>2024</v>
      </c>
      <c r="Y557" t="s">
        <v>53</v>
      </c>
      <c r="Z557" t="s">
        <v>54</v>
      </c>
    </row>
    <row r="558" spans="1:26">
      <c r="A558" t="s">
        <v>1354</v>
      </c>
      <c r="B558" t="s">
        <v>27</v>
      </c>
      <c r="C558" t="s">
        <v>102</v>
      </c>
      <c r="D558" t="s">
        <v>29</v>
      </c>
      <c r="E558" t="s">
        <v>117</v>
      </c>
      <c r="F558" t="s">
        <v>95</v>
      </c>
      <c r="G558" t="s">
        <v>58</v>
      </c>
      <c r="H558">
        <v>1.1000000000000001</v>
      </c>
      <c r="I558">
        <v>25.2</v>
      </c>
      <c r="J558" t="s">
        <v>33</v>
      </c>
      <c r="K558" t="s">
        <v>1168</v>
      </c>
      <c r="L558" t="s">
        <v>35</v>
      </c>
      <c r="M558" t="s">
        <v>127</v>
      </c>
      <c r="N558" t="s">
        <v>37</v>
      </c>
      <c r="O558">
        <v>127</v>
      </c>
      <c r="Q558">
        <v>0</v>
      </c>
      <c r="R558">
        <v>1000</v>
      </c>
      <c r="T558" t="s">
        <v>81</v>
      </c>
      <c r="U558" t="s">
        <v>39</v>
      </c>
      <c r="V558" t="s">
        <v>52</v>
      </c>
      <c r="W558" t="s">
        <v>52</v>
      </c>
      <c r="X558">
        <v>2024</v>
      </c>
      <c r="Y558" t="s">
        <v>63</v>
      </c>
      <c r="Z558" t="s">
        <v>64</v>
      </c>
    </row>
    <row r="559" spans="1:26">
      <c r="A559" t="s">
        <v>1355</v>
      </c>
      <c r="B559" t="s">
        <v>43</v>
      </c>
      <c r="C559" t="s">
        <v>173</v>
      </c>
      <c r="D559" t="s">
        <v>77</v>
      </c>
      <c r="E559" t="s">
        <v>143</v>
      </c>
      <c r="F559" t="s">
        <v>149</v>
      </c>
      <c r="G559" t="s">
        <v>58</v>
      </c>
      <c r="H559">
        <v>10.199999999999999</v>
      </c>
      <c r="I559">
        <v>30.4</v>
      </c>
      <c r="J559" t="s">
        <v>96</v>
      </c>
      <c r="K559" t="s">
        <v>1356</v>
      </c>
      <c r="L559" t="s">
        <v>140</v>
      </c>
      <c r="M559" t="s">
        <v>385</v>
      </c>
      <c r="N559" t="s">
        <v>171</v>
      </c>
      <c r="O559">
        <v>90</v>
      </c>
      <c r="Q559">
        <v>0</v>
      </c>
      <c r="R559">
        <v>0</v>
      </c>
      <c r="T559" t="s">
        <v>136</v>
      </c>
      <c r="U559" t="s">
        <v>39</v>
      </c>
      <c r="V559" t="s">
        <v>39</v>
      </c>
      <c r="W559" t="s">
        <v>52</v>
      </c>
      <c r="X559">
        <v>2022</v>
      </c>
      <c r="Y559" t="s">
        <v>53</v>
      </c>
      <c r="Z559" t="s">
        <v>54</v>
      </c>
    </row>
    <row r="560" spans="1:26">
      <c r="A560" t="s">
        <v>1357</v>
      </c>
      <c r="B560" t="s">
        <v>93</v>
      </c>
      <c r="C560" t="s">
        <v>76</v>
      </c>
      <c r="D560" t="s">
        <v>77</v>
      </c>
      <c r="E560" t="s">
        <v>216</v>
      </c>
      <c r="F560" t="s">
        <v>95</v>
      </c>
      <c r="G560" t="s">
        <v>58</v>
      </c>
      <c r="H560">
        <v>0.4</v>
      </c>
      <c r="I560">
        <v>33.799999999999997</v>
      </c>
      <c r="J560" t="s">
        <v>144</v>
      </c>
      <c r="K560" t="s">
        <v>1358</v>
      </c>
      <c r="L560" t="s">
        <v>140</v>
      </c>
      <c r="M560" t="s">
        <v>1359</v>
      </c>
      <c r="N560" t="s">
        <v>71</v>
      </c>
      <c r="O560">
        <v>179</v>
      </c>
      <c r="P560" t="s">
        <v>89</v>
      </c>
      <c r="Q560">
        <v>6092</v>
      </c>
      <c r="R560">
        <v>2000</v>
      </c>
      <c r="S560" t="s">
        <v>73</v>
      </c>
      <c r="T560" t="s">
        <v>81</v>
      </c>
      <c r="U560" t="s">
        <v>39</v>
      </c>
      <c r="V560" t="s">
        <v>39</v>
      </c>
      <c r="W560" t="s">
        <v>39</v>
      </c>
      <c r="X560">
        <v>2022</v>
      </c>
      <c r="Y560" t="s">
        <v>211</v>
      </c>
      <c r="Z560" t="s">
        <v>41</v>
      </c>
    </row>
    <row r="561" spans="1:26">
      <c r="A561" t="s">
        <v>1360</v>
      </c>
      <c r="B561" t="s">
        <v>66</v>
      </c>
      <c r="C561" t="s">
        <v>164</v>
      </c>
      <c r="D561" t="s">
        <v>77</v>
      </c>
      <c r="E561" t="s">
        <v>143</v>
      </c>
      <c r="F561" t="s">
        <v>109</v>
      </c>
      <c r="G561" t="s">
        <v>32</v>
      </c>
      <c r="H561">
        <v>1.9</v>
      </c>
      <c r="I561">
        <v>6.8</v>
      </c>
      <c r="J561" t="s">
        <v>144</v>
      </c>
      <c r="K561" t="s">
        <v>1361</v>
      </c>
      <c r="L561" t="s">
        <v>126</v>
      </c>
      <c r="M561" t="s">
        <v>1196</v>
      </c>
      <c r="N561" t="s">
        <v>100</v>
      </c>
      <c r="O561">
        <v>146</v>
      </c>
      <c r="Q561">
        <v>0</v>
      </c>
      <c r="R561">
        <v>0</v>
      </c>
      <c r="T561" t="s">
        <v>51</v>
      </c>
      <c r="U561" t="s">
        <v>52</v>
      </c>
      <c r="V561" t="s">
        <v>52</v>
      </c>
      <c r="W561" t="s">
        <v>39</v>
      </c>
      <c r="X561">
        <v>2022</v>
      </c>
      <c r="Y561" t="s">
        <v>106</v>
      </c>
      <c r="Z561" t="s">
        <v>83</v>
      </c>
    </row>
    <row r="562" spans="1:26">
      <c r="A562" t="s">
        <v>1362</v>
      </c>
      <c r="B562" t="s">
        <v>108</v>
      </c>
      <c r="C562" t="s">
        <v>44</v>
      </c>
      <c r="D562" t="s">
        <v>29</v>
      </c>
      <c r="E562" t="s">
        <v>30</v>
      </c>
      <c r="F562" t="s">
        <v>149</v>
      </c>
      <c r="G562" t="s">
        <v>32</v>
      </c>
      <c r="H562">
        <v>2.2000000000000002</v>
      </c>
      <c r="I562">
        <v>6</v>
      </c>
      <c r="J562" t="s">
        <v>20</v>
      </c>
      <c r="K562" t="s">
        <v>852</v>
      </c>
      <c r="L562" t="s">
        <v>140</v>
      </c>
      <c r="M562" t="s">
        <v>1097</v>
      </c>
      <c r="N562" t="s">
        <v>71</v>
      </c>
      <c r="O562">
        <v>16</v>
      </c>
      <c r="P562" t="s">
        <v>72</v>
      </c>
      <c r="Q562">
        <v>3974</v>
      </c>
      <c r="R562">
        <v>5000</v>
      </c>
      <c r="S562" t="s">
        <v>113</v>
      </c>
      <c r="T562" t="s">
        <v>136</v>
      </c>
      <c r="U562" t="s">
        <v>39</v>
      </c>
      <c r="V562" t="s">
        <v>52</v>
      </c>
      <c r="W562" t="s">
        <v>39</v>
      </c>
      <c r="X562">
        <v>2022</v>
      </c>
      <c r="Y562" t="s">
        <v>128</v>
      </c>
      <c r="Z562" t="s">
        <v>64</v>
      </c>
    </row>
    <row r="563" spans="1:26">
      <c r="A563" t="s">
        <v>1363</v>
      </c>
      <c r="B563" t="s">
        <v>43</v>
      </c>
      <c r="C563" t="s">
        <v>28</v>
      </c>
      <c r="D563" t="s">
        <v>29</v>
      </c>
      <c r="E563" t="s">
        <v>117</v>
      </c>
      <c r="F563" t="s">
        <v>149</v>
      </c>
      <c r="G563" t="s">
        <v>32</v>
      </c>
      <c r="H563">
        <v>7.5</v>
      </c>
      <c r="I563">
        <v>8.1</v>
      </c>
      <c r="J563" t="s">
        <v>33</v>
      </c>
      <c r="K563" t="s">
        <v>1034</v>
      </c>
      <c r="L563" t="s">
        <v>98</v>
      </c>
      <c r="M563" t="s">
        <v>1364</v>
      </c>
      <c r="N563" t="s">
        <v>100</v>
      </c>
      <c r="O563">
        <v>55</v>
      </c>
      <c r="Q563">
        <v>0</v>
      </c>
      <c r="R563">
        <v>0</v>
      </c>
      <c r="T563" t="s">
        <v>136</v>
      </c>
      <c r="U563" t="s">
        <v>52</v>
      </c>
      <c r="V563" t="s">
        <v>39</v>
      </c>
      <c r="W563" t="s">
        <v>39</v>
      </c>
      <c r="X563">
        <v>2022</v>
      </c>
      <c r="Y563" t="s">
        <v>114</v>
      </c>
      <c r="Z563" t="s">
        <v>41</v>
      </c>
    </row>
    <row r="564" spans="1:26">
      <c r="A564" t="s">
        <v>1365</v>
      </c>
      <c r="B564" t="s">
        <v>93</v>
      </c>
      <c r="C564" t="s">
        <v>76</v>
      </c>
      <c r="D564" t="s">
        <v>122</v>
      </c>
      <c r="E564" t="s">
        <v>130</v>
      </c>
      <c r="F564" t="s">
        <v>124</v>
      </c>
      <c r="G564" t="s">
        <v>32</v>
      </c>
      <c r="H564">
        <v>4.4000000000000004</v>
      </c>
      <c r="I564">
        <v>27.4</v>
      </c>
      <c r="J564" t="s">
        <v>33</v>
      </c>
      <c r="K564" t="s">
        <v>373</v>
      </c>
      <c r="L564" t="s">
        <v>140</v>
      </c>
      <c r="M564" t="s">
        <v>1307</v>
      </c>
      <c r="N564" t="s">
        <v>71</v>
      </c>
      <c r="O564">
        <v>70</v>
      </c>
      <c r="P564" t="s">
        <v>230</v>
      </c>
      <c r="Q564">
        <v>927</v>
      </c>
      <c r="R564">
        <v>0</v>
      </c>
      <c r="S564" t="s">
        <v>73</v>
      </c>
      <c r="T564" t="s">
        <v>81</v>
      </c>
      <c r="U564" t="s">
        <v>39</v>
      </c>
      <c r="V564" t="s">
        <v>52</v>
      </c>
      <c r="W564" t="s">
        <v>52</v>
      </c>
      <c r="X564">
        <v>2023</v>
      </c>
      <c r="Y564" t="s">
        <v>82</v>
      </c>
      <c r="Z564" t="s">
        <v>83</v>
      </c>
    </row>
    <row r="565" spans="1:26">
      <c r="A565" t="s">
        <v>1366</v>
      </c>
      <c r="B565" t="s">
        <v>116</v>
      </c>
      <c r="C565" t="s">
        <v>121</v>
      </c>
      <c r="D565" t="s">
        <v>29</v>
      </c>
      <c r="E565" t="s">
        <v>45</v>
      </c>
      <c r="F565" t="s">
        <v>238</v>
      </c>
      <c r="G565" t="s">
        <v>58</v>
      </c>
      <c r="H565">
        <v>1.1000000000000001</v>
      </c>
      <c r="I565">
        <v>20.2</v>
      </c>
      <c r="J565" t="s">
        <v>33</v>
      </c>
      <c r="K565" t="s">
        <v>627</v>
      </c>
      <c r="L565" t="s">
        <v>35</v>
      </c>
      <c r="M565" t="s">
        <v>380</v>
      </c>
      <c r="N565" t="s">
        <v>61</v>
      </c>
      <c r="O565">
        <v>62</v>
      </c>
      <c r="Q565">
        <v>0</v>
      </c>
      <c r="R565">
        <v>0</v>
      </c>
      <c r="T565" t="s">
        <v>51</v>
      </c>
      <c r="U565" t="s">
        <v>39</v>
      </c>
      <c r="V565" t="s">
        <v>52</v>
      </c>
      <c r="W565" t="s">
        <v>52</v>
      </c>
      <c r="X565">
        <v>2022</v>
      </c>
      <c r="Y565" t="s">
        <v>312</v>
      </c>
      <c r="Z565" t="s">
        <v>83</v>
      </c>
    </row>
    <row r="566" spans="1:26">
      <c r="A566" t="s">
        <v>1367</v>
      </c>
      <c r="B566" t="s">
        <v>66</v>
      </c>
      <c r="C566" t="s">
        <v>28</v>
      </c>
      <c r="D566" t="s">
        <v>85</v>
      </c>
      <c r="E566" t="s">
        <v>138</v>
      </c>
      <c r="F566" t="s">
        <v>46</v>
      </c>
      <c r="G566" t="s">
        <v>32</v>
      </c>
      <c r="H566">
        <v>8.6999999999999993</v>
      </c>
      <c r="I566">
        <v>34.1</v>
      </c>
      <c r="J566" t="s">
        <v>156</v>
      </c>
      <c r="K566" t="s">
        <v>1368</v>
      </c>
      <c r="L566" t="s">
        <v>140</v>
      </c>
      <c r="M566" t="s">
        <v>282</v>
      </c>
      <c r="N566" t="s">
        <v>100</v>
      </c>
      <c r="O566">
        <v>81</v>
      </c>
      <c r="Q566">
        <v>0</v>
      </c>
      <c r="R566">
        <v>0</v>
      </c>
      <c r="T566" t="s">
        <v>38</v>
      </c>
      <c r="U566" t="s">
        <v>39</v>
      </c>
      <c r="V566" t="s">
        <v>39</v>
      </c>
      <c r="W566" t="s">
        <v>52</v>
      </c>
      <c r="X566">
        <v>2023</v>
      </c>
      <c r="Y566" t="s">
        <v>82</v>
      </c>
      <c r="Z566" t="s">
        <v>83</v>
      </c>
    </row>
    <row r="567" spans="1:26">
      <c r="A567" t="s">
        <v>1369</v>
      </c>
      <c r="B567" t="s">
        <v>66</v>
      </c>
      <c r="C567" t="s">
        <v>102</v>
      </c>
      <c r="D567" t="s">
        <v>77</v>
      </c>
      <c r="E567" t="s">
        <v>220</v>
      </c>
      <c r="F567" t="s">
        <v>124</v>
      </c>
      <c r="G567" t="s">
        <v>58</v>
      </c>
      <c r="H567">
        <v>10.6</v>
      </c>
      <c r="I567">
        <v>3.7</v>
      </c>
      <c r="J567" t="s">
        <v>96</v>
      </c>
      <c r="K567" t="s">
        <v>1311</v>
      </c>
      <c r="L567" t="s">
        <v>98</v>
      </c>
      <c r="M567" t="s">
        <v>654</v>
      </c>
      <c r="N567" t="s">
        <v>71</v>
      </c>
      <c r="O567">
        <v>42</v>
      </c>
      <c r="P567" t="s">
        <v>89</v>
      </c>
      <c r="Q567">
        <v>6793</v>
      </c>
      <c r="R567">
        <v>0</v>
      </c>
      <c r="S567" t="s">
        <v>152</v>
      </c>
      <c r="T567" t="s">
        <v>136</v>
      </c>
      <c r="U567" t="s">
        <v>39</v>
      </c>
      <c r="V567" t="s">
        <v>52</v>
      </c>
      <c r="W567" t="s">
        <v>52</v>
      </c>
      <c r="X567">
        <v>2023</v>
      </c>
      <c r="Y567" t="s">
        <v>211</v>
      </c>
      <c r="Z567" t="s">
        <v>41</v>
      </c>
    </row>
    <row r="568" spans="1:26">
      <c r="A568" t="s">
        <v>1370</v>
      </c>
      <c r="B568" t="s">
        <v>27</v>
      </c>
      <c r="C568" t="s">
        <v>28</v>
      </c>
      <c r="D568" t="s">
        <v>122</v>
      </c>
      <c r="E568" t="s">
        <v>202</v>
      </c>
      <c r="F568" t="s">
        <v>68</v>
      </c>
      <c r="G568" t="s">
        <v>32</v>
      </c>
      <c r="H568">
        <v>2.9</v>
      </c>
      <c r="I568">
        <v>34.9</v>
      </c>
      <c r="J568" t="s">
        <v>33</v>
      </c>
      <c r="K568" t="s">
        <v>515</v>
      </c>
      <c r="L568" t="s">
        <v>35</v>
      </c>
      <c r="M568" t="s">
        <v>938</v>
      </c>
      <c r="N568" t="s">
        <v>100</v>
      </c>
      <c r="O568">
        <v>11</v>
      </c>
      <c r="Q568">
        <v>0</v>
      </c>
      <c r="R568">
        <v>0</v>
      </c>
      <c r="T568" t="s">
        <v>81</v>
      </c>
      <c r="U568" t="s">
        <v>39</v>
      </c>
      <c r="V568" t="s">
        <v>52</v>
      </c>
      <c r="W568" t="s">
        <v>39</v>
      </c>
      <c r="X568">
        <v>2024</v>
      </c>
      <c r="Y568" t="s">
        <v>153</v>
      </c>
      <c r="Z568" t="s">
        <v>54</v>
      </c>
    </row>
    <row r="569" spans="1:26">
      <c r="A569" t="s">
        <v>1371</v>
      </c>
      <c r="B569" t="s">
        <v>93</v>
      </c>
      <c r="C569" t="s">
        <v>28</v>
      </c>
      <c r="D569" t="s">
        <v>77</v>
      </c>
      <c r="E569" t="s">
        <v>143</v>
      </c>
      <c r="F569" t="s">
        <v>95</v>
      </c>
      <c r="G569" t="s">
        <v>58</v>
      </c>
      <c r="H569">
        <v>0.9</v>
      </c>
      <c r="I569">
        <v>20.399999999999999</v>
      </c>
      <c r="J569" t="s">
        <v>156</v>
      </c>
      <c r="K569" t="s">
        <v>492</v>
      </c>
      <c r="L569" t="s">
        <v>126</v>
      </c>
      <c r="M569" t="s">
        <v>229</v>
      </c>
      <c r="N569" t="s">
        <v>71</v>
      </c>
      <c r="O569">
        <v>81</v>
      </c>
      <c r="P569" t="s">
        <v>72</v>
      </c>
      <c r="Q569">
        <v>5421</v>
      </c>
      <c r="R569">
        <v>0</v>
      </c>
      <c r="S569" t="s">
        <v>90</v>
      </c>
      <c r="T569" t="s">
        <v>51</v>
      </c>
      <c r="U569" t="s">
        <v>52</v>
      </c>
      <c r="V569" t="s">
        <v>52</v>
      </c>
      <c r="W569" t="s">
        <v>52</v>
      </c>
      <c r="X569">
        <v>2024</v>
      </c>
      <c r="Y569" t="s">
        <v>40</v>
      </c>
      <c r="Z569" t="s">
        <v>41</v>
      </c>
    </row>
    <row r="570" spans="1:26">
      <c r="A570" t="s">
        <v>1372</v>
      </c>
      <c r="B570" t="s">
        <v>27</v>
      </c>
      <c r="C570" t="s">
        <v>164</v>
      </c>
      <c r="D570" t="s">
        <v>29</v>
      </c>
      <c r="E570" t="s">
        <v>244</v>
      </c>
      <c r="F570" t="s">
        <v>149</v>
      </c>
      <c r="G570" t="s">
        <v>32</v>
      </c>
      <c r="H570">
        <v>10.3</v>
      </c>
      <c r="I570">
        <v>14.3</v>
      </c>
      <c r="J570" t="s">
        <v>20</v>
      </c>
      <c r="K570" t="s">
        <v>959</v>
      </c>
      <c r="L570" t="s">
        <v>140</v>
      </c>
      <c r="M570" t="s">
        <v>1373</v>
      </c>
      <c r="N570" t="s">
        <v>171</v>
      </c>
      <c r="O570">
        <v>11</v>
      </c>
      <c r="Q570">
        <v>0</v>
      </c>
      <c r="R570">
        <v>0</v>
      </c>
      <c r="T570" t="s">
        <v>51</v>
      </c>
      <c r="U570" t="s">
        <v>39</v>
      </c>
      <c r="V570" t="s">
        <v>39</v>
      </c>
      <c r="W570" t="s">
        <v>52</v>
      </c>
      <c r="X570">
        <v>2024</v>
      </c>
      <c r="Y570" t="s">
        <v>114</v>
      </c>
      <c r="Z570" t="s">
        <v>41</v>
      </c>
    </row>
    <row r="571" spans="1:26">
      <c r="A571" t="s">
        <v>1374</v>
      </c>
      <c r="B571" t="s">
        <v>66</v>
      </c>
      <c r="C571" t="s">
        <v>76</v>
      </c>
      <c r="D571" t="s">
        <v>29</v>
      </c>
      <c r="E571" t="s">
        <v>117</v>
      </c>
      <c r="F571" t="s">
        <v>68</v>
      </c>
      <c r="G571" t="s">
        <v>58</v>
      </c>
      <c r="H571">
        <v>0.8</v>
      </c>
      <c r="I571">
        <v>27.8</v>
      </c>
      <c r="J571" t="s">
        <v>33</v>
      </c>
      <c r="K571" t="s">
        <v>587</v>
      </c>
      <c r="L571" t="s">
        <v>126</v>
      </c>
      <c r="M571" t="s">
        <v>1375</v>
      </c>
      <c r="N571" t="s">
        <v>71</v>
      </c>
      <c r="O571">
        <v>175</v>
      </c>
      <c r="P571" t="s">
        <v>89</v>
      </c>
      <c r="Q571">
        <v>4042</v>
      </c>
      <c r="R571">
        <v>2000</v>
      </c>
      <c r="S571" t="s">
        <v>90</v>
      </c>
      <c r="T571" t="s">
        <v>38</v>
      </c>
      <c r="U571" t="s">
        <v>39</v>
      </c>
      <c r="V571" t="s">
        <v>52</v>
      </c>
      <c r="W571" t="s">
        <v>52</v>
      </c>
      <c r="X571">
        <v>2023</v>
      </c>
      <c r="Y571" t="s">
        <v>153</v>
      </c>
      <c r="Z571" t="s">
        <v>54</v>
      </c>
    </row>
    <row r="572" spans="1:26">
      <c r="A572" t="s">
        <v>1376</v>
      </c>
      <c r="B572" t="s">
        <v>108</v>
      </c>
      <c r="C572" t="s">
        <v>44</v>
      </c>
      <c r="D572" t="s">
        <v>29</v>
      </c>
      <c r="E572" t="s">
        <v>56</v>
      </c>
      <c r="F572" t="s">
        <v>124</v>
      </c>
      <c r="G572" t="s">
        <v>32</v>
      </c>
      <c r="H572">
        <v>1.1000000000000001</v>
      </c>
      <c r="I572">
        <v>25.7</v>
      </c>
      <c r="J572" t="s">
        <v>33</v>
      </c>
      <c r="K572" t="s">
        <v>1276</v>
      </c>
      <c r="L572" t="s">
        <v>35</v>
      </c>
      <c r="M572" t="s">
        <v>1113</v>
      </c>
      <c r="N572" t="s">
        <v>50</v>
      </c>
      <c r="O572">
        <v>120</v>
      </c>
      <c r="Q572">
        <v>0</v>
      </c>
      <c r="R572">
        <v>0</v>
      </c>
      <c r="T572" t="s">
        <v>51</v>
      </c>
      <c r="U572" t="s">
        <v>39</v>
      </c>
      <c r="V572" t="s">
        <v>52</v>
      </c>
      <c r="W572" t="s">
        <v>52</v>
      </c>
      <c r="X572">
        <v>2024</v>
      </c>
      <c r="Y572" t="s">
        <v>211</v>
      </c>
      <c r="Z572" t="s">
        <v>41</v>
      </c>
    </row>
    <row r="573" spans="1:26">
      <c r="A573" t="s">
        <v>1377</v>
      </c>
      <c r="B573" t="s">
        <v>43</v>
      </c>
      <c r="C573" t="s">
        <v>102</v>
      </c>
      <c r="D573" t="s">
        <v>77</v>
      </c>
      <c r="E573" t="s">
        <v>78</v>
      </c>
      <c r="F573" t="s">
        <v>46</v>
      </c>
      <c r="G573" t="s">
        <v>58</v>
      </c>
      <c r="H573">
        <v>6.6</v>
      </c>
      <c r="I573">
        <v>33.200000000000003</v>
      </c>
      <c r="J573" t="s">
        <v>20</v>
      </c>
      <c r="K573" t="s">
        <v>921</v>
      </c>
      <c r="L573" t="s">
        <v>126</v>
      </c>
      <c r="M573" t="s">
        <v>707</v>
      </c>
      <c r="N573" t="s">
        <v>50</v>
      </c>
      <c r="O573">
        <v>72</v>
      </c>
      <c r="Q573">
        <v>0</v>
      </c>
      <c r="R573">
        <v>0</v>
      </c>
      <c r="T573" t="s">
        <v>38</v>
      </c>
      <c r="U573" t="s">
        <v>39</v>
      </c>
      <c r="V573" t="s">
        <v>52</v>
      </c>
      <c r="W573" t="s">
        <v>52</v>
      </c>
      <c r="X573">
        <v>2022</v>
      </c>
      <c r="Y573" t="s">
        <v>211</v>
      </c>
      <c r="Z573" t="s">
        <v>41</v>
      </c>
    </row>
    <row r="574" spans="1:26">
      <c r="A574" t="s">
        <v>1378</v>
      </c>
      <c r="B574" t="s">
        <v>116</v>
      </c>
      <c r="C574" t="s">
        <v>164</v>
      </c>
      <c r="D574" t="s">
        <v>77</v>
      </c>
      <c r="E574" t="s">
        <v>220</v>
      </c>
      <c r="F574" t="s">
        <v>95</v>
      </c>
      <c r="G574" t="s">
        <v>32</v>
      </c>
      <c r="H574">
        <v>3.3</v>
      </c>
      <c r="I574">
        <v>22.4</v>
      </c>
      <c r="J574" t="s">
        <v>144</v>
      </c>
      <c r="K574" t="s">
        <v>560</v>
      </c>
      <c r="L574" t="s">
        <v>35</v>
      </c>
      <c r="M574" t="s">
        <v>1379</v>
      </c>
      <c r="N574" t="s">
        <v>100</v>
      </c>
      <c r="O574">
        <v>6</v>
      </c>
      <c r="Q574">
        <v>0</v>
      </c>
      <c r="R574">
        <v>0</v>
      </c>
      <c r="T574" t="s">
        <v>51</v>
      </c>
      <c r="U574" t="s">
        <v>52</v>
      </c>
      <c r="V574" t="s">
        <v>52</v>
      </c>
      <c r="W574" t="s">
        <v>52</v>
      </c>
      <c r="X574">
        <v>2023</v>
      </c>
      <c r="Y574" t="s">
        <v>312</v>
      </c>
      <c r="Z574" t="s">
        <v>83</v>
      </c>
    </row>
    <row r="575" spans="1:26">
      <c r="A575" t="s">
        <v>1380</v>
      </c>
      <c r="B575" t="s">
        <v>43</v>
      </c>
      <c r="C575" t="s">
        <v>102</v>
      </c>
      <c r="D575" t="s">
        <v>29</v>
      </c>
      <c r="E575" t="s">
        <v>45</v>
      </c>
      <c r="F575" t="s">
        <v>46</v>
      </c>
      <c r="G575" t="s">
        <v>32</v>
      </c>
      <c r="H575">
        <v>4.2</v>
      </c>
      <c r="I575">
        <v>26.5</v>
      </c>
      <c r="J575" t="s">
        <v>144</v>
      </c>
      <c r="K575" t="s">
        <v>1381</v>
      </c>
      <c r="L575" t="s">
        <v>126</v>
      </c>
      <c r="M575" t="s">
        <v>868</v>
      </c>
      <c r="N575" t="s">
        <v>100</v>
      </c>
      <c r="O575">
        <v>24</v>
      </c>
      <c r="Q575">
        <v>0</v>
      </c>
      <c r="R575">
        <v>0</v>
      </c>
      <c r="T575" t="s">
        <v>62</v>
      </c>
      <c r="U575" t="s">
        <v>39</v>
      </c>
      <c r="V575" t="s">
        <v>52</v>
      </c>
      <c r="W575" t="s">
        <v>52</v>
      </c>
      <c r="X575">
        <v>2022</v>
      </c>
      <c r="Y575" t="s">
        <v>74</v>
      </c>
      <c r="Z575" t="s">
        <v>54</v>
      </c>
    </row>
    <row r="576" spans="1:26">
      <c r="A576" t="s">
        <v>1382</v>
      </c>
      <c r="B576" t="s">
        <v>43</v>
      </c>
      <c r="C576" t="s">
        <v>67</v>
      </c>
      <c r="D576" t="s">
        <v>122</v>
      </c>
      <c r="E576" t="s">
        <v>202</v>
      </c>
      <c r="F576" t="s">
        <v>46</v>
      </c>
      <c r="G576" t="s">
        <v>58</v>
      </c>
      <c r="H576">
        <v>8.6999999999999993</v>
      </c>
      <c r="I576">
        <v>20.5</v>
      </c>
      <c r="J576" t="s">
        <v>33</v>
      </c>
      <c r="K576" t="s">
        <v>507</v>
      </c>
      <c r="L576" t="s">
        <v>126</v>
      </c>
      <c r="M576" t="s">
        <v>1123</v>
      </c>
      <c r="N576" t="s">
        <v>37</v>
      </c>
      <c r="O576">
        <v>3</v>
      </c>
      <c r="Q576">
        <v>0</v>
      </c>
      <c r="R576">
        <v>0</v>
      </c>
      <c r="T576" t="s">
        <v>81</v>
      </c>
      <c r="U576" t="s">
        <v>52</v>
      </c>
      <c r="V576" t="s">
        <v>52</v>
      </c>
      <c r="W576" t="s">
        <v>39</v>
      </c>
      <c r="X576">
        <v>2024</v>
      </c>
      <c r="Y576" t="s">
        <v>312</v>
      </c>
      <c r="Z576" t="s">
        <v>83</v>
      </c>
    </row>
    <row r="577" spans="1:26">
      <c r="A577" t="s">
        <v>1383</v>
      </c>
      <c r="B577" t="s">
        <v>27</v>
      </c>
      <c r="C577" t="s">
        <v>28</v>
      </c>
      <c r="D577" t="s">
        <v>85</v>
      </c>
      <c r="E577" t="s">
        <v>402</v>
      </c>
      <c r="F577" t="s">
        <v>238</v>
      </c>
      <c r="G577" t="s">
        <v>58</v>
      </c>
      <c r="H577">
        <v>7.6</v>
      </c>
      <c r="I577">
        <v>22.5</v>
      </c>
      <c r="J577" t="s">
        <v>156</v>
      </c>
      <c r="K577" t="s">
        <v>277</v>
      </c>
      <c r="L577" t="s">
        <v>48</v>
      </c>
      <c r="M577" t="s">
        <v>537</v>
      </c>
      <c r="N577" t="s">
        <v>50</v>
      </c>
      <c r="O577">
        <v>1</v>
      </c>
      <c r="Q577">
        <v>0</v>
      </c>
      <c r="R577">
        <v>0</v>
      </c>
      <c r="T577" t="s">
        <v>136</v>
      </c>
      <c r="U577" t="s">
        <v>39</v>
      </c>
      <c r="V577" t="s">
        <v>52</v>
      </c>
      <c r="W577" t="s">
        <v>52</v>
      </c>
      <c r="X577">
        <v>2024</v>
      </c>
      <c r="Y577" t="s">
        <v>63</v>
      </c>
      <c r="Z577" t="s">
        <v>64</v>
      </c>
    </row>
    <row r="578" spans="1:26">
      <c r="A578" t="s">
        <v>1384</v>
      </c>
      <c r="B578" t="s">
        <v>93</v>
      </c>
      <c r="C578" t="s">
        <v>28</v>
      </c>
      <c r="D578" t="s">
        <v>77</v>
      </c>
      <c r="E578" t="s">
        <v>260</v>
      </c>
      <c r="F578" t="s">
        <v>149</v>
      </c>
      <c r="G578" t="s">
        <v>32</v>
      </c>
      <c r="H578">
        <v>4.4000000000000004</v>
      </c>
      <c r="I578">
        <v>10.9</v>
      </c>
      <c r="J578" t="s">
        <v>144</v>
      </c>
      <c r="K578" t="s">
        <v>1330</v>
      </c>
      <c r="L578" t="s">
        <v>126</v>
      </c>
      <c r="M578" t="s">
        <v>251</v>
      </c>
      <c r="N578" t="s">
        <v>71</v>
      </c>
      <c r="O578">
        <v>49</v>
      </c>
      <c r="P578" t="s">
        <v>72</v>
      </c>
      <c r="Q578">
        <v>6033</v>
      </c>
      <c r="R578">
        <v>5000</v>
      </c>
      <c r="S578" t="s">
        <v>152</v>
      </c>
      <c r="T578" t="s">
        <v>62</v>
      </c>
      <c r="U578" t="s">
        <v>52</v>
      </c>
      <c r="V578" t="s">
        <v>52</v>
      </c>
      <c r="W578" t="s">
        <v>52</v>
      </c>
      <c r="X578">
        <v>2023</v>
      </c>
      <c r="Y578" t="s">
        <v>312</v>
      </c>
      <c r="Z578" t="s">
        <v>83</v>
      </c>
    </row>
    <row r="579" spans="1:26">
      <c r="A579" t="s">
        <v>1385</v>
      </c>
      <c r="B579" t="s">
        <v>27</v>
      </c>
      <c r="C579" t="s">
        <v>44</v>
      </c>
      <c r="D579" t="s">
        <v>29</v>
      </c>
      <c r="E579" t="s">
        <v>45</v>
      </c>
      <c r="F579" t="s">
        <v>57</v>
      </c>
      <c r="G579" t="s">
        <v>32</v>
      </c>
      <c r="H579">
        <v>2.2000000000000002</v>
      </c>
      <c r="I579">
        <v>21</v>
      </c>
      <c r="J579" t="s">
        <v>96</v>
      </c>
      <c r="K579" t="s">
        <v>280</v>
      </c>
      <c r="L579" t="s">
        <v>98</v>
      </c>
      <c r="M579" t="s">
        <v>1386</v>
      </c>
      <c r="N579" t="s">
        <v>171</v>
      </c>
      <c r="O579">
        <v>110</v>
      </c>
      <c r="Q579">
        <v>0</v>
      </c>
      <c r="R579">
        <v>0</v>
      </c>
      <c r="T579" t="s">
        <v>136</v>
      </c>
      <c r="U579" t="s">
        <v>39</v>
      </c>
      <c r="V579" t="s">
        <v>52</v>
      </c>
      <c r="W579" t="s">
        <v>39</v>
      </c>
      <c r="X579">
        <v>2024</v>
      </c>
      <c r="Y579" t="s">
        <v>40</v>
      </c>
      <c r="Z579" t="s">
        <v>41</v>
      </c>
    </row>
    <row r="580" spans="1:26">
      <c r="A580" t="s">
        <v>1387</v>
      </c>
      <c r="B580" t="s">
        <v>27</v>
      </c>
      <c r="C580" t="s">
        <v>28</v>
      </c>
      <c r="D580" t="s">
        <v>29</v>
      </c>
      <c r="E580" t="s">
        <v>195</v>
      </c>
      <c r="F580" t="s">
        <v>149</v>
      </c>
      <c r="G580" t="s">
        <v>58</v>
      </c>
      <c r="H580">
        <v>1.3</v>
      </c>
      <c r="I580">
        <v>26.4</v>
      </c>
      <c r="J580" t="s">
        <v>156</v>
      </c>
      <c r="K580" t="s">
        <v>385</v>
      </c>
      <c r="L580" t="s">
        <v>60</v>
      </c>
      <c r="M580" t="s">
        <v>532</v>
      </c>
      <c r="N580" t="s">
        <v>71</v>
      </c>
      <c r="O580">
        <v>23</v>
      </c>
      <c r="P580" t="s">
        <v>112</v>
      </c>
      <c r="Q580">
        <v>4024</v>
      </c>
      <c r="R580">
        <v>500</v>
      </c>
      <c r="S580" t="s">
        <v>113</v>
      </c>
      <c r="T580" t="s">
        <v>81</v>
      </c>
      <c r="U580" t="s">
        <v>52</v>
      </c>
      <c r="V580" t="s">
        <v>52</v>
      </c>
      <c r="W580" t="s">
        <v>52</v>
      </c>
      <c r="X580">
        <v>2022</v>
      </c>
      <c r="Y580" t="s">
        <v>211</v>
      </c>
      <c r="Z580" t="s">
        <v>41</v>
      </c>
    </row>
    <row r="581" spans="1:26">
      <c r="A581" t="s">
        <v>1388</v>
      </c>
      <c r="B581" t="s">
        <v>108</v>
      </c>
      <c r="C581" t="s">
        <v>44</v>
      </c>
      <c r="D581" t="s">
        <v>29</v>
      </c>
      <c r="E581" t="s">
        <v>45</v>
      </c>
      <c r="F581" t="s">
        <v>238</v>
      </c>
      <c r="G581" t="s">
        <v>32</v>
      </c>
      <c r="H581">
        <v>11.6</v>
      </c>
      <c r="I581">
        <v>32</v>
      </c>
      <c r="J581" t="s">
        <v>96</v>
      </c>
      <c r="K581" t="s">
        <v>132</v>
      </c>
      <c r="L581" t="s">
        <v>48</v>
      </c>
      <c r="M581" t="s">
        <v>1118</v>
      </c>
      <c r="N581" t="s">
        <v>171</v>
      </c>
      <c r="O581">
        <v>32</v>
      </c>
      <c r="Q581">
        <v>0</v>
      </c>
      <c r="R581">
        <v>0</v>
      </c>
      <c r="T581" t="s">
        <v>62</v>
      </c>
      <c r="U581" t="s">
        <v>39</v>
      </c>
      <c r="V581" t="s">
        <v>52</v>
      </c>
      <c r="W581" t="s">
        <v>52</v>
      </c>
      <c r="X581">
        <v>2024</v>
      </c>
      <c r="Y581" t="s">
        <v>211</v>
      </c>
      <c r="Z581" t="s">
        <v>41</v>
      </c>
    </row>
    <row r="582" spans="1:26">
      <c r="A582" t="s">
        <v>1389</v>
      </c>
      <c r="B582" t="s">
        <v>116</v>
      </c>
      <c r="C582" t="s">
        <v>76</v>
      </c>
      <c r="D582" t="s">
        <v>29</v>
      </c>
      <c r="E582" t="s">
        <v>195</v>
      </c>
      <c r="F582" t="s">
        <v>68</v>
      </c>
      <c r="G582" t="s">
        <v>32</v>
      </c>
      <c r="H582">
        <v>10.8</v>
      </c>
      <c r="I582">
        <v>14.8</v>
      </c>
      <c r="J582" t="s">
        <v>96</v>
      </c>
      <c r="K582" t="s">
        <v>598</v>
      </c>
      <c r="L582" t="s">
        <v>140</v>
      </c>
      <c r="M582" t="s">
        <v>1390</v>
      </c>
      <c r="N582" t="s">
        <v>37</v>
      </c>
      <c r="O582">
        <v>173</v>
      </c>
      <c r="Q582">
        <v>0</v>
      </c>
      <c r="R582">
        <v>0</v>
      </c>
      <c r="T582" t="s">
        <v>62</v>
      </c>
      <c r="U582" t="s">
        <v>39</v>
      </c>
      <c r="V582" t="s">
        <v>52</v>
      </c>
      <c r="W582" t="s">
        <v>52</v>
      </c>
      <c r="X582">
        <v>2024</v>
      </c>
      <c r="Y582" t="s">
        <v>74</v>
      </c>
      <c r="Z582" t="s">
        <v>54</v>
      </c>
    </row>
    <row r="583" spans="1:26">
      <c r="A583" t="s">
        <v>1391</v>
      </c>
      <c r="B583" t="s">
        <v>116</v>
      </c>
      <c r="C583" t="s">
        <v>44</v>
      </c>
      <c r="D583" t="s">
        <v>77</v>
      </c>
      <c r="E583" t="s">
        <v>94</v>
      </c>
      <c r="F583" t="s">
        <v>68</v>
      </c>
      <c r="G583" t="s">
        <v>32</v>
      </c>
      <c r="H583">
        <v>2.4</v>
      </c>
      <c r="I583">
        <v>22.7</v>
      </c>
      <c r="J583" t="s">
        <v>156</v>
      </c>
      <c r="K583" t="s">
        <v>1038</v>
      </c>
      <c r="L583" t="s">
        <v>48</v>
      </c>
      <c r="M583" t="s">
        <v>221</v>
      </c>
      <c r="N583" t="s">
        <v>100</v>
      </c>
      <c r="O583">
        <v>143</v>
      </c>
      <c r="Q583">
        <v>0</v>
      </c>
      <c r="R583">
        <v>0</v>
      </c>
      <c r="T583" t="s">
        <v>136</v>
      </c>
      <c r="U583" t="s">
        <v>39</v>
      </c>
      <c r="V583" t="s">
        <v>52</v>
      </c>
      <c r="W583" t="s">
        <v>52</v>
      </c>
      <c r="X583">
        <v>2023</v>
      </c>
      <c r="Y583" t="s">
        <v>53</v>
      </c>
      <c r="Z583" t="s">
        <v>54</v>
      </c>
    </row>
    <row r="584" spans="1:26">
      <c r="A584" t="s">
        <v>1392</v>
      </c>
      <c r="B584" t="s">
        <v>93</v>
      </c>
      <c r="C584" t="s">
        <v>164</v>
      </c>
      <c r="D584" t="s">
        <v>85</v>
      </c>
      <c r="E584" t="s">
        <v>208</v>
      </c>
      <c r="F584" t="s">
        <v>46</v>
      </c>
      <c r="G584" t="s">
        <v>58</v>
      </c>
      <c r="H584">
        <v>4.8</v>
      </c>
      <c r="I584">
        <v>26.8</v>
      </c>
      <c r="J584" t="s">
        <v>33</v>
      </c>
      <c r="K584" t="s">
        <v>957</v>
      </c>
      <c r="L584" t="s">
        <v>35</v>
      </c>
      <c r="M584" t="s">
        <v>1393</v>
      </c>
      <c r="N584" t="s">
        <v>71</v>
      </c>
      <c r="O584">
        <v>33</v>
      </c>
      <c r="P584" t="s">
        <v>230</v>
      </c>
      <c r="Q584">
        <v>2863</v>
      </c>
      <c r="R584">
        <v>5000</v>
      </c>
      <c r="S584" t="s">
        <v>90</v>
      </c>
      <c r="T584" t="s">
        <v>38</v>
      </c>
      <c r="U584" t="s">
        <v>39</v>
      </c>
      <c r="V584" t="s">
        <v>39</v>
      </c>
      <c r="W584" t="s">
        <v>39</v>
      </c>
      <c r="X584">
        <v>2022</v>
      </c>
      <c r="Y584" t="s">
        <v>40</v>
      </c>
      <c r="Z584" t="s">
        <v>41</v>
      </c>
    </row>
    <row r="585" spans="1:26">
      <c r="A585" t="s">
        <v>1394</v>
      </c>
      <c r="B585" t="s">
        <v>43</v>
      </c>
      <c r="C585" t="s">
        <v>173</v>
      </c>
      <c r="D585" t="s">
        <v>77</v>
      </c>
      <c r="E585" t="s">
        <v>94</v>
      </c>
      <c r="F585" t="s">
        <v>124</v>
      </c>
      <c r="G585" t="s">
        <v>58</v>
      </c>
      <c r="H585">
        <v>2.2999999999999998</v>
      </c>
      <c r="I585">
        <v>23</v>
      </c>
      <c r="J585" t="s">
        <v>156</v>
      </c>
      <c r="K585" t="s">
        <v>1395</v>
      </c>
      <c r="L585" t="s">
        <v>126</v>
      </c>
      <c r="M585" t="s">
        <v>887</v>
      </c>
      <c r="N585" t="s">
        <v>50</v>
      </c>
      <c r="O585">
        <v>34</v>
      </c>
      <c r="Q585">
        <v>0</v>
      </c>
      <c r="R585">
        <v>500</v>
      </c>
      <c r="T585" t="s">
        <v>51</v>
      </c>
      <c r="U585" t="s">
        <v>39</v>
      </c>
      <c r="V585" t="s">
        <v>52</v>
      </c>
      <c r="W585" t="s">
        <v>39</v>
      </c>
      <c r="X585">
        <v>2022</v>
      </c>
      <c r="Y585" t="s">
        <v>82</v>
      </c>
      <c r="Z585" t="s">
        <v>83</v>
      </c>
    </row>
    <row r="586" spans="1:26">
      <c r="A586" t="s">
        <v>1396</v>
      </c>
      <c r="B586" t="s">
        <v>43</v>
      </c>
      <c r="C586" t="s">
        <v>28</v>
      </c>
      <c r="D586" t="s">
        <v>77</v>
      </c>
      <c r="E586" t="s">
        <v>220</v>
      </c>
      <c r="F586" t="s">
        <v>95</v>
      </c>
      <c r="G586" t="s">
        <v>32</v>
      </c>
      <c r="H586">
        <v>1.4</v>
      </c>
      <c r="I586">
        <v>10.199999999999999</v>
      </c>
      <c r="J586" t="s">
        <v>96</v>
      </c>
      <c r="K586" t="s">
        <v>964</v>
      </c>
      <c r="L586" t="s">
        <v>60</v>
      </c>
      <c r="M586" t="s">
        <v>1358</v>
      </c>
      <c r="N586" t="s">
        <v>50</v>
      </c>
      <c r="O586">
        <v>29</v>
      </c>
      <c r="Q586">
        <v>0</v>
      </c>
      <c r="R586">
        <v>0</v>
      </c>
      <c r="T586" t="s">
        <v>81</v>
      </c>
      <c r="U586" t="s">
        <v>52</v>
      </c>
      <c r="V586" t="s">
        <v>39</v>
      </c>
      <c r="W586" t="s">
        <v>52</v>
      </c>
      <c r="X586">
        <v>2022</v>
      </c>
      <c r="Y586" t="s">
        <v>40</v>
      </c>
      <c r="Z586" t="s">
        <v>41</v>
      </c>
    </row>
    <row r="587" spans="1:26">
      <c r="A587" t="s">
        <v>1397</v>
      </c>
      <c r="B587" t="s">
        <v>66</v>
      </c>
      <c r="C587" t="s">
        <v>121</v>
      </c>
      <c r="D587" t="s">
        <v>77</v>
      </c>
      <c r="E587" t="s">
        <v>94</v>
      </c>
      <c r="F587" t="s">
        <v>68</v>
      </c>
      <c r="G587" t="s">
        <v>58</v>
      </c>
      <c r="H587">
        <v>5.0999999999999996</v>
      </c>
      <c r="I587">
        <v>31.2</v>
      </c>
      <c r="J587" t="s">
        <v>33</v>
      </c>
      <c r="K587" t="s">
        <v>739</v>
      </c>
      <c r="L587" t="s">
        <v>35</v>
      </c>
      <c r="M587" t="s">
        <v>1398</v>
      </c>
      <c r="N587" t="s">
        <v>71</v>
      </c>
      <c r="O587">
        <v>125</v>
      </c>
      <c r="P587" t="s">
        <v>89</v>
      </c>
      <c r="Q587">
        <v>4722</v>
      </c>
      <c r="R587">
        <v>2000</v>
      </c>
      <c r="S587" t="s">
        <v>73</v>
      </c>
      <c r="T587" t="s">
        <v>38</v>
      </c>
      <c r="U587" t="s">
        <v>39</v>
      </c>
      <c r="V587" t="s">
        <v>52</v>
      </c>
      <c r="W587" t="s">
        <v>52</v>
      </c>
      <c r="X587">
        <v>2022</v>
      </c>
      <c r="Y587" t="s">
        <v>53</v>
      </c>
      <c r="Z587" t="s">
        <v>54</v>
      </c>
    </row>
    <row r="588" spans="1:26">
      <c r="A588" t="s">
        <v>1399</v>
      </c>
      <c r="B588" t="s">
        <v>116</v>
      </c>
      <c r="C588" t="s">
        <v>76</v>
      </c>
      <c r="D588" t="s">
        <v>77</v>
      </c>
      <c r="E588" t="s">
        <v>220</v>
      </c>
      <c r="F588" t="s">
        <v>109</v>
      </c>
      <c r="G588" t="s">
        <v>58</v>
      </c>
      <c r="H588">
        <v>11.1</v>
      </c>
      <c r="I588">
        <v>7.2</v>
      </c>
      <c r="J588" t="s">
        <v>33</v>
      </c>
      <c r="K588" t="s">
        <v>1215</v>
      </c>
      <c r="L588" t="s">
        <v>60</v>
      </c>
      <c r="M588" t="s">
        <v>1400</v>
      </c>
      <c r="N588" t="s">
        <v>61</v>
      </c>
      <c r="O588">
        <v>134</v>
      </c>
      <c r="Q588">
        <v>0</v>
      </c>
      <c r="R588">
        <v>0</v>
      </c>
      <c r="T588" t="s">
        <v>38</v>
      </c>
      <c r="U588" t="s">
        <v>39</v>
      </c>
      <c r="V588" t="s">
        <v>39</v>
      </c>
      <c r="W588" t="s">
        <v>52</v>
      </c>
      <c r="X588">
        <v>2022</v>
      </c>
      <c r="Y588" t="s">
        <v>128</v>
      </c>
      <c r="Z588" t="s">
        <v>64</v>
      </c>
    </row>
    <row r="589" spans="1:26">
      <c r="A589" t="s">
        <v>1401</v>
      </c>
      <c r="B589" t="s">
        <v>93</v>
      </c>
      <c r="C589" t="s">
        <v>173</v>
      </c>
      <c r="D589" t="s">
        <v>77</v>
      </c>
      <c r="E589" t="s">
        <v>363</v>
      </c>
      <c r="F589" t="s">
        <v>149</v>
      </c>
      <c r="G589" t="s">
        <v>32</v>
      </c>
      <c r="H589">
        <v>5.8</v>
      </c>
      <c r="I589">
        <v>33.4</v>
      </c>
      <c r="J589" t="s">
        <v>144</v>
      </c>
      <c r="K589" t="s">
        <v>1314</v>
      </c>
      <c r="L589" t="s">
        <v>140</v>
      </c>
      <c r="M589" t="s">
        <v>672</v>
      </c>
      <c r="N589" t="s">
        <v>71</v>
      </c>
      <c r="O589">
        <v>178</v>
      </c>
      <c r="P589" t="s">
        <v>112</v>
      </c>
      <c r="Q589">
        <v>5192</v>
      </c>
      <c r="R589">
        <v>0</v>
      </c>
      <c r="S589" t="s">
        <v>113</v>
      </c>
      <c r="T589" t="s">
        <v>51</v>
      </c>
      <c r="U589" t="s">
        <v>39</v>
      </c>
      <c r="V589" t="s">
        <v>39</v>
      </c>
      <c r="W589" t="s">
        <v>52</v>
      </c>
      <c r="X589">
        <v>2022</v>
      </c>
      <c r="Y589" t="s">
        <v>153</v>
      </c>
      <c r="Z589" t="s">
        <v>54</v>
      </c>
    </row>
    <row r="590" spans="1:26">
      <c r="A590" t="s">
        <v>1402</v>
      </c>
      <c r="B590" t="s">
        <v>27</v>
      </c>
      <c r="C590" t="s">
        <v>173</v>
      </c>
      <c r="D590" t="s">
        <v>85</v>
      </c>
      <c r="E590" t="s">
        <v>174</v>
      </c>
      <c r="F590" t="s">
        <v>46</v>
      </c>
      <c r="G590" t="s">
        <v>58</v>
      </c>
      <c r="H590">
        <v>5.3</v>
      </c>
      <c r="I590">
        <v>15.9</v>
      </c>
      <c r="J590" t="s">
        <v>20</v>
      </c>
      <c r="K590" t="s">
        <v>221</v>
      </c>
      <c r="L590" t="s">
        <v>126</v>
      </c>
      <c r="M590" t="s">
        <v>1403</v>
      </c>
      <c r="N590" t="s">
        <v>37</v>
      </c>
      <c r="O590">
        <v>43</v>
      </c>
      <c r="Q590">
        <v>0</v>
      </c>
      <c r="R590">
        <v>1000</v>
      </c>
      <c r="T590" t="s">
        <v>136</v>
      </c>
      <c r="U590" t="s">
        <v>39</v>
      </c>
      <c r="V590" t="s">
        <v>52</v>
      </c>
      <c r="W590" t="s">
        <v>52</v>
      </c>
      <c r="X590">
        <v>2023</v>
      </c>
      <c r="Y590" t="s">
        <v>91</v>
      </c>
      <c r="Z590" t="s">
        <v>64</v>
      </c>
    </row>
    <row r="591" spans="1:26">
      <c r="A591" t="s">
        <v>1404</v>
      </c>
      <c r="B591" t="s">
        <v>66</v>
      </c>
      <c r="C591" t="s">
        <v>67</v>
      </c>
      <c r="D591" t="s">
        <v>122</v>
      </c>
      <c r="E591" t="s">
        <v>123</v>
      </c>
      <c r="F591" t="s">
        <v>57</v>
      </c>
      <c r="G591" t="s">
        <v>58</v>
      </c>
      <c r="H591">
        <v>7.1</v>
      </c>
      <c r="I591">
        <v>10.6</v>
      </c>
      <c r="J591" t="s">
        <v>33</v>
      </c>
      <c r="K591" t="s">
        <v>367</v>
      </c>
      <c r="L591" t="s">
        <v>48</v>
      </c>
      <c r="M591" t="s">
        <v>1405</v>
      </c>
      <c r="N591" t="s">
        <v>71</v>
      </c>
      <c r="O591">
        <v>43</v>
      </c>
      <c r="P591" t="s">
        <v>72</v>
      </c>
      <c r="Q591">
        <v>2594</v>
      </c>
      <c r="R591">
        <v>0</v>
      </c>
      <c r="S591" t="s">
        <v>90</v>
      </c>
      <c r="T591" t="s">
        <v>81</v>
      </c>
      <c r="U591" t="s">
        <v>39</v>
      </c>
      <c r="V591" t="s">
        <v>39</v>
      </c>
      <c r="W591" t="s">
        <v>39</v>
      </c>
      <c r="X591">
        <v>2024</v>
      </c>
      <c r="Y591" t="s">
        <v>40</v>
      </c>
      <c r="Z591" t="s">
        <v>41</v>
      </c>
    </row>
    <row r="592" spans="1:26">
      <c r="A592" t="s">
        <v>1406</v>
      </c>
      <c r="B592" t="s">
        <v>116</v>
      </c>
      <c r="C592" t="s">
        <v>67</v>
      </c>
      <c r="D592" t="s">
        <v>77</v>
      </c>
      <c r="E592" t="s">
        <v>260</v>
      </c>
      <c r="F592" t="s">
        <v>124</v>
      </c>
      <c r="G592" t="s">
        <v>32</v>
      </c>
      <c r="H592">
        <v>1.6</v>
      </c>
      <c r="I592">
        <v>11.5</v>
      </c>
      <c r="J592" t="s">
        <v>20</v>
      </c>
      <c r="K592" t="s">
        <v>1407</v>
      </c>
      <c r="L592" t="s">
        <v>60</v>
      </c>
      <c r="M592" t="s">
        <v>1123</v>
      </c>
      <c r="N592" t="s">
        <v>171</v>
      </c>
      <c r="O592">
        <v>38</v>
      </c>
      <c r="Q592">
        <v>0</v>
      </c>
      <c r="R592">
        <v>0</v>
      </c>
      <c r="T592" t="s">
        <v>81</v>
      </c>
      <c r="U592" t="s">
        <v>39</v>
      </c>
      <c r="V592" t="s">
        <v>52</v>
      </c>
      <c r="W592" t="s">
        <v>52</v>
      </c>
      <c r="X592">
        <v>2024</v>
      </c>
      <c r="Y592" t="s">
        <v>82</v>
      </c>
      <c r="Z592" t="s">
        <v>83</v>
      </c>
    </row>
    <row r="593" spans="1:26">
      <c r="A593" t="s">
        <v>1408</v>
      </c>
      <c r="B593" t="s">
        <v>66</v>
      </c>
      <c r="C593" t="s">
        <v>28</v>
      </c>
      <c r="D593" t="s">
        <v>77</v>
      </c>
      <c r="E593" t="s">
        <v>363</v>
      </c>
      <c r="F593" t="s">
        <v>31</v>
      </c>
      <c r="G593" t="s">
        <v>32</v>
      </c>
      <c r="H593">
        <v>8.6</v>
      </c>
      <c r="I593">
        <v>33.1</v>
      </c>
      <c r="J593" t="s">
        <v>156</v>
      </c>
      <c r="K593" t="s">
        <v>1409</v>
      </c>
      <c r="L593" t="s">
        <v>126</v>
      </c>
      <c r="M593" t="s">
        <v>127</v>
      </c>
      <c r="N593" t="s">
        <v>71</v>
      </c>
      <c r="O593">
        <v>56</v>
      </c>
      <c r="P593" t="s">
        <v>72</v>
      </c>
      <c r="Q593">
        <v>7595</v>
      </c>
      <c r="R593">
        <v>0</v>
      </c>
      <c r="S593" t="s">
        <v>152</v>
      </c>
      <c r="T593" t="s">
        <v>81</v>
      </c>
      <c r="U593" t="s">
        <v>39</v>
      </c>
      <c r="V593" t="s">
        <v>39</v>
      </c>
      <c r="W593" t="s">
        <v>52</v>
      </c>
      <c r="X593">
        <v>2024</v>
      </c>
      <c r="Y593" t="s">
        <v>63</v>
      </c>
      <c r="Z593" t="s">
        <v>64</v>
      </c>
    </row>
    <row r="594" spans="1:26">
      <c r="A594" t="s">
        <v>1410</v>
      </c>
      <c r="B594" t="s">
        <v>108</v>
      </c>
      <c r="C594" t="s">
        <v>102</v>
      </c>
      <c r="D594" t="s">
        <v>77</v>
      </c>
      <c r="E594" t="s">
        <v>220</v>
      </c>
      <c r="F594" t="s">
        <v>31</v>
      </c>
      <c r="G594" t="s">
        <v>58</v>
      </c>
      <c r="H594">
        <v>2.1</v>
      </c>
      <c r="I594">
        <v>11.8</v>
      </c>
      <c r="J594" t="s">
        <v>33</v>
      </c>
      <c r="K594" t="s">
        <v>1411</v>
      </c>
      <c r="L594" t="s">
        <v>35</v>
      </c>
      <c r="M594" t="s">
        <v>917</v>
      </c>
      <c r="N594" t="s">
        <v>71</v>
      </c>
      <c r="O594">
        <v>108</v>
      </c>
      <c r="P594" t="s">
        <v>105</v>
      </c>
      <c r="Q594">
        <v>4016</v>
      </c>
      <c r="R594">
        <v>500</v>
      </c>
      <c r="S594" t="s">
        <v>73</v>
      </c>
      <c r="T594" t="s">
        <v>136</v>
      </c>
      <c r="U594" t="s">
        <v>39</v>
      </c>
      <c r="V594" t="s">
        <v>39</v>
      </c>
      <c r="W594" t="s">
        <v>52</v>
      </c>
      <c r="X594">
        <v>2023</v>
      </c>
      <c r="Y594" t="s">
        <v>40</v>
      </c>
      <c r="Z594" t="s">
        <v>41</v>
      </c>
    </row>
    <row r="595" spans="1:26">
      <c r="A595" t="s">
        <v>1412</v>
      </c>
      <c r="B595" t="s">
        <v>66</v>
      </c>
      <c r="C595" t="s">
        <v>173</v>
      </c>
      <c r="D595" t="s">
        <v>77</v>
      </c>
      <c r="E595" t="s">
        <v>220</v>
      </c>
      <c r="F595" t="s">
        <v>160</v>
      </c>
      <c r="G595" t="s">
        <v>32</v>
      </c>
      <c r="H595">
        <v>1.2</v>
      </c>
      <c r="I595">
        <v>28.2</v>
      </c>
      <c r="J595" t="s">
        <v>96</v>
      </c>
      <c r="K595" t="s">
        <v>452</v>
      </c>
      <c r="L595" t="s">
        <v>60</v>
      </c>
      <c r="M595" t="s">
        <v>1413</v>
      </c>
      <c r="N595" t="s">
        <v>71</v>
      </c>
      <c r="O595">
        <v>166</v>
      </c>
      <c r="P595" t="s">
        <v>112</v>
      </c>
      <c r="Q595">
        <v>3568</v>
      </c>
      <c r="R595">
        <v>500</v>
      </c>
      <c r="S595" t="s">
        <v>73</v>
      </c>
      <c r="T595" t="s">
        <v>62</v>
      </c>
      <c r="U595" t="s">
        <v>39</v>
      </c>
      <c r="V595" t="s">
        <v>52</v>
      </c>
      <c r="W595" t="s">
        <v>39</v>
      </c>
      <c r="X595">
        <v>2023</v>
      </c>
      <c r="Y595" t="s">
        <v>128</v>
      </c>
      <c r="Z595" t="s">
        <v>64</v>
      </c>
    </row>
    <row r="596" spans="1:26">
      <c r="A596" t="s">
        <v>1414</v>
      </c>
      <c r="B596" t="s">
        <v>116</v>
      </c>
      <c r="C596" t="s">
        <v>164</v>
      </c>
      <c r="D596" t="s">
        <v>85</v>
      </c>
      <c r="E596" t="s">
        <v>402</v>
      </c>
      <c r="F596" t="s">
        <v>95</v>
      </c>
      <c r="G596" t="s">
        <v>32</v>
      </c>
      <c r="H596">
        <v>1.3</v>
      </c>
      <c r="I596">
        <v>8.1999999999999993</v>
      </c>
      <c r="J596" t="s">
        <v>96</v>
      </c>
      <c r="K596" t="s">
        <v>1415</v>
      </c>
      <c r="L596" t="s">
        <v>98</v>
      </c>
      <c r="M596" t="s">
        <v>890</v>
      </c>
      <c r="N596" t="s">
        <v>71</v>
      </c>
      <c r="O596">
        <v>127</v>
      </c>
      <c r="P596" t="s">
        <v>112</v>
      </c>
      <c r="Q596">
        <v>2031</v>
      </c>
      <c r="R596">
        <v>1000</v>
      </c>
      <c r="S596" t="s">
        <v>113</v>
      </c>
      <c r="T596" t="s">
        <v>81</v>
      </c>
      <c r="U596" t="s">
        <v>39</v>
      </c>
      <c r="V596" t="s">
        <v>39</v>
      </c>
      <c r="W596" t="s">
        <v>52</v>
      </c>
      <c r="X596">
        <v>2024</v>
      </c>
      <c r="Y596" t="s">
        <v>40</v>
      </c>
      <c r="Z596" t="s">
        <v>41</v>
      </c>
    </row>
    <row r="597" spans="1:26">
      <c r="A597" t="s">
        <v>1416</v>
      </c>
      <c r="B597" t="s">
        <v>93</v>
      </c>
      <c r="C597" t="s">
        <v>44</v>
      </c>
      <c r="D597" t="s">
        <v>29</v>
      </c>
      <c r="E597" t="s">
        <v>30</v>
      </c>
      <c r="F597" t="s">
        <v>160</v>
      </c>
      <c r="G597" t="s">
        <v>58</v>
      </c>
      <c r="H597">
        <v>11.4</v>
      </c>
      <c r="I597">
        <v>3.1</v>
      </c>
      <c r="J597" t="s">
        <v>33</v>
      </c>
      <c r="K597" t="s">
        <v>592</v>
      </c>
      <c r="L597" t="s">
        <v>140</v>
      </c>
      <c r="M597" t="s">
        <v>326</v>
      </c>
      <c r="N597" t="s">
        <v>71</v>
      </c>
      <c r="O597">
        <v>67</v>
      </c>
      <c r="P597" t="s">
        <v>112</v>
      </c>
      <c r="Q597">
        <v>1953</v>
      </c>
      <c r="R597">
        <v>0</v>
      </c>
      <c r="S597" t="s">
        <v>73</v>
      </c>
      <c r="T597" t="s">
        <v>81</v>
      </c>
      <c r="U597" t="s">
        <v>39</v>
      </c>
      <c r="V597" t="s">
        <v>39</v>
      </c>
      <c r="W597" t="s">
        <v>52</v>
      </c>
      <c r="X597">
        <v>2022</v>
      </c>
      <c r="Y597" t="s">
        <v>74</v>
      </c>
      <c r="Z597" t="s">
        <v>54</v>
      </c>
    </row>
    <row r="598" spans="1:26">
      <c r="A598" t="s">
        <v>1417</v>
      </c>
      <c r="B598" t="s">
        <v>93</v>
      </c>
      <c r="C598" t="s">
        <v>121</v>
      </c>
      <c r="D598" t="s">
        <v>77</v>
      </c>
      <c r="E598" t="s">
        <v>143</v>
      </c>
      <c r="F598" t="s">
        <v>124</v>
      </c>
      <c r="G598" t="s">
        <v>58</v>
      </c>
      <c r="H598">
        <v>8</v>
      </c>
      <c r="I598">
        <v>34.200000000000003</v>
      </c>
      <c r="J598" t="s">
        <v>33</v>
      </c>
      <c r="K598" t="s">
        <v>1261</v>
      </c>
      <c r="L598" t="s">
        <v>60</v>
      </c>
      <c r="M598" t="s">
        <v>127</v>
      </c>
      <c r="N598" t="s">
        <v>37</v>
      </c>
      <c r="O598">
        <v>136</v>
      </c>
      <c r="Q598">
        <v>0</v>
      </c>
      <c r="R598">
        <v>1000</v>
      </c>
      <c r="T598" t="s">
        <v>38</v>
      </c>
      <c r="U598" t="s">
        <v>39</v>
      </c>
      <c r="V598" t="s">
        <v>52</v>
      </c>
      <c r="W598" t="s">
        <v>52</v>
      </c>
      <c r="X598">
        <v>2024</v>
      </c>
      <c r="Y598" t="s">
        <v>63</v>
      </c>
      <c r="Z598" t="s">
        <v>64</v>
      </c>
    </row>
    <row r="599" spans="1:26">
      <c r="A599" t="s">
        <v>1418</v>
      </c>
      <c r="B599" t="s">
        <v>108</v>
      </c>
      <c r="C599" t="s">
        <v>102</v>
      </c>
      <c r="D599" t="s">
        <v>77</v>
      </c>
      <c r="E599" t="s">
        <v>143</v>
      </c>
      <c r="F599" t="s">
        <v>149</v>
      </c>
      <c r="G599" t="s">
        <v>58</v>
      </c>
      <c r="H599">
        <v>8.1</v>
      </c>
      <c r="I599">
        <v>16.7</v>
      </c>
      <c r="J599" t="s">
        <v>33</v>
      </c>
      <c r="K599" t="s">
        <v>593</v>
      </c>
      <c r="L599" t="s">
        <v>48</v>
      </c>
      <c r="M599" t="s">
        <v>1419</v>
      </c>
      <c r="N599" t="s">
        <v>71</v>
      </c>
      <c r="O599">
        <v>127</v>
      </c>
      <c r="P599" t="s">
        <v>105</v>
      </c>
      <c r="Q599">
        <v>4740</v>
      </c>
      <c r="R599">
        <v>0</v>
      </c>
      <c r="S599" t="s">
        <v>152</v>
      </c>
      <c r="T599" t="s">
        <v>51</v>
      </c>
      <c r="U599" t="s">
        <v>52</v>
      </c>
      <c r="V599" t="s">
        <v>52</v>
      </c>
      <c r="W599" t="s">
        <v>52</v>
      </c>
      <c r="X599">
        <v>2022</v>
      </c>
      <c r="Y599" t="s">
        <v>153</v>
      </c>
      <c r="Z599" t="s">
        <v>54</v>
      </c>
    </row>
    <row r="600" spans="1:26">
      <c r="A600" t="s">
        <v>1420</v>
      </c>
      <c r="B600" t="s">
        <v>27</v>
      </c>
      <c r="C600" t="s">
        <v>102</v>
      </c>
      <c r="D600" t="s">
        <v>29</v>
      </c>
      <c r="E600" t="s">
        <v>30</v>
      </c>
      <c r="F600" t="s">
        <v>57</v>
      </c>
      <c r="G600" t="s">
        <v>58</v>
      </c>
      <c r="H600">
        <v>4.7</v>
      </c>
      <c r="I600">
        <v>16.100000000000001</v>
      </c>
      <c r="J600" t="s">
        <v>33</v>
      </c>
      <c r="K600" t="s">
        <v>1421</v>
      </c>
      <c r="L600" t="s">
        <v>60</v>
      </c>
      <c r="M600" t="s">
        <v>157</v>
      </c>
      <c r="N600" t="s">
        <v>171</v>
      </c>
      <c r="O600">
        <v>57</v>
      </c>
      <c r="Q600">
        <v>0</v>
      </c>
      <c r="R600">
        <v>0</v>
      </c>
      <c r="T600" t="s">
        <v>136</v>
      </c>
      <c r="U600" t="s">
        <v>39</v>
      </c>
      <c r="V600" t="s">
        <v>52</v>
      </c>
      <c r="W600" t="s">
        <v>52</v>
      </c>
      <c r="X600">
        <v>2022</v>
      </c>
      <c r="Y600" t="s">
        <v>114</v>
      </c>
      <c r="Z600" t="s">
        <v>41</v>
      </c>
    </row>
    <row r="601" spans="1:26">
      <c r="A601" t="s">
        <v>1422</v>
      </c>
      <c r="B601" t="s">
        <v>93</v>
      </c>
      <c r="C601" t="s">
        <v>76</v>
      </c>
      <c r="D601" t="s">
        <v>77</v>
      </c>
      <c r="E601" t="s">
        <v>143</v>
      </c>
      <c r="F601" t="s">
        <v>149</v>
      </c>
      <c r="G601" t="s">
        <v>32</v>
      </c>
      <c r="H601">
        <v>0.3</v>
      </c>
      <c r="I601">
        <v>16.399999999999999</v>
      </c>
      <c r="J601" t="s">
        <v>33</v>
      </c>
      <c r="K601" t="s">
        <v>1048</v>
      </c>
      <c r="L601" t="s">
        <v>60</v>
      </c>
      <c r="M601" t="s">
        <v>464</v>
      </c>
      <c r="N601" t="s">
        <v>71</v>
      </c>
      <c r="O601">
        <v>119</v>
      </c>
      <c r="P601" t="s">
        <v>230</v>
      </c>
      <c r="Q601">
        <v>3902</v>
      </c>
      <c r="R601">
        <v>0</v>
      </c>
      <c r="S601" t="s">
        <v>73</v>
      </c>
      <c r="T601" t="s">
        <v>51</v>
      </c>
      <c r="U601" t="s">
        <v>52</v>
      </c>
      <c r="V601" t="s">
        <v>39</v>
      </c>
      <c r="W601" t="s">
        <v>52</v>
      </c>
      <c r="X601">
        <v>2022</v>
      </c>
      <c r="Y601" t="s">
        <v>91</v>
      </c>
      <c r="Z601" t="s">
        <v>64</v>
      </c>
    </row>
    <row r="602" spans="1:26">
      <c r="A602" t="s">
        <v>1423</v>
      </c>
      <c r="B602" t="s">
        <v>116</v>
      </c>
      <c r="C602" t="s">
        <v>76</v>
      </c>
      <c r="D602" t="s">
        <v>85</v>
      </c>
      <c r="E602" t="s">
        <v>138</v>
      </c>
      <c r="F602" t="s">
        <v>57</v>
      </c>
      <c r="G602" t="s">
        <v>32</v>
      </c>
      <c r="H602">
        <v>0.7</v>
      </c>
      <c r="I602">
        <v>9.9</v>
      </c>
      <c r="J602" t="s">
        <v>33</v>
      </c>
      <c r="K602" t="s">
        <v>515</v>
      </c>
      <c r="L602" t="s">
        <v>60</v>
      </c>
      <c r="M602" t="s">
        <v>720</v>
      </c>
      <c r="N602" t="s">
        <v>171</v>
      </c>
      <c r="O602">
        <v>131</v>
      </c>
      <c r="Q602">
        <v>0</v>
      </c>
      <c r="R602">
        <v>0</v>
      </c>
      <c r="T602" t="s">
        <v>81</v>
      </c>
      <c r="U602" t="s">
        <v>52</v>
      </c>
      <c r="V602" t="s">
        <v>39</v>
      </c>
      <c r="W602" t="s">
        <v>52</v>
      </c>
      <c r="X602">
        <v>2024</v>
      </c>
      <c r="Y602" t="s">
        <v>153</v>
      </c>
      <c r="Z602" t="s">
        <v>54</v>
      </c>
    </row>
    <row r="603" spans="1:26">
      <c r="A603" t="s">
        <v>1424</v>
      </c>
      <c r="B603" t="s">
        <v>43</v>
      </c>
      <c r="C603" t="s">
        <v>28</v>
      </c>
      <c r="D603" t="s">
        <v>29</v>
      </c>
      <c r="E603" t="s">
        <v>244</v>
      </c>
      <c r="F603" t="s">
        <v>124</v>
      </c>
      <c r="G603" t="s">
        <v>58</v>
      </c>
      <c r="H603">
        <v>1.4</v>
      </c>
      <c r="I603">
        <v>2.2000000000000002</v>
      </c>
      <c r="J603" t="s">
        <v>33</v>
      </c>
      <c r="K603" t="s">
        <v>1373</v>
      </c>
      <c r="L603" t="s">
        <v>35</v>
      </c>
      <c r="M603" t="s">
        <v>127</v>
      </c>
      <c r="N603" t="s">
        <v>100</v>
      </c>
      <c r="O603">
        <v>133</v>
      </c>
      <c r="Q603">
        <v>0</v>
      </c>
      <c r="R603">
        <v>0</v>
      </c>
      <c r="T603" t="s">
        <v>62</v>
      </c>
      <c r="U603" t="s">
        <v>39</v>
      </c>
      <c r="V603" t="s">
        <v>39</v>
      </c>
      <c r="W603" t="s">
        <v>39</v>
      </c>
      <c r="X603">
        <v>2024</v>
      </c>
      <c r="Y603" t="s">
        <v>91</v>
      </c>
      <c r="Z603" t="s">
        <v>64</v>
      </c>
    </row>
    <row r="604" spans="1:26">
      <c r="A604" t="s">
        <v>1425</v>
      </c>
      <c r="B604" t="s">
        <v>66</v>
      </c>
      <c r="C604" t="s">
        <v>173</v>
      </c>
      <c r="D604" t="s">
        <v>29</v>
      </c>
      <c r="E604" t="s">
        <v>30</v>
      </c>
      <c r="F604" t="s">
        <v>149</v>
      </c>
      <c r="G604" t="s">
        <v>58</v>
      </c>
      <c r="H604">
        <v>4.8</v>
      </c>
      <c r="I604">
        <v>4</v>
      </c>
      <c r="J604" t="s">
        <v>33</v>
      </c>
      <c r="K604" t="s">
        <v>1426</v>
      </c>
      <c r="L604" t="s">
        <v>48</v>
      </c>
      <c r="M604" t="s">
        <v>595</v>
      </c>
      <c r="N604" t="s">
        <v>100</v>
      </c>
      <c r="O604">
        <v>58</v>
      </c>
      <c r="Q604">
        <v>0</v>
      </c>
      <c r="R604">
        <v>0</v>
      </c>
      <c r="T604" t="s">
        <v>51</v>
      </c>
      <c r="U604" t="s">
        <v>39</v>
      </c>
      <c r="V604" t="s">
        <v>52</v>
      </c>
      <c r="W604" t="s">
        <v>52</v>
      </c>
      <c r="X604">
        <v>2023</v>
      </c>
      <c r="Y604" t="s">
        <v>40</v>
      </c>
      <c r="Z604" t="s">
        <v>41</v>
      </c>
    </row>
    <row r="605" spans="1:26">
      <c r="A605" t="s">
        <v>1427</v>
      </c>
      <c r="B605" t="s">
        <v>43</v>
      </c>
      <c r="C605" t="s">
        <v>67</v>
      </c>
      <c r="D605" t="s">
        <v>77</v>
      </c>
      <c r="E605" t="s">
        <v>143</v>
      </c>
      <c r="F605" t="s">
        <v>95</v>
      </c>
      <c r="G605" t="s">
        <v>58</v>
      </c>
      <c r="H605">
        <v>10.199999999999999</v>
      </c>
      <c r="I605">
        <v>24.2</v>
      </c>
      <c r="J605" t="s">
        <v>33</v>
      </c>
      <c r="K605" t="s">
        <v>835</v>
      </c>
      <c r="L605" t="s">
        <v>60</v>
      </c>
      <c r="M605" t="s">
        <v>733</v>
      </c>
      <c r="N605" t="s">
        <v>50</v>
      </c>
      <c r="O605">
        <v>129</v>
      </c>
      <c r="Q605">
        <v>0</v>
      </c>
      <c r="R605">
        <v>500</v>
      </c>
      <c r="T605" t="s">
        <v>136</v>
      </c>
      <c r="U605" t="s">
        <v>39</v>
      </c>
      <c r="V605" t="s">
        <v>39</v>
      </c>
      <c r="W605" t="s">
        <v>52</v>
      </c>
      <c r="X605">
        <v>2023</v>
      </c>
      <c r="Y605" t="s">
        <v>106</v>
      </c>
      <c r="Z605" t="s">
        <v>83</v>
      </c>
    </row>
    <row r="606" spans="1:26">
      <c r="A606" t="s">
        <v>1428</v>
      </c>
      <c r="B606" t="s">
        <v>116</v>
      </c>
      <c r="C606" t="s">
        <v>67</v>
      </c>
      <c r="D606" t="s">
        <v>85</v>
      </c>
      <c r="E606" t="s">
        <v>402</v>
      </c>
      <c r="F606" t="s">
        <v>149</v>
      </c>
      <c r="G606" t="s">
        <v>58</v>
      </c>
      <c r="H606">
        <v>10.6</v>
      </c>
      <c r="I606">
        <v>6.4</v>
      </c>
      <c r="J606" t="s">
        <v>144</v>
      </c>
      <c r="K606" t="s">
        <v>1429</v>
      </c>
      <c r="L606" t="s">
        <v>48</v>
      </c>
      <c r="M606" t="s">
        <v>1430</v>
      </c>
      <c r="N606" t="s">
        <v>61</v>
      </c>
      <c r="O606">
        <v>46</v>
      </c>
      <c r="Q606">
        <v>0</v>
      </c>
      <c r="R606">
        <v>0</v>
      </c>
      <c r="T606" t="s">
        <v>136</v>
      </c>
      <c r="U606" t="s">
        <v>39</v>
      </c>
      <c r="V606" t="s">
        <v>39</v>
      </c>
      <c r="W606" t="s">
        <v>39</v>
      </c>
      <c r="X606">
        <v>2022</v>
      </c>
      <c r="Y606" t="s">
        <v>82</v>
      </c>
      <c r="Z606" t="s">
        <v>83</v>
      </c>
    </row>
    <row r="607" spans="1:26">
      <c r="A607" t="s">
        <v>1431</v>
      </c>
      <c r="B607" t="s">
        <v>66</v>
      </c>
      <c r="C607" t="s">
        <v>67</v>
      </c>
      <c r="D607" t="s">
        <v>77</v>
      </c>
      <c r="E607" t="s">
        <v>168</v>
      </c>
      <c r="F607" t="s">
        <v>149</v>
      </c>
      <c r="G607" t="s">
        <v>32</v>
      </c>
      <c r="H607">
        <v>1.2</v>
      </c>
      <c r="I607">
        <v>11</v>
      </c>
      <c r="J607" t="s">
        <v>156</v>
      </c>
      <c r="K607" t="s">
        <v>323</v>
      </c>
      <c r="L607" t="s">
        <v>60</v>
      </c>
      <c r="M607" t="s">
        <v>1432</v>
      </c>
      <c r="N607" t="s">
        <v>71</v>
      </c>
      <c r="O607">
        <v>135</v>
      </c>
      <c r="P607" t="s">
        <v>105</v>
      </c>
      <c r="Q607">
        <v>4200</v>
      </c>
      <c r="R607">
        <v>5000</v>
      </c>
      <c r="S607" t="s">
        <v>152</v>
      </c>
      <c r="T607" t="s">
        <v>136</v>
      </c>
      <c r="U607" t="s">
        <v>39</v>
      </c>
      <c r="V607" t="s">
        <v>52</v>
      </c>
      <c r="W607" t="s">
        <v>52</v>
      </c>
      <c r="X607">
        <v>2023</v>
      </c>
      <c r="Y607" t="s">
        <v>74</v>
      </c>
      <c r="Z607" t="s">
        <v>54</v>
      </c>
    </row>
    <row r="608" spans="1:26">
      <c r="A608" t="s">
        <v>1433</v>
      </c>
      <c r="B608" t="s">
        <v>66</v>
      </c>
      <c r="C608" t="s">
        <v>76</v>
      </c>
      <c r="D608" t="s">
        <v>77</v>
      </c>
      <c r="E608" t="s">
        <v>260</v>
      </c>
      <c r="F608" t="s">
        <v>68</v>
      </c>
      <c r="G608" t="s">
        <v>32</v>
      </c>
      <c r="H608">
        <v>3.3</v>
      </c>
      <c r="I608">
        <v>18.399999999999999</v>
      </c>
      <c r="J608" t="s">
        <v>96</v>
      </c>
      <c r="K608" t="s">
        <v>1434</v>
      </c>
      <c r="L608" t="s">
        <v>48</v>
      </c>
      <c r="M608" t="s">
        <v>972</v>
      </c>
      <c r="N608" t="s">
        <v>50</v>
      </c>
      <c r="O608">
        <v>86</v>
      </c>
      <c r="Q608">
        <v>0</v>
      </c>
      <c r="R608">
        <v>0</v>
      </c>
      <c r="T608" t="s">
        <v>81</v>
      </c>
      <c r="U608" t="s">
        <v>39</v>
      </c>
      <c r="V608" t="s">
        <v>52</v>
      </c>
      <c r="W608" t="s">
        <v>39</v>
      </c>
      <c r="X608">
        <v>2023</v>
      </c>
      <c r="Y608" t="s">
        <v>114</v>
      </c>
      <c r="Z608" t="s">
        <v>41</v>
      </c>
    </row>
    <row r="609" spans="1:26">
      <c r="A609" t="s">
        <v>1435</v>
      </c>
      <c r="B609" t="s">
        <v>66</v>
      </c>
      <c r="C609" t="s">
        <v>121</v>
      </c>
      <c r="D609" t="s">
        <v>77</v>
      </c>
      <c r="E609" t="s">
        <v>94</v>
      </c>
      <c r="F609" t="s">
        <v>109</v>
      </c>
      <c r="G609" t="s">
        <v>58</v>
      </c>
      <c r="H609">
        <v>7.7</v>
      </c>
      <c r="I609">
        <v>33.799999999999997</v>
      </c>
      <c r="J609" t="s">
        <v>33</v>
      </c>
      <c r="K609" t="s">
        <v>488</v>
      </c>
      <c r="L609" t="s">
        <v>98</v>
      </c>
      <c r="M609" t="s">
        <v>702</v>
      </c>
      <c r="N609" t="s">
        <v>71</v>
      </c>
      <c r="O609">
        <v>53</v>
      </c>
      <c r="P609" t="s">
        <v>72</v>
      </c>
      <c r="Q609">
        <v>4587</v>
      </c>
      <c r="R609">
        <v>500</v>
      </c>
      <c r="S609" t="s">
        <v>152</v>
      </c>
      <c r="T609" t="s">
        <v>136</v>
      </c>
      <c r="U609" t="s">
        <v>52</v>
      </c>
      <c r="V609" t="s">
        <v>52</v>
      </c>
      <c r="W609" t="s">
        <v>52</v>
      </c>
      <c r="X609">
        <v>2024</v>
      </c>
      <c r="Y609" t="s">
        <v>106</v>
      </c>
      <c r="Z609" t="s">
        <v>83</v>
      </c>
    </row>
    <row r="610" spans="1:26">
      <c r="A610" t="s">
        <v>1436</v>
      </c>
      <c r="B610" t="s">
        <v>108</v>
      </c>
      <c r="C610" t="s">
        <v>67</v>
      </c>
      <c r="D610" t="s">
        <v>77</v>
      </c>
      <c r="E610" t="s">
        <v>220</v>
      </c>
      <c r="F610" t="s">
        <v>160</v>
      </c>
      <c r="G610" t="s">
        <v>58</v>
      </c>
      <c r="H610">
        <v>10</v>
      </c>
      <c r="I610">
        <v>4.7</v>
      </c>
      <c r="J610" t="s">
        <v>33</v>
      </c>
      <c r="K610" t="s">
        <v>1139</v>
      </c>
      <c r="L610" t="s">
        <v>126</v>
      </c>
      <c r="M610" t="s">
        <v>127</v>
      </c>
      <c r="N610" t="s">
        <v>171</v>
      </c>
      <c r="O610">
        <v>180</v>
      </c>
      <c r="Q610">
        <v>0</v>
      </c>
      <c r="R610">
        <v>0</v>
      </c>
      <c r="T610" t="s">
        <v>81</v>
      </c>
      <c r="U610" t="s">
        <v>52</v>
      </c>
      <c r="V610" t="s">
        <v>52</v>
      </c>
      <c r="W610" t="s">
        <v>52</v>
      </c>
      <c r="X610">
        <v>2024</v>
      </c>
      <c r="Y610" t="s">
        <v>63</v>
      </c>
      <c r="Z610" t="s">
        <v>64</v>
      </c>
    </row>
    <row r="611" spans="1:26">
      <c r="A611" t="s">
        <v>1437</v>
      </c>
      <c r="B611" t="s">
        <v>108</v>
      </c>
      <c r="C611" t="s">
        <v>76</v>
      </c>
      <c r="D611" t="s">
        <v>29</v>
      </c>
      <c r="E611" t="s">
        <v>56</v>
      </c>
      <c r="F611" t="s">
        <v>124</v>
      </c>
      <c r="G611" t="s">
        <v>32</v>
      </c>
      <c r="H611">
        <v>0.9</v>
      </c>
      <c r="I611">
        <v>10.7</v>
      </c>
      <c r="J611" t="s">
        <v>96</v>
      </c>
      <c r="K611" t="s">
        <v>1172</v>
      </c>
      <c r="L611" t="s">
        <v>140</v>
      </c>
      <c r="M611" t="s">
        <v>523</v>
      </c>
      <c r="N611" t="s">
        <v>50</v>
      </c>
      <c r="O611">
        <v>78</v>
      </c>
      <c r="Q611">
        <v>0</v>
      </c>
      <c r="R611">
        <v>500</v>
      </c>
      <c r="T611" t="s">
        <v>38</v>
      </c>
      <c r="U611" t="s">
        <v>39</v>
      </c>
      <c r="V611" t="s">
        <v>52</v>
      </c>
      <c r="W611" t="s">
        <v>52</v>
      </c>
      <c r="X611">
        <v>2022</v>
      </c>
      <c r="Y611" t="s">
        <v>128</v>
      </c>
      <c r="Z611" t="s">
        <v>64</v>
      </c>
    </row>
    <row r="612" spans="1:26">
      <c r="A612" t="s">
        <v>1438</v>
      </c>
      <c r="B612" t="s">
        <v>27</v>
      </c>
      <c r="C612" t="s">
        <v>164</v>
      </c>
      <c r="D612" t="s">
        <v>77</v>
      </c>
      <c r="E612" t="s">
        <v>94</v>
      </c>
      <c r="F612" t="s">
        <v>95</v>
      </c>
      <c r="G612" t="s">
        <v>32</v>
      </c>
      <c r="H612">
        <v>1.7</v>
      </c>
      <c r="I612">
        <v>30.8</v>
      </c>
      <c r="J612" t="s">
        <v>33</v>
      </c>
      <c r="K612" t="s">
        <v>1439</v>
      </c>
      <c r="L612" t="s">
        <v>98</v>
      </c>
      <c r="M612" t="s">
        <v>704</v>
      </c>
      <c r="N612" t="s">
        <v>71</v>
      </c>
      <c r="O612">
        <v>170</v>
      </c>
      <c r="P612" t="s">
        <v>89</v>
      </c>
      <c r="Q612">
        <v>3408</v>
      </c>
      <c r="R612">
        <v>0</v>
      </c>
      <c r="S612" t="s">
        <v>90</v>
      </c>
      <c r="T612" t="s">
        <v>62</v>
      </c>
      <c r="U612" t="s">
        <v>39</v>
      </c>
      <c r="V612" t="s">
        <v>52</v>
      </c>
      <c r="W612" t="s">
        <v>52</v>
      </c>
      <c r="X612">
        <v>2023</v>
      </c>
      <c r="Y612" t="s">
        <v>63</v>
      </c>
      <c r="Z612" t="s">
        <v>64</v>
      </c>
    </row>
    <row r="613" spans="1:26">
      <c r="A613" t="s">
        <v>1440</v>
      </c>
      <c r="B613" t="s">
        <v>116</v>
      </c>
      <c r="C613" t="s">
        <v>173</v>
      </c>
      <c r="D613" t="s">
        <v>77</v>
      </c>
      <c r="E613" t="s">
        <v>78</v>
      </c>
      <c r="F613" t="s">
        <v>160</v>
      </c>
      <c r="G613" t="s">
        <v>32</v>
      </c>
      <c r="H613">
        <v>5.0999999999999996</v>
      </c>
      <c r="I613">
        <v>33.9</v>
      </c>
      <c r="J613" t="s">
        <v>33</v>
      </c>
      <c r="K613" t="s">
        <v>1441</v>
      </c>
      <c r="L613" t="s">
        <v>140</v>
      </c>
      <c r="M613" t="s">
        <v>1442</v>
      </c>
      <c r="N613" t="s">
        <v>100</v>
      </c>
      <c r="O613">
        <v>64</v>
      </c>
      <c r="Q613">
        <v>0</v>
      </c>
      <c r="R613">
        <v>0</v>
      </c>
      <c r="T613" t="s">
        <v>136</v>
      </c>
      <c r="U613" t="s">
        <v>39</v>
      </c>
      <c r="V613" t="s">
        <v>52</v>
      </c>
      <c r="W613" t="s">
        <v>52</v>
      </c>
      <c r="X613">
        <v>2023</v>
      </c>
      <c r="Y613" t="s">
        <v>63</v>
      </c>
      <c r="Z613" t="s">
        <v>64</v>
      </c>
    </row>
    <row r="614" spans="1:26">
      <c r="A614" t="s">
        <v>1443</v>
      </c>
      <c r="B614" t="s">
        <v>66</v>
      </c>
      <c r="C614" t="s">
        <v>121</v>
      </c>
      <c r="D614" t="s">
        <v>77</v>
      </c>
      <c r="E614" t="s">
        <v>168</v>
      </c>
      <c r="F614" t="s">
        <v>109</v>
      </c>
      <c r="G614" t="s">
        <v>58</v>
      </c>
      <c r="H614">
        <v>3.7</v>
      </c>
      <c r="I614">
        <v>10.8</v>
      </c>
      <c r="J614" t="s">
        <v>144</v>
      </c>
      <c r="K614" t="s">
        <v>304</v>
      </c>
      <c r="L614" t="s">
        <v>126</v>
      </c>
      <c r="M614" t="s">
        <v>836</v>
      </c>
      <c r="N614" t="s">
        <v>37</v>
      </c>
      <c r="O614">
        <v>107</v>
      </c>
      <c r="Q614">
        <v>0</v>
      </c>
      <c r="R614">
        <v>500</v>
      </c>
      <c r="T614" t="s">
        <v>38</v>
      </c>
      <c r="U614" t="s">
        <v>39</v>
      </c>
      <c r="V614" t="s">
        <v>52</v>
      </c>
      <c r="W614" t="s">
        <v>52</v>
      </c>
      <c r="X614">
        <v>2022</v>
      </c>
      <c r="Y614" t="s">
        <v>91</v>
      </c>
      <c r="Z614" t="s">
        <v>64</v>
      </c>
    </row>
    <row r="615" spans="1:26">
      <c r="A615" t="s">
        <v>1444</v>
      </c>
      <c r="B615" t="s">
        <v>108</v>
      </c>
      <c r="C615" t="s">
        <v>121</v>
      </c>
      <c r="D615" t="s">
        <v>122</v>
      </c>
      <c r="E615" t="s">
        <v>202</v>
      </c>
      <c r="F615" t="s">
        <v>238</v>
      </c>
      <c r="G615" t="s">
        <v>58</v>
      </c>
      <c r="H615">
        <v>5.2</v>
      </c>
      <c r="I615">
        <v>15</v>
      </c>
      <c r="J615" t="s">
        <v>96</v>
      </c>
      <c r="K615" t="s">
        <v>1191</v>
      </c>
      <c r="L615" t="s">
        <v>126</v>
      </c>
      <c r="M615" t="s">
        <v>245</v>
      </c>
      <c r="N615" t="s">
        <v>171</v>
      </c>
      <c r="O615">
        <v>120</v>
      </c>
      <c r="Q615">
        <v>0</v>
      </c>
      <c r="R615">
        <v>0</v>
      </c>
      <c r="T615" t="s">
        <v>38</v>
      </c>
      <c r="U615" t="s">
        <v>39</v>
      </c>
      <c r="V615" t="s">
        <v>52</v>
      </c>
      <c r="W615" t="s">
        <v>52</v>
      </c>
      <c r="X615">
        <v>2024</v>
      </c>
      <c r="Y615" t="s">
        <v>106</v>
      </c>
      <c r="Z615" t="s">
        <v>83</v>
      </c>
    </row>
    <row r="616" spans="1:26">
      <c r="A616" t="s">
        <v>1445</v>
      </c>
      <c r="B616" t="s">
        <v>43</v>
      </c>
      <c r="C616" t="s">
        <v>44</v>
      </c>
      <c r="D616" t="s">
        <v>77</v>
      </c>
      <c r="E616" t="s">
        <v>260</v>
      </c>
      <c r="F616" t="s">
        <v>238</v>
      </c>
      <c r="G616" t="s">
        <v>32</v>
      </c>
      <c r="H616">
        <v>0.7</v>
      </c>
      <c r="I616">
        <v>29.7</v>
      </c>
      <c r="J616" t="s">
        <v>96</v>
      </c>
      <c r="K616" t="s">
        <v>350</v>
      </c>
      <c r="L616" t="s">
        <v>140</v>
      </c>
      <c r="M616" t="s">
        <v>1359</v>
      </c>
      <c r="N616" t="s">
        <v>61</v>
      </c>
      <c r="O616">
        <v>159</v>
      </c>
      <c r="Q616">
        <v>0</v>
      </c>
      <c r="R616">
        <v>0</v>
      </c>
      <c r="T616" t="s">
        <v>136</v>
      </c>
      <c r="U616" t="s">
        <v>39</v>
      </c>
      <c r="V616" t="s">
        <v>39</v>
      </c>
      <c r="W616" t="s">
        <v>39</v>
      </c>
      <c r="X616">
        <v>2022</v>
      </c>
      <c r="Y616" t="s">
        <v>114</v>
      </c>
      <c r="Z616" t="s">
        <v>41</v>
      </c>
    </row>
    <row r="617" spans="1:26">
      <c r="A617" t="s">
        <v>1446</v>
      </c>
      <c r="B617" t="s">
        <v>116</v>
      </c>
      <c r="C617" t="s">
        <v>28</v>
      </c>
      <c r="D617" t="s">
        <v>29</v>
      </c>
      <c r="E617" t="s">
        <v>195</v>
      </c>
      <c r="F617" t="s">
        <v>31</v>
      </c>
      <c r="G617" t="s">
        <v>58</v>
      </c>
      <c r="H617">
        <v>6.8</v>
      </c>
      <c r="I617">
        <v>24.3</v>
      </c>
      <c r="J617" t="s">
        <v>156</v>
      </c>
      <c r="K617" t="s">
        <v>1447</v>
      </c>
      <c r="L617" t="s">
        <v>48</v>
      </c>
      <c r="M617" t="s">
        <v>912</v>
      </c>
      <c r="N617" t="s">
        <v>71</v>
      </c>
      <c r="O617">
        <v>86</v>
      </c>
      <c r="P617" t="s">
        <v>105</v>
      </c>
      <c r="Q617">
        <v>4866</v>
      </c>
      <c r="R617">
        <v>0</v>
      </c>
      <c r="S617" t="s">
        <v>113</v>
      </c>
      <c r="T617" t="s">
        <v>62</v>
      </c>
      <c r="U617" t="s">
        <v>52</v>
      </c>
      <c r="V617" t="s">
        <v>39</v>
      </c>
      <c r="W617" t="s">
        <v>52</v>
      </c>
      <c r="X617">
        <v>2022</v>
      </c>
      <c r="Y617" t="s">
        <v>211</v>
      </c>
      <c r="Z617" t="s">
        <v>41</v>
      </c>
    </row>
    <row r="618" spans="1:26">
      <c r="A618" t="s">
        <v>1448</v>
      </c>
      <c r="B618" t="s">
        <v>27</v>
      </c>
      <c r="C618" t="s">
        <v>28</v>
      </c>
      <c r="D618" t="s">
        <v>77</v>
      </c>
      <c r="E618" t="s">
        <v>168</v>
      </c>
      <c r="F618" t="s">
        <v>109</v>
      </c>
      <c r="G618" t="s">
        <v>58</v>
      </c>
      <c r="H618">
        <v>1.5</v>
      </c>
      <c r="I618">
        <v>0.5</v>
      </c>
      <c r="J618" t="s">
        <v>33</v>
      </c>
      <c r="K618" t="s">
        <v>654</v>
      </c>
      <c r="L618" t="s">
        <v>48</v>
      </c>
      <c r="M618" t="s">
        <v>221</v>
      </c>
      <c r="N618" t="s">
        <v>50</v>
      </c>
      <c r="O618">
        <v>2</v>
      </c>
      <c r="Q618">
        <v>0</v>
      </c>
      <c r="R618">
        <v>0</v>
      </c>
      <c r="T618" t="s">
        <v>38</v>
      </c>
      <c r="U618" t="s">
        <v>52</v>
      </c>
      <c r="V618" t="s">
        <v>39</v>
      </c>
      <c r="W618" t="s">
        <v>52</v>
      </c>
      <c r="X618">
        <v>2023</v>
      </c>
      <c r="Y618" t="s">
        <v>114</v>
      </c>
      <c r="Z618" t="s">
        <v>41</v>
      </c>
    </row>
    <row r="619" spans="1:26">
      <c r="A619" t="s">
        <v>1449</v>
      </c>
      <c r="B619" t="s">
        <v>43</v>
      </c>
      <c r="C619" t="s">
        <v>173</v>
      </c>
      <c r="D619" t="s">
        <v>85</v>
      </c>
      <c r="E619" t="s">
        <v>174</v>
      </c>
      <c r="F619" t="s">
        <v>31</v>
      </c>
      <c r="G619" t="s">
        <v>32</v>
      </c>
      <c r="H619">
        <v>5.9</v>
      </c>
      <c r="I619">
        <v>6.8</v>
      </c>
      <c r="J619" t="s">
        <v>96</v>
      </c>
      <c r="K619" t="s">
        <v>1450</v>
      </c>
      <c r="L619" t="s">
        <v>98</v>
      </c>
      <c r="M619" t="s">
        <v>1060</v>
      </c>
      <c r="N619" t="s">
        <v>100</v>
      </c>
      <c r="O619">
        <v>77</v>
      </c>
      <c r="Q619">
        <v>0</v>
      </c>
      <c r="R619">
        <v>0</v>
      </c>
      <c r="T619" t="s">
        <v>62</v>
      </c>
      <c r="U619" t="s">
        <v>39</v>
      </c>
      <c r="V619" t="s">
        <v>52</v>
      </c>
      <c r="W619" t="s">
        <v>52</v>
      </c>
      <c r="X619">
        <v>2022</v>
      </c>
      <c r="Y619" t="s">
        <v>114</v>
      </c>
      <c r="Z619" t="s">
        <v>41</v>
      </c>
    </row>
    <row r="620" spans="1:26">
      <c r="A620" t="s">
        <v>1451</v>
      </c>
      <c r="B620" t="s">
        <v>43</v>
      </c>
      <c r="C620" t="s">
        <v>121</v>
      </c>
      <c r="D620" t="s">
        <v>77</v>
      </c>
      <c r="E620" t="s">
        <v>216</v>
      </c>
      <c r="F620" t="s">
        <v>149</v>
      </c>
      <c r="G620" t="s">
        <v>32</v>
      </c>
      <c r="H620">
        <v>6.2</v>
      </c>
      <c r="I620">
        <v>24.6</v>
      </c>
      <c r="J620" t="s">
        <v>33</v>
      </c>
      <c r="K620" t="s">
        <v>798</v>
      </c>
      <c r="L620" t="s">
        <v>98</v>
      </c>
      <c r="M620" t="s">
        <v>375</v>
      </c>
      <c r="N620" t="s">
        <v>37</v>
      </c>
      <c r="O620">
        <v>169</v>
      </c>
      <c r="Q620">
        <v>0</v>
      </c>
      <c r="R620">
        <v>0</v>
      </c>
      <c r="T620" t="s">
        <v>38</v>
      </c>
      <c r="U620" t="s">
        <v>52</v>
      </c>
      <c r="V620" t="s">
        <v>52</v>
      </c>
      <c r="W620" t="s">
        <v>52</v>
      </c>
      <c r="X620">
        <v>2022</v>
      </c>
      <c r="Y620" t="s">
        <v>91</v>
      </c>
      <c r="Z620" t="s">
        <v>64</v>
      </c>
    </row>
    <row r="621" spans="1:26">
      <c r="A621" t="s">
        <v>1452</v>
      </c>
      <c r="B621" t="s">
        <v>93</v>
      </c>
      <c r="C621" t="s">
        <v>121</v>
      </c>
      <c r="D621" t="s">
        <v>85</v>
      </c>
      <c r="E621" t="s">
        <v>86</v>
      </c>
      <c r="F621" t="s">
        <v>95</v>
      </c>
      <c r="G621" t="s">
        <v>32</v>
      </c>
      <c r="H621">
        <v>9.8000000000000007</v>
      </c>
      <c r="I621">
        <v>5.6</v>
      </c>
      <c r="J621" t="s">
        <v>33</v>
      </c>
      <c r="K621" t="s">
        <v>1447</v>
      </c>
      <c r="L621" t="s">
        <v>140</v>
      </c>
      <c r="M621" t="s">
        <v>1453</v>
      </c>
      <c r="N621" t="s">
        <v>100</v>
      </c>
      <c r="O621">
        <v>119</v>
      </c>
      <c r="Q621">
        <v>0</v>
      </c>
      <c r="R621">
        <v>0</v>
      </c>
      <c r="T621" t="s">
        <v>51</v>
      </c>
      <c r="U621" t="s">
        <v>39</v>
      </c>
      <c r="V621" t="s">
        <v>52</v>
      </c>
      <c r="W621" t="s">
        <v>52</v>
      </c>
      <c r="X621">
        <v>2022</v>
      </c>
      <c r="Y621" t="s">
        <v>211</v>
      </c>
      <c r="Z621" t="s">
        <v>41</v>
      </c>
    </row>
    <row r="622" spans="1:26">
      <c r="A622" t="s">
        <v>1454</v>
      </c>
      <c r="B622" t="s">
        <v>27</v>
      </c>
      <c r="C622" t="s">
        <v>102</v>
      </c>
      <c r="D622" t="s">
        <v>77</v>
      </c>
      <c r="E622" t="s">
        <v>260</v>
      </c>
      <c r="F622" t="s">
        <v>46</v>
      </c>
      <c r="G622" t="s">
        <v>32</v>
      </c>
      <c r="H622">
        <v>0.2</v>
      </c>
      <c r="I622">
        <v>6</v>
      </c>
      <c r="J622" t="s">
        <v>20</v>
      </c>
      <c r="K622" t="s">
        <v>1455</v>
      </c>
      <c r="L622" t="s">
        <v>35</v>
      </c>
      <c r="M622" t="s">
        <v>1456</v>
      </c>
      <c r="N622" t="s">
        <v>50</v>
      </c>
      <c r="O622">
        <v>120</v>
      </c>
      <c r="Q622">
        <v>0</v>
      </c>
      <c r="R622">
        <v>500</v>
      </c>
      <c r="T622" t="s">
        <v>81</v>
      </c>
      <c r="U622" t="s">
        <v>39</v>
      </c>
      <c r="V622" t="s">
        <v>52</v>
      </c>
      <c r="W622" t="s">
        <v>52</v>
      </c>
      <c r="X622">
        <v>2022</v>
      </c>
      <c r="Y622" t="s">
        <v>91</v>
      </c>
      <c r="Z622" t="s">
        <v>64</v>
      </c>
    </row>
    <row r="623" spans="1:26">
      <c r="A623" t="s">
        <v>1457</v>
      </c>
      <c r="B623" t="s">
        <v>66</v>
      </c>
      <c r="C623" t="s">
        <v>121</v>
      </c>
      <c r="D623" t="s">
        <v>77</v>
      </c>
      <c r="E623" t="s">
        <v>216</v>
      </c>
      <c r="F623" t="s">
        <v>57</v>
      </c>
      <c r="G623" t="s">
        <v>32</v>
      </c>
      <c r="H623">
        <v>11.1</v>
      </c>
      <c r="I623">
        <v>2.9</v>
      </c>
      <c r="J623" t="s">
        <v>20</v>
      </c>
      <c r="K623" t="s">
        <v>403</v>
      </c>
      <c r="L623" t="s">
        <v>98</v>
      </c>
      <c r="M623" t="s">
        <v>239</v>
      </c>
      <c r="N623" t="s">
        <v>61</v>
      </c>
      <c r="O623">
        <v>169</v>
      </c>
      <c r="Q623">
        <v>0</v>
      </c>
      <c r="R623">
        <v>0</v>
      </c>
      <c r="T623" t="s">
        <v>81</v>
      </c>
      <c r="U623" t="s">
        <v>39</v>
      </c>
      <c r="V623" t="s">
        <v>39</v>
      </c>
      <c r="W623" t="s">
        <v>52</v>
      </c>
      <c r="X623">
        <v>2023</v>
      </c>
      <c r="Y623" t="s">
        <v>40</v>
      </c>
      <c r="Z623" t="s">
        <v>41</v>
      </c>
    </row>
    <row r="624" spans="1:26">
      <c r="A624" t="s">
        <v>1458</v>
      </c>
      <c r="B624" t="s">
        <v>66</v>
      </c>
      <c r="C624" t="s">
        <v>28</v>
      </c>
      <c r="D624" t="s">
        <v>77</v>
      </c>
      <c r="E624" t="s">
        <v>260</v>
      </c>
      <c r="F624" t="s">
        <v>149</v>
      </c>
      <c r="G624" t="s">
        <v>32</v>
      </c>
      <c r="H624">
        <v>8.8000000000000007</v>
      </c>
      <c r="I624">
        <v>8.5</v>
      </c>
      <c r="J624" t="s">
        <v>33</v>
      </c>
      <c r="K624" t="s">
        <v>689</v>
      </c>
      <c r="L624" t="s">
        <v>48</v>
      </c>
      <c r="M624" t="s">
        <v>1459</v>
      </c>
      <c r="N624" t="s">
        <v>71</v>
      </c>
      <c r="O624">
        <v>18</v>
      </c>
      <c r="P624" t="s">
        <v>89</v>
      </c>
      <c r="Q624">
        <v>3241</v>
      </c>
      <c r="R624">
        <v>5000</v>
      </c>
      <c r="S624" t="s">
        <v>73</v>
      </c>
      <c r="T624" t="s">
        <v>81</v>
      </c>
      <c r="U624" t="s">
        <v>52</v>
      </c>
      <c r="V624" t="s">
        <v>52</v>
      </c>
      <c r="W624" t="s">
        <v>39</v>
      </c>
      <c r="X624">
        <v>2024</v>
      </c>
      <c r="Y624" t="s">
        <v>74</v>
      </c>
      <c r="Z624" t="s">
        <v>54</v>
      </c>
    </row>
    <row r="625" spans="1:26">
      <c r="A625" t="s">
        <v>1460</v>
      </c>
      <c r="B625" t="s">
        <v>116</v>
      </c>
      <c r="C625" t="s">
        <v>164</v>
      </c>
      <c r="D625" t="s">
        <v>77</v>
      </c>
      <c r="E625" t="s">
        <v>168</v>
      </c>
      <c r="F625" t="s">
        <v>46</v>
      </c>
      <c r="G625" t="s">
        <v>58</v>
      </c>
      <c r="H625">
        <v>4.5999999999999996</v>
      </c>
      <c r="I625">
        <v>22.3</v>
      </c>
      <c r="J625" t="s">
        <v>156</v>
      </c>
      <c r="K625" t="s">
        <v>921</v>
      </c>
      <c r="L625" t="s">
        <v>126</v>
      </c>
      <c r="M625" t="s">
        <v>1022</v>
      </c>
      <c r="N625" t="s">
        <v>71</v>
      </c>
      <c r="O625">
        <v>10</v>
      </c>
      <c r="P625" t="s">
        <v>112</v>
      </c>
      <c r="Q625">
        <v>6617</v>
      </c>
      <c r="R625">
        <v>5000</v>
      </c>
      <c r="S625" t="s">
        <v>113</v>
      </c>
      <c r="T625" t="s">
        <v>62</v>
      </c>
      <c r="U625" t="s">
        <v>39</v>
      </c>
      <c r="V625" t="s">
        <v>39</v>
      </c>
      <c r="W625" t="s">
        <v>52</v>
      </c>
      <c r="X625">
        <v>2022</v>
      </c>
      <c r="Y625" t="s">
        <v>211</v>
      </c>
      <c r="Z625" t="s">
        <v>41</v>
      </c>
    </row>
    <row r="626" spans="1:26">
      <c r="A626" t="s">
        <v>1461</v>
      </c>
      <c r="B626" t="s">
        <v>43</v>
      </c>
      <c r="C626" t="s">
        <v>28</v>
      </c>
      <c r="D626" t="s">
        <v>77</v>
      </c>
      <c r="E626" t="s">
        <v>78</v>
      </c>
      <c r="F626" t="s">
        <v>31</v>
      </c>
      <c r="G626" t="s">
        <v>58</v>
      </c>
      <c r="H626">
        <v>5.3</v>
      </c>
      <c r="I626">
        <v>18.7</v>
      </c>
      <c r="J626" t="s">
        <v>156</v>
      </c>
      <c r="K626" t="s">
        <v>1462</v>
      </c>
      <c r="L626" t="s">
        <v>98</v>
      </c>
      <c r="M626" t="s">
        <v>1164</v>
      </c>
      <c r="N626" t="s">
        <v>37</v>
      </c>
      <c r="O626">
        <v>58</v>
      </c>
      <c r="Q626">
        <v>0</v>
      </c>
      <c r="R626">
        <v>0</v>
      </c>
      <c r="T626" t="s">
        <v>38</v>
      </c>
      <c r="U626" t="s">
        <v>39</v>
      </c>
      <c r="V626" t="s">
        <v>39</v>
      </c>
      <c r="W626" t="s">
        <v>52</v>
      </c>
      <c r="X626">
        <v>2023</v>
      </c>
      <c r="Y626" t="s">
        <v>211</v>
      </c>
      <c r="Z626" t="s">
        <v>41</v>
      </c>
    </row>
    <row r="627" spans="1:26">
      <c r="A627" t="s">
        <v>1463</v>
      </c>
      <c r="B627" t="s">
        <v>66</v>
      </c>
      <c r="C627" t="s">
        <v>121</v>
      </c>
      <c r="D627" t="s">
        <v>77</v>
      </c>
      <c r="E627" t="s">
        <v>260</v>
      </c>
      <c r="F627" t="s">
        <v>124</v>
      </c>
      <c r="G627" t="s">
        <v>58</v>
      </c>
      <c r="H627">
        <v>8.1999999999999993</v>
      </c>
      <c r="I627">
        <v>33.5</v>
      </c>
      <c r="J627" t="s">
        <v>20</v>
      </c>
      <c r="K627" t="s">
        <v>1464</v>
      </c>
      <c r="L627" t="s">
        <v>126</v>
      </c>
      <c r="M627" t="s">
        <v>440</v>
      </c>
      <c r="N627" t="s">
        <v>71</v>
      </c>
      <c r="O627">
        <v>146</v>
      </c>
      <c r="P627" t="s">
        <v>105</v>
      </c>
      <c r="Q627">
        <v>5791</v>
      </c>
      <c r="R627">
        <v>0</v>
      </c>
      <c r="S627" t="s">
        <v>152</v>
      </c>
      <c r="T627" t="s">
        <v>51</v>
      </c>
      <c r="U627" t="s">
        <v>39</v>
      </c>
      <c r="V627" t="s">
        <v>39</v>
      </c>
      <c r="W627" t="s">
        <v>52</v>
      </c>
      <c r="X627">
        <v>2024</v>
      </c>
      <c r="Y627" t="s">
        <v>74</v>
      </c>
      <c r="Z627" t="s">
        <v>54</v>
      </c>
    </row>
    <row r="628" spans="1:26">
      <c r="A628" t="s">
        <v>1465</v>
      </c>
      <c r="B628" t="s">
        <v>108</v>
      </c>
      <c r="C628" t="s">
        <v>102</v>
      </c>
      <c r="D628" t="s">
        <v>85</v>
      </c>
      <c r="E628" t="s">
        <v>86</v>
      </c>
      <c r="F628" t="s">
        <v>238</v>
      </c>
      <c r="G628" t="s">
        <v>32</v>
      </c>
      <c r="H628">
        <v>6.3</v>
      </c>
      <c r="I628">
        <v>4</v>
      </c>
      <c r="J628" t="s">
        <v>33</v>
      </c>
      <c r="K628" t="s">
        <v>1466</v>
      </c>
      <c r="L628" t="s">
        <v>48</v>
      </c>
      <c r="M628" t="s">
        <v>1467</v>
      </c>
      <c r="N628" t="s">
        <v>71</v>
      </c>
      <c r="O628">
        <v>146</v>
      </c>
      <c r="P628" t="s">
        <v>72</v>
      </c>
      <c r="Q628">
        <v>1020</v>
      </c>
      <c r="R628">
        <v>5000</v>
      </c>
      <c r="S628" t="s">
        <v>152</v>
      </c>
      <c r="T628" t="s">
        <v>136</v>
      </c>
      <c r="U628" t="s">
        <v>39</v>
      </c>
      <c r="V628" t="s">
        <v>39</v>
      </c>
      <c r="W628" t="s">
        <v>52</v>
      </c>
      <c r="X628">
        <v>2022</v>
      </c>
      <c r="Y628" t="s">
        <v>53</v>
      </c>
      <c r="Z628" t="s">
        <v>54</v>
      </c>
    </row>
    <row r="629" spans="1:26">
      <c r="A629" t="s">
        <v>1468</v>
      </c>
      <c r="B629" t="s">
        <v>66</v>
      </c>
      <c r="C629" t="s">
        <v>28</v>
      </c>
      <c r="D629" t="s">
        <v>29</v>
      </c>
      <c r="E629" t="s">
        <v>30</v>
      </c>
      <c r="F629" t="s">
        <v>31</v>
      </c>
      <c r="G629" t="s">
        <v>32</v>
      </c>
      <c r="H629">
        <v>4.9000000000000004</v>
      </c>
      <c r="I629">
        <v>2.5</v>
      </c>
      <c r="J629" t="s">
        <v>33</v>
      </c>
      <c r="K629" t="s">
        <v>670</v>
      </c>
      <c r="L629" t="s">
        <v>98</v>
      </c>
      <c r="M629" t="s">
        <v>127</v>
      </c>
      <c r="N629" t="s">
        <v>37</v>
      </c>
      <c r="O629">
        <v>148</v>
      </c>
      <c r="Q629">
        <v>0</v>
      </c>
      <c r="R629">
        <v>500</v>
      </c>
      <c r="T629" t="s">
        <v>38</v>
      </c>
      <c r="U629" t="s">
        <v>39</v>
      </c>
      <c r="V629" t="s">
        <v>52</v>
      </c>
      <c r="W629" t="s">
        <v>52</v>
      </c>
      <c r="X629">
        <v>2024</v>
      </c>
      <c r="Y629" t="s">
        <v>63</v>
      </c>
      <c r="Z629" t="s">
        <v>64</v>
      </c>
    </row>
    <row r="630" spans="1:26">
      <c r="A630" t="s">
        <v>1469</v>
      </c>
      <c r="B630" t="s">
        <v>66</v>
      </c>
      <c r="C630" t="s">
        <v>76</v>
      </c>
      <c r="D630" t="s">
        <v>29</v>
      </c>
      <c r="E630" t="s">
        <v>45</v>
      </c>
      <c r="F630" t="s">
        <v>124</v>
      </c>
      <c r="G630" t="s">
        <v>32</v>
      </c>
      <c r="H630">
        <v>9.8000000000000007</v>
      </c>
      <c r="I630">
        <v>11.9</v>
      </c>
      <c r="J630" t="s">
        <v>33</v>
      </c>
      <c r="K630" t="s">
        <v>1470</v>
      </c>
      <c r="L630" t="s">
        <v>140</v>
      </c>
      <c r="M630" t="s">
        <v>1177</v>
      </c>
      <c r="N630" t="s">
        <v>71</v>
      </c>
      <c r="O630">
        <v>16</v>
      </c>
      <c r="P630" t="s">
        <v>105</v>
      </c>
      <c r="Q630">
        <v>2336</v>
      </c>
      <c r="R630">
        <v>1000</v>
      </c>
      <c r="S630" t="s">
        <v>73</v>
      </c>
      <c r="T630" t="s">
        <v>51</v>
      </c>
      <c r="U630" t="s">
        <v>39</v>
      </c>
      <c r="V630" t="s">
        <v>52</v>
      </c>
      <c r="W630" t="s">
        <v>39</v>
      </c>
      <c r="X630">
        <v>2023</v>
      </c>
      <c r="Y630" t="s">
        <v>128</v>
      </c>
      <c r="Z630" t="s">
        <v>64</v>
      </c>
    </row>
    <row r="631" spans="1:26">
      <c r="A631" t="s">
        <v>1471</v>
      </c>
      <c r="B631" t="s">
        <v>93</v>
      </c>
      <c r="C631" t="s">
        <v>44</v>
      </c>
      <c r="D631" t="s">
        <v>29</v>
      </c>
      <c r="E631" t="s">
        <v>117</v>
      </c>
      <c r="F631" t="s">
        <v>149</v>
      </c>
      <c r="G631" t="s">
        <v>32</v>
      </c>
      <c r="H631">
        <v>6</v>
      </c>
      <c r="I631">
        <v>8.3000000000000007</v>
      </c>
      <c r="J631" t="s">
        <v>96</v>
      </c>
      <c r="K631" t="s">
        <v>1472</v>
      </c>
      <c r="L631" t="s">
        <v>48</v>
      </c>
      <c r="M631" t="s">
        <v>1097</v>
      </c>
      <c r="N631" t="s">
        <v>71</v>
      </c>
      <c r="O631">
        <v>70</v>
      </c>
      <c r="P631" t="s">
        <v>230</v>
      </c>
      <c r="Q631">
        <v>1926</v>
      </c>
      <c r="R631">
        <v>0</v>
      </c>
      <c r="S631" t="s">
        <v>73</v>
      </c>
      <c r="T631" t="s">
        <v>38</v>
      </c>
      <c r="U631" t="s">
        <v>39</v>
      </c>
      <c r="V631" t="s">
        <v>52</v>
      </c>
      <c r="W631" t="s">
        <v>52</v>
      </c>
      <c r="X631">
        <v>2022</v>
      </c>
      <c r="Y631" t="s">
        <v>114</v>
      </c>
      <c r="Z631" t="s">
        <v>41</v>
      </c>
    </row>
    <row r="632" spans="1:26">
      <c r="A632" t="s">
        <v>1473</v>
      </c>
      <c r="B632" t="s">
        <v>108</v>
      </c>
      <c r="C632" t="s">
        <v>164</v>
      </c>
      <c r="D632" t="s">
        <v>77</v>
      </c>
      <c r="E632" t="s">
        <v>78</v>
      </c>
      <c r="F632" t="s">
        <v>95</v>
      </c>
      <c r="G632" t="s">
        <v>32</v>
      </c>
      <c r="H632">
        <v>8.4</v>
      </c>
      <c r="I632">
        <v>15.3</v>
      </c>
      <c r="J632" t="s">
        <v>33</v>
      </c>
      <c r="K632" t="s">
        <v>564</v>
      </c>
      <c r="L632" t="s">
        <v>140</v>
      </c>
      <c r="M632" t="s">
        <v>694</v>
      </c>
      <c r="N632" t="s">
        <v>100</v>
      </c>
      <c r="O632">
        <v>100</v>
      </c>
      <c r="Q632">
        <v>0</v>
      </c>
      <c r="R632">
        <v>0</v>
      </c>
      <c r="T632" t="s">
        <v>51</v>
      </c>
      <c r="U632" t="s">
        <v>39</v>
      </c>
      <c r="V632" t="s">
        <v>39</v>
      </c>
      <c r="W632" t="s">
        <v>52</v>
      </c>
      <c r="X632">
        <v>2022</v>
      </c>
      <c r="Y632" t="s">
        <v>74</v>
      </c>
      <c r="Z632" t="s">
        <v>54</v>
      </c>
    </row>
    <row r="633" spans="1:26">
      <c r="A633" t="s">
        <v>1474</v>
      </c>
      <c r="B633" t="s">
        <v>27</v>
      </c>
      <c r="C633" t="s">
        <v>76</v>
      </c>
      <c r="D633" t="s">
        <v>85</v>
      </c>
      <c r="E633" t="s">
        <v>174</v>
      </c>
      <c r="F633" t="s">
        <v>238</v>
      </c>
      <c r="G633" t="s">
        <v>58</v>
      </c>
      <c r="H633">
        <v>2.8</v>
      </c>
      <c r="I633">
        <v>26.3</v>
      </c>
      <c r="J633" t="s">
        <v>96</v>
      </c>
      <c r="K633" t="s">
        <v>1475</v>
      </c>
      <c r="L633" t="s">
        <v>35</v>
      </c>
      <c r="M633" t="s">
        <v>996</v>
      </c>
      <c r="N633" t="s">
        <v>71</v>
      </c>
      <c r="O633">
        <v>60</v>
      </c>
      <c r="P633" t="s">
        <v>230</v>
      </c>
      <c r="Q633">
        <v>2910</v>
      </c>
      <c r="R633">
        <v>0</v>
      </c>
      <c r="S633" t="s">
        <v>73</v>
      </c>
      <c r="T633" t="s">
        <v>81</v>
      </c>
      <c r="U633" t="s">
        <v>52</v>
      </c>
      <c r="V633" t="s">
        <v>39</v>
      </c>
      <c r="W633" t="s">
        <v>52</v>
      </c>
      <c r="X633">
        <v>2023</v>
      </c>
      <c r="Y633" t="s">
        <v>53</v>
      </c>
      <c r="Z633" t="s">
        <v>54</v>
      </c>
    </row>
    <row r="634" spans="1:26">
      <c r="A634" t="s">
        <v>1476</v>
      </c>
      <c r="B634" t="s">
        <v>66</v>
      </c>
      <c r="C634" t="s">
        <v>28</v>
      </c>
      <c r="D634" t="s">
        <v>77</v>
      </c>
      <c r="E634" t="s">
        <v>260</v>
      </c>
      <c r="F634" t="s">
        <v>95</v>
      </c>
      <c r="G634" t="s">
        <v>58</v>
      </c>
      <c r="H634">
        <v>1.6</v>
      </c>
      <c r="I634">
        <v>14.2</v>
      </c>
      <c r="J634" t="s">
        <v>33</v>
      </c>
      <c r="K634" t="s">
        <v>1477</v>
      </c>
      <c r="L634" t="s">
        <v>140</v>
      </c>
      <c r="M634" t="s">
        <v>1147</v>
      </c>
      <c r="N634" t="s">
        <v>37</v>
      </c>
      <c r="O634">
        <v>155</v>
      </c>
      <c r="Q634">
        <v>0</v>
      </c>
      <c r="R634">
        <v>500</v>
      </c>
      <c r="T634" t="s">
        <v>81</v>
      </c>
      <c r="U634" t="s">
        <v>52</v>
      </c>
      <c r="V634" t="s">
        <v>52</v>
      </c>
      <c r="W634" t="s">
        <v>52</v>
      </c>
      <c r="X634">
        <v>2023</v>
      </c>
      <c r="Y634" t="s">
        <v>63</v>
      </c>
      <c r="Z634" t="s">
        <v>64</v>
      </c>
    </row>
    <row r="635" spans="1:26">
      <c r="A635" t="s">
        <v>1478</v>
      </c>
      <c r="B635" t="s">
        <v>93</v>
      </c>
      <c r="C635" t="s">
        <v>67</v>
      </c>
      <c r="D635" t="s">
        <v>77</v>
      </c>
      <c r="E635" t="s">
        <v>78</v>
      </c>
      <c r="F635" t="s">
        <v>109</v>
      </c>
      <c r="G635" t="s">
        <v>58</v>
      </c>
      <c r="H635">
        <v>10.4</v>
      </c>
      <c r="I635">
        <v>8.9</v>
      </c>
      <c r="J635" t="s">
        <v>33</v>
      </c>
      <c r="K635" t="s">
        <v>1086</v>
      </c>
      <c r="L635" t="s">
        <v>60</v>
      </c>
      <c r="M635" t="s">
        <v>1375</v>
      </c>
      <c r="N635" t="s">
        <v>61</v>
      </c>
      <c r="O635">
        <v>94</v>
      </c>
      <c r="Q635">
        <v>0</v>
      </c>
      <c r="R635">
        <v>0</v>
      </c>
      <c r="T635" t="s">
        <v>136</v>
      </c>
      <c r="U635" t="s">
        <v>52</v>
      </c>
      <c r="V635" t="s">
        <v>52</v>
      </c>
      <c r="W635" t="s">
        <v>39</v>
      </c>
      <c r="X635">
        <v>2023</v>
      </c>
      <c r="Y635" t="s">
        <v>114</v>
      </c>
      <c r="Z635" t="s">
        <v>41</v>
      </c>
    </row>
    <row r="636" spans="1:26">
      <c r="A636" t="s">
        <v>1479</v>
      </c>
      <c r="B636" t="s">
        <v>93</v>
      </c>
      <c r="C636" t="s">
        <v>164</v>
      </c>
      <c r="D636" t="s">
        <v>77</v>
      </c>
      <c r="E636" t="s">
        <v>216</v>
      </c>
      <c r="F636" t="s">
        <v>238</v>
      </c>
      <c r="G636" t="s">
        <v>58</v>
      </c>
      <c r="H636">
        <v>8.9</v>
      </c>
      <c r="I636">
        <v>7.8</v>
      </c>
      <c r="J636" t="s">
        <v>156</v>
      </c>
      <c r="K636" t="s">
        <v>277</v>
      </c>
      <c r="L636" t="s">
        <v>126</v>
      </c>
      <c r="M636" t="s">
        <v>127</v>
      </c>
      <c r="N636" t="s">
        <v>61</v>
      </c>
      <c r="O636">
        <v>60</v>
      </c>
      <c r="Q636">
        <v>0</v>
      </c>
      <c r="R636">
        <v>0</v>
      </c>
      <c r="T636" t="s">
        <v>136</v>
      </c>
      <c r="U636" t="s">
        <v>39</v>
      </c>
      <c r="V636" t="s">
        <v>39</v>
      </c>
      <c r="W636" t="s">
        <v>52</v>
      </c>
      <c r="X636">
        <v>2024</v>
      </c>
      <c r="Y636" t="s">
        <v>63</v>
      </c>
      <c r="Z636" t="s">
        <v>64</v>
      </c>
    </row>
    <row r="637" spans="1:26">
      <c r="A637" t="s">
        <v>1480</v>
      </c>
      <c r="B637" t="s">
        <v>116</v>
      </c>
      <c r="C637" t="s">
        <v>173</v>
      </c>
      <c r="D637" t="s">
        <v>77</v>
      </c>
      <c r="E637" t="s">
        <v>168</v>
      </c>
      <c r="F637" t="s">
        <v>31</v>
      </c>
      <c r="G637" t="s">
        <v>32</v>
      </c>
      <c r="H637">
        <v>3.7</v>
      </c>
      <c r="I637">
        <v>33.799999999999997</v>
      </c>
      <c r="J637" t="s">
        <v>144</v>
      </c>
      <c r="K637" t="s">
        <v>213</v>
      </c>
      <c r="L637" t="s">
        <v>35</v>
      </c>
      <c r="M637" t="s">
        <v>1481</v>
      </c>
      <c r="N637" t="s">
        <v>100</v>
      </c>
      <c r="O637">
        <v>151</v>
      </c>
      <c r="Q637">
        <v>0</v>
      </c>
      <c r="R637">
        <v>0</v>
      </c>
      <c r="T637" t="s">
        <v>136</v>
      </c>
      <c r="U637" t="s">
        <v>52</v>
      </c>
      <c r="V637" t="s">
        <v>52</v>
      </c>
      <c r="W637" t="s">
        <v>39</v>
      </c>
      <c r="X637">
        <v>2023</v>
      </c>
      <c r="Y637" t="s">
        <v>40</v>
      </c>
      <c r="Z637" t="s">
        <v>41</v>
      </c>
    </row>
    <row r="638" spans="1:26">
      <c r="A638" t="s">
        <v>1482</v>
      </c>
      <c r="B638" t="s">
        <v>116</v>
      </c>
      <c r="C638" t="s">
        <v>67</v>
      </c>
      <c r="D638" t="s">
        <v>77</v>
      </c>
      <c r="E638" t="s">
        <v>363</v>
      </c>
      <c r="F638" t="s">
        <v>238</v>
      </c>
      <c r="G638" t="s">
        <v>32</v>
      </c>
      <c r="H638">
        <v>6.4</v>
      </c>
      <c r="I638">
        <v>23.3</v>
      </c>
      <c r="J638" t="s">
        <v>96</v>
      </c>
      <c r="K638" t="s">
        <v>296</v>
      </c>
      <c r="L638" t="s">
        <v>60</v>
      </c>
      <c r="M638" t="s">
        <v>254</v>
      </c>
      <c r="N638" t="s">
        <v>100</v>
      </c>
      <c r="O638">
        <v>48</v>
      </c>
      <c r="Q638">
        <v>0</v>
      </c>
      <c r="R638">
        <v>0</v>
      </c>
      <c r="T638" t="s">
        <v>62</v>
      </c>
      <c r="U638" t="s">
        <v>39</v>
      </c>
      <c r="V638" t="s">
        <v>39</v>
      </c>
      <c r="W638" t="s">
        <v>52</v>
      </c>
      <c r="X638">
        <v>2024</v>
      </c>
      <c r="Y638" t="s">
        <v>82</v>
      </c>
      <c r="Z638" t="s">
        <v>83</v>
      </c>
    </row>
    <row r="639" spans="1:26">
      <c r="A639" t="s">
        <v>1483</v>
      </c>
      <c r="B639" t="s">
        <v>93</v>
      </c>
      <c r="C639" t="s">
        <v>121</v>
      </c>
      <c r="D639" t="s">
        <v>77</v>
      </c>
      <c r="E639" t="s">
        <v>94</v>
      </c>
      <c r="F639" t="s">
        <v>57</v>
      </c>
      <c r="G639" t="s">
        <v>32</v>
      </c>
      <c r="H639">
        <v>11.4</v>
      </c>
      <c r="I639">
        <v>32.700000000000003</v>
      </c>
      <c r="J639" t="s">
        <v>33</v>
      </c>
      <c r="K639" t="s">
        <v>1248</v>
      </c>
      <c r="L639" t="s">
        <v>126</v>
      </c>
      <c r="M639" t="s">
        <v>1484</v>
      </c>
      <c r="N639" t="s">
        <v>71</v>
      </c>
      <c r="O639">
        <v>15</v>
      </c>
      <c r="P639" t="s">
        <v>112</v>
      </c>
      <c r="Q639">
        <v>7532</v>
      </c>
      <c r="R639">
        <v>500</v>
      </c>
      <c r="S639" t="s">
        <v>113</v>
      </c>
      <c r="T639" t="s">
        <v>81</v>
      </c>
      <c r="U639" t="s">
        <v>39</v>
      </c>
      <c r="V639" t="s">
        <v>52</v>
      </c>
      <c r="W639" t="s">
        <v>52</v>
      </c>
      <c r="X639">
        <v>2024</v>
      </c>
      <c r="Y639" t="s">
        <v>53</v>
      </c>
      <c r="Z639" t="s">
        <v>54</v>
      </c>
    </row>
    <row r="640" spans="1:26">
      <c r="A640" t="s">
        <v>1485</v>
      </c>
      <c r="B640" t="s">
        <v>93</v>
      </c>
      <c r="C640" t="s">
        <v>173</v>
      </c>
      <c r="D640" t="s">
        <v>29</v>
      </c>
      <c r="E640" t="s">
        <v>45</v>
      </c>
      <c r="F640" t="s">
        <v>31</v>
      </c>
      <c r="G640" t="s">
        <v>58</v>
      </c>
      <c r="H640">
        <v>0.6</v>
      </c>
      <c r="I640">
        <v>10</v>
      </c>
      <c r="J640" t="s">
        <v>33</v>
      </c>
      <c r="K640" t="s">
        <v>1486</v>
      </c>
      <c r="L640" t="s">
        <v>60</v>
      </c>
      <c r="M640" t="s">
        <v>1487</v>
      </c>
      <c r="N640" t="s">
        <v>100</v>
      </c>
      <c r="O640">
        <v>87</v>
      </c>
      <c r="Q640">
        <v>0</v>
      </c>
      <c r="R640">
        <v>0</v>
      </c>
      <c r="T640" t="s">
        <v>62</v>
      </c>
      <c r="U640" t="s">
        <v>39</v>
      </c>
      <c r="V640" t="s">
        <v>52</v>
      </c>
      <c r="W640" t="s">
        <v>52</v>
      </c>
      <c r="X640">
        <v>2023</v>
      </c>
      <c r="Y640" t="s">
        <v>211</v>
      </c>
      <c r="Z640" t="s">
        <v>41</v>
      </c>
    </row>
    <row r="641" spans="1:26">
      <c r="A641" t="s">
        <v>1488</v>
      </c>
      <c r="B641" t="s">
        <v>27</v>
      </c>
      <c r="C641" t="s">
        <v>102</v>
      </c>
      <c r="D641" t="s">
        <v>77</v>
      </c>
      <c r="E641" t="s">
        <v>78</v>
      </c>
      <c r="F641" t="s">
        <v>57</v>
      </c>
      <c r="G641" t="s">
        <v>58</v>
      </c>
      <c r="H641">
        <v>11.6</v>
      </c>
      <c r="I641">
        <v>17.100000000000001</v>
      </c>
      <c r="J641" t="s">
        <v>20</v>
      </c>
      <c r="K641" t="s">
        <v>1489</v>
      </c>
      <c r="L641" t="s">
        <v>35</v>
      </c>
      <c r="M641" t="s">
        <v>898</v>
      </c>
      <c r="N641" t="s">
        <v>71</v>
      </c>
      <c r="O641">
        <v>113</v>
      </c>
      <c r="P641" t="s">
        <v>72</v>
      </c>
      <c r="Q641">
        <v>6821</v>
      </c>
      <c r="R641">
        <v>0</v>
      </c>
      <c r="S641" t="s">
        <v>152</v>
      </c>
      <c r="T641" t="s">
        <v>38</v>
      </c>
      <c r="U641" t="s">
        <v>52</v>
      </c>
      <c r="V641" t="s">
        <v>39</v>
      </c>
      <c r="W641" t="s">
        <v>52</v>
      </c>
      <c r="X641">
        <v>2022</v>
      </c>
      <c r="Y641" t="s">
        <v>82</v>
      </c>
      <c r="Z641" t="s">
        <v>83</v>
      </c>
    </row>
    <row r="642" spans="1:26">
      <c r="A642" t="s">
        <v>1490</v>
      </c>
      <c r="B642" t="s">
        <v>116</v>
      </c>
      <c r="C642" t="s">
        <v>102</v>
      </c>
      <c r="D642" t="s">
        <v>29</v>
      </c>
      <c r="E642" t="s">
        <v>56</v>
      </c>
      <c r="F642" t="s">
        <v>95</v>
      </c>
      <c r="G642" t="s">
        <v>58</v>
      </c>
      <c r="H642">
        <v>1.8</v>
      </c>
      <c r="I642">
        <v>21.8</v>
      </c>
      <c r="J642" t="s">
        <v>33</v>
      </c>
      <c r="K642" t="s">
        <v>720</v>
      </c>
      <c r="L642" t="s">
        <v>98</v>
      </c>
      <c r="M642" t="s">
        <v>1491</v>
      </c>
      <c r="N642" t="s">
        <v>37</v>
      </c>
      <c r="O642">
        <v>33</v>
      </c>
      <c r="Q642">
        <v>0</v>
      </c>
      <c r="R642">
        <v>0</v>
      </c>
      <c r="T642" t="s">
        <v>62</v>
      </c>
      <c r="U642" t="s">
        <v>52</v>
      </c>
      <c r="V642" t="s">
        <v>52</v>
      </c>
      <c r="W642" t="s">
        <v>52</v>
      </c>
      <c r="X642">
        <v>2024</v>
      </c>
      <c r="Y642" t="s">
        <v>91</v>
      </c>
      <c r="Z642" t="s">
        <v>64</v>
      </c>
    </row>
    <row r="643" spans="1:26">
      <c r="A643" t="s">
        <v>1492</v>
      </c>
      <c r="B643" t="s">
        <v>93</v>
      </c>
      <c r="C643" t="s">
        <v>76</v>
      </c>
      <c r="D643" t="s">
        <v>77</v>
      </c>
      <c r="E643" t="s">
        <v>363</v>
      </c>
      <c r="F643" t="s">
        <v>31</v>
      </c>
      <c r="G643" t="s">
        <v>58</v>
      </c>
      <c r="H643">
        <v>0.3</v>
      </c>
      <c r="I643">
        <v>29.7</v>
      </c>
      <c r="J643" t="s">
        <v>33</v>
      </c>
      <c r="K643" t="s">
        <v>1297</v>
      </c>
      <c r="L643" t="s">
        <v>35</v>
      </c>
      <c r="M643" t="s">
        <v>1493</v>
      </c>
      <c r="N643" t="s">
        <v>61</v>
      </c>
      <c r="O643">
        <v>67</v>
      </c>
      <c r="Q643">
        <v>0</v>
      </c>
      <c r="R643">
        <v>0</v>
      </c>
      <c r="T643" t="s">
        <v>38</v>
      </c>
      <c r="U643" t="s">
        <v>52</v>
      </c>
      <c r="V643" t="s">
        <v>39</v>
      </c>
      <c r="W643" t="s">
        <v>39</v>
      </c>
      <c r="X643">
        <v>2022</v>
      </c>
      <c r="Y643" t="s">
        <v>53</v>
      </c>
      <c r="Z643" t="s">
        <v>54</v>
      </c>
    </row>
    <row r="644" spans="1:26">
      <c r="A644" t="s">
        <v>1494</v>
      </c>
      <c r="B644" t="s">
        <v>116</v>
      </c>
      <c r="C644" t="s">
        <v>44</v>
      </c>
      <c r="D644" t="s">
        <v>77</v>
      </c>
      <c r="E644" t="s">
        <v>363</v>
      </c>
      <c r="F644" t="s">
        <v>160</v>
      </c>
      <c r="G644" t="s">
        <v>58</v>
      </c>
      <c r="H644">
        <v>10</v>
      </c>
      <c r="I644">
        <v>24</v>
      </c>
      <c r="J644" t="s">
        <v>33</v>
      </c>
      <c r="K644" t="s">
        <v>1495</v>
      </c>
      <c r="L644" t="s">
        <v>60</v>
      </c>
      <c r="M644" t="s">
        <v>308</v>
      </c>
      <c r="N644" t="s">
        <v>171</v>
      </c>
      <c r="O644">
        <v>147</v>
      </c>
      <c r="Q644">
        <v>0</v>
      </c>
      <c r="R644">
        <v>0</v>
      </c>
      <c r="T644" t="s">
        <v>62</v>
      </c>
      <c r="U644" t="s">
        <v>39</v>
      </c>
      <c r="V644" t="s">
        <v>52</v>
      </c>
      <c r="W644" t="s">
        <v>52</v>
      </c>
      <c r="X644">
        <v>2023</v>
      </c>
      <c r="Y644" t="s">
        <v>91</v>
      </c>
      <c r="Z644" t="s">
        <v>64</v>
      </c>
    </row>
    <row r="645" spans="1:26">
      <c r="A645" t="s">
        <v>1496</v>
      </c>
      <c r="B645" t="s">
        <v>27</v>
      </c>
      <c r="C645" t="s">
        <v>76</v>
      </c>
      <c r="D645" t="s">
        <v>122</v>
      </c>
      <c r="E645" t="s">
        <v>130</v>
      </c>
      <c r="F645" t="s">
        <v>95</v>
      </c>
      <c r="G645" t="s">
        <v>58</v>
      </c>
      <c r="H645">
        <v>0.6</v>
      </c>
      <c r="I645">
        <v>32.6</v>
      </c>
      <c r="J645" t="s">
        <v>96</v>
      </c>
      <c r="K645" t="s">
        <v>1432</v>
      </c>
      <c r="L645" t="s">
        <v>60</v>
      </c>
      <c r="M645" t="s">
        <v>274</v>
      </c>
      <c r="N645" t="s">
        <v>71</v>
      </c>
      <c r="O645">
        <v>160</v>
      </c>
      <c r="P645" t="s">
        <v>105</v>
      </c>
      <c r="Q645">
        <v>1156</v>
      </c>
      <c r="R645">
        <v>0</v>
      </c>
      <c r="S645" t="s">
        <v>152</v>
      </c>
      <c r="T645" t="s">
        <v>81</v>
      </c>
      <c r="U645" t="s">
        <v>52</v>
      </c>
      <c r="V645" t="s">
        <v>52</v>
      </c>
      <c r="W645" t="s">
        <v>39</v>
      </c>
      <c r="X645">
        <v>2023</v>
      </c>
      <c r="Y645" t="s">
        <v>211</v>
      </c>
      <c r="Z645" t="s">
        <v>41</v>
      </c>
    </row>
    <row r="646" spans="1:26">
      <c r="A646" t="s">
        <v>1497</v>
      </c>
      <c r="B646" t="s">
        <v>27</v>
      </c>
      <c r="C646" t="s">
        <v>76</v>
      </c>
      <c r="D646" t="s">
        <v>77</v>
      </c>
      <c r="E646" t="s">
        <v>94</v>
      </c>
      <c r="F646" t="s">
        <v>31</v>
      </c>
      <c r="G646" t="s">
        <v>32</v>
      </c>
      <c r="H646">
        <v>6.5</v>
      </c>
      <c r="I646">
        <v>4.7</v>
      </c>
      <c r="J646" t="s">
        <v>156</v>
      </c>
      <c r="K646" t="s">
        <v>1498</v>
      </c>
      <c r="L646" t="s">
        <v>140</v>
      </c>
      <c r="M646" t="s">
        <v>1499</v>
      </c>
      <c r="N646" t="s">
        <v>37</v>
      </c>
      <c r="O646">
        <v>20</v>
      </c>
      <c r="Q646">
        <v>0</v>
      </c>
      <c r="R646">
        <v>1000</v>
      </c>
      <c r="T646" t="s">
        <v>62</v>
      </c>
      <c r="U646" t="s">
        <v>52</v>
      </c>
      <c r="V646" t="s">
        <v>52</v>
      </c>
      <c r="W646" t="s">
        <v>52</v>
      </c>
      <c r="X646">
        <v>2022</v>
      </c>
      <c r="Y646" t="s">
        <v>153</v>
      </c>
      <c r="Z646" t="s">
        <v>54</v>
      </c>
    </row>
    <row r="647" spans="1:26">
      <c r="A647" t="s">
        <v>1500</v>
      </c>
      <c r="B647" t="s">
        <v>116</v>
      </c>
      <c r="C647" t="s">
        <v>102</v>
      </c>
      <c r="D647" t="s">
        <v>77</v>
      </c>
      <c r="E647" t="s">
        <v>168</v>
      </c>
      <c r="F647" t="s">
        <v>149</v>
      </c>
      <c r="G647" t="s">
        <v>32</v>
      </c>
      <c r="H647">
        <v>2.8</v>
      </c>
      <c r="I647">
        <v>11.4</v>
      </c>
      <c r="J647" t="s">
        <v>33</v>
      </c>
      <c r="K647" t="s">
        <v>365</v>
      </c>
      <c r="L647" t="s">
        <v>35</v>
      </c>
      <c r="M647" t="s">
        <v>448</v>
      </c>
      <c r="N647" t="s">
        <v>37</v>
      </c>
      <c r="O647">
        <v>85</v>
      </c>
      <c r="Q647">
        <v>0</v>
      </c>
      <c r="R647">
        <v>500</v>
      </c>
      <c r="T647" t="s">
        <v>51</v>
      </c>
      <c r="U647" t="s">
        <v>39</v>
      </c>
      <c r="V647" t="s">
        <v>52</v>
      </c>
      <c r="W647" t="s">
        <v>52</v>
      </c>
      <c r="X647">
        <v>2023</v>
      </c>
      <c r="Y647" t="s">
        <v>53</v>
      </c>
      <c r="Z647" t="s">
        <v>54</v>
      </c>
    </row>
    <row r="648" spans="1:26">
      <c r="A648" t="s">
        <v>1501</v>
      </c>
      <c r="B648" t="s">
        <v>108</v>
      </c>
      <c r="C648" t="s">
        <v>164</v>
      </c>
      <c r="D648" t="s">
        <v>77</v>
      </c>
      <c r="E648" t="s">
        <v>363</v>
      </c>
      <c r="F648" t="s">
        <v>31</v>
      </c>
      <c r="G648" t="s">
        <v>32</v>
      </c>
      <c r="H648">
        <v>11.1</v>
      </c>
      <c r="I648">
        <v>9</v>
      </c>
      <c r="J648" t="s">
        <v>96</v>
      </c>
      <c r="K648" t="s">
        <v>528</v>
      </c>
      <c r="L648" t="s">
        <v>60</v>
      </c>
      <c r="M648" t="s">
        <v>1502</v>
      </c>
      <c r="N648" t="s">
        <v>37</v>
      </c>
      <c r="O648">
        <v>108</v>
      </c>
      <c r="Q648">
        <v>0</v>
      </c>
      <c r="R648">
        <v>0</v>
      </c>
      <c r="T648" t="s">
        <v>51</v>
      </c>
      <c r="U648" t="s">
        <v>39</v>
      </c>
      <c r="V648" t="s">
        <v>39</v>
      </c>
      <c r="W648" t="s">
        <v>39</v>
      </c>
      <c r="X648">
        <v>2024</v>
      </c>
      <c r="Y648" t="s">
        <v>40</v>
      </c>
      <c r="Z648" t="s">
        <v>41</v>
      </c>
    </row>
    <row r="649" spans="1:26">
      <c r="A649" t="s">
        <v>1503</v>
      </c>
      <c r="B649" t="s">
        <v>116</v>
      </c>
      <c r="C649" t="s">
        <v>164</v>
      </c>
      <c r="D649" t="s">
        <v>85</v>
      </c>
      <c r="E649" t="s">
        <v>86</v>
      </c>
      <c r="F649" t="s">
        <v>95</v>
      </c>
      <c r="G649" t="s">
        <v>32</v>
      </c>
      <c r="H649">
        <v>10.8</v>
      </c>
      <c r="I649">
        <v>30.7</v>
      </c>
      <c r="J649" t="s">
        <v>33</v>
      </c>
      <c r="K649" t="s">
        <v>778</v>
      </c>
      <c r="L649" t="s">
        <v>140</v>
      </c>
      <c r="M649" t="s">
        <v>383</v>
      </c>
      <c r="N649" t="s">
        <v>50</v>
      </c>
      <c r="O649">
        <v>38</v>
      </c>
      <c r="Q649">
        <v>0</v>
      </c>
      <c r="R649">
        <v>0</v>
      </c>
      <c r="T649" t="s">
        <v>136</v>
      </c>
      <c r="U649" t="s">
        <v>39</v>
      </c>
      <c r="V649" t="s">
        <v>39</v>
      </c>
      <c r="W649" t="s">
        <v>39</v>
      </c>
      <c r="X649">
        <v>2024</v>
      </c>
      <c r="Y649" t="s">
        <v>91</v>
      </c>
      <c r="Z649" t="s">
        <v>64</v>
      </c>
    </row>
    <row r="650" spans="1:26">
      <c r="A650" t="s">
        <v>1504</v>
      </c>
      <c r="B650" t="s">
        <v>108</v>
      </c>
      <c r="C650" t="s">
        <v>67</v>
      </c>
      <c r="D650" t="s">
        <v>85</v>
      </c>
      <c r="E650" t="s">
        <v>174</v>
      </c>
      <c r="F650" t="s">
        <v>68</v>
      </c>
      <c r="G650" t="s">
        <v>32</v>
      </c>
      <c r="H650">
        <v>6.4</v>
      </c>
      <c r="I650">
        <v>13.9</v>
      </c>
      <c r="J650" t="s">
        <v>156</v>
      </c>
      <c r="K650" t="s">
        <v>1505</v>
      </c>
      <c r="L650" t="s">
        <v>140</v>
      </c>
      <c r="M650" t="s">
        <v>88</v>
      </c>
      <c r="N650" t="s">
        <v>71</v>
      </c>
      <c r="O650">
        <v>19</v>
      </c>
      <c r="P650" t="s">
        <v>89</v>
      </c>
      <c r="Q650">
        <v>2609</v>
      </c>
      <c r="R650">
        <v>5000</v>
      </c>
      <c r="S650" t="s">
        <v>152</v>
      </c>
      <c r="T650" t="s">
        <v>38</v>
      </c>
      <c r="U650" t="s">
        <v>39</v>
      </c>
      <c r="V650" t="s">
        <v>52</v>
      </c>
      <c r="W650" t="s">
        <v>39</v>
      </c>
      <c r="X650">
        <v>2022</v>
      </c>
      <c r="Y650" t="s">
        <v>63</v>
      </c>
      <c r="Z650" t="s">
        <v>64</v>
      </c>
    </row>
    <row r="651" spans="1:26">
      <c r="A651" t="s">
        <v>1506</v>
      </c>
      <c r="B651" t="s">
        <v>108</v>
      </c>
      <c r="C651" t="s">
        <v>173</v>
      </c>
      <c r="D651" t="s">
        <v>77</v>
      </c>
      <c r="E651" t="s">
        <v>143</v>
      </c>
      <c r="F651" t="s">
        <v>149</v>
      </c>
      <c r="G651" t="s">
        <v>58</v>
      </c>
      <c r="H651">
        <v>7.6</v>
      </c>
      <c r="I651">
        <v>26.1</v>
      </c>
      <c r="J651" t="s">
        <v>156</v>
      </c>
      <c r="K651" t="s">
        <v>1441</v>
      </c>
      <c r="L651" t="s">
        <v>48</v>
      </c>
      <c r="M651" t="s">
        <v>131</v>
      </c>
      <c r="N651" t="s">
        <v>100</v>
      </c>
      <c r="O651">
        <v>115</v>
      </c>
      <c r="Q651">
        <v>0</v>
      </c>
      <c r="R651">
        <v>0</v>
      </c>
      <c r="T651" t="s">
        <v>62</v>
      </c>
      <c r="U651" t="s">
        <v>39</v>
      </c>
      <c r="V651" t="s">
        <v>39</v>
      </c>
      <c r="W651" t="s">
        <v>39</v>
      </c>
      <c r="X651">
        <v>2023</v>
      </c>
      <c r="Y651" t="s">
        <v>63</v>
      </c>
      <c r="Z651" t="s">
        <v>64</v>
      </c>
    </row>
    <row r="652" spans="1:26">
      <c r="A652" t="s">
        <v>1507</v>
      </c>
      <c r="B652" t="s">
        <v>27</v>
      </c>
      <c r="C652" t="s">
        <v>173</v>
      </c>
      <c r="D652" t="s">
        <v>77</v>
      </c>
      <c r="E652" t="s">
        <v>260</v>
      </c>
      <c r="F652" t="s">
        <v>95</v>
      </c>
      <c r="G652" t="s">
        <v>58</v>
      </c>
      <c r="H652">
        <v>5.3</v>
      </c>
      <c r="I652">
        <v>18</v>
      </c>
      <c r="J652" t="s">
        <v>33</v>
      </c>
      <c r="K652" t="s">
        <v>502</v>
      </c>
      <c r="L652" t="s">
        <v>126</v>
      </c>
      <c r="M652" t="s">
        <v>580</v>
      </c>
      <c r="N652" t="s">
        <v>171</v>
      </c>
      <c r="O652">
        <v>98</v>
      </c>
      <c r="Q652">
        <v>0</v>
      </c>
      <c r="R652">
        <v>0</v>
      </c>
      <c r="T652" t="s">
        <v>51</v>
      </c>
      <c r="U652" t="s">
        <v>39</v>
      </c>
      <c r="V652" t="s">
        <v>52</v>
      </c>
      <c r="W652" t="s">
        <v>52</v>
      </c>
      <c r="X652">
        <v>2024</v>
      </c>
      <c r="Y652" t="s">
        <v>40</v>
      </c>
      <c r="Z652" t="s">
        <v>41</v>
      </c>
    </row>
    <row r="653" spans="1:26">
      <c r="A653" t="s">
        <v>1508</v>
      </c>
      <c r="B653" t="s">
        <v>66</v>
      </c>
      <c r="C653" t="s">
        <v>102</v>
      </c>
      <c r="D653" t="s">
        <v>29</v>
      </c>
      <c r="E653" t="s">
        <v>56</v>
      </c>
      <c r="F653" t="s">
        <v>57</v>
      </c>
      <c r="G653" t="s">
        <v>32</v>
      </c>
      <c r="H653">
        <v>9.8000000000000007</v>
      </c>
      <c r="I653">
        <v>25.8</v>
      </c>
      <c r="J653" t="s">
        <v>20</v>
      </c>
      <c r="K653" t="s">
        <v>222</v>
      </c>
      <c r="L653" t="s">
        <v>140</v>
      </c>
      <c r="M653" t="s">
        <v>489</v>
      </c>
      <c r="N653" t="s">
        <v>71</v>
      </c>
      <c r="O653">
        <v>82</v>
      </c>
      <c r="P653" t="s">
        <v>72</v>
      </c>
      <c r="Q653">
        <v>2086</v>
      </c>
      <c r="R653">
        <v>0</v>
      </c>
      <c r="S653" t="s">
        <v>73</v>
      </c>
      <c r="T653" t="s">
        <v>51</v>
      </c>
      <c r="U653" t="s">
        <v>39</v>
      </c>
      <c r="V653" t="s">
        <v>39</v>
      </c>
      <c r="W653" t="s">
        <v>39</v>
      </c>
      <c r="X653">
        <v>2024</v>
      </c>
      <c r="Y653" t="s">
        <v>82</v>
      </c>
      <c r="Z653" t="s">
        <v>83</v>
      </c>
    </row>
    <row r="654" spans="1:26">
      <c r="A654" t="s">
        <v>1509</v>
      </c>
      <c r="B654" t="s">
        <v>27</v>
      </c>
      <c r="C654" t="s">
        <v>28</v>
      </c>
      <c r="D654" t="s">
        <v>29</v>
      </c>
      <c r="E654" t="s">
        <v>56</v>
      </c>
      <c r="F654" t="s">
        <v>124</v>
      </c>
      <c r="G654" t="s">
        <v>32</v>
      </c>
      <c r="H654">
        <v>3.5</v>
      </c>
      <c r="I654">
        <v>32.200000000000003</v>
      </c>
      <c r="J654" t="s">
        <v>33</v>
      </c>
      <c r="K654" t="s">
        <v>139</v>
      </c>
      <c r="L654" t="s">
        <v>35</v>
      </c>
      <c r="M654" t="s">
        <v>127</v>
      </c>
      <c r="N654" t="s">
        <v>37</v>
      </c>
      <c r="O654">
        <v>113</v>
      </c>
      <c r="Q654">
        <v>0</v>
      </c>
      <c r="R654">
        <v>0</v>
      </c>
      <c r="T654" t="s">
        <v>81</v>
      </c>
      <c r="U654" t="s">
        <v>39</v>
      </c>
      <c r="V654" t="s">
        <v>39</v>
      </c>
      <c r="W654" t="s">
        <v>39</v>
      </c>
      <c r="X654">
        <v>2024</v>
      </c>
      <c r="Y654" t="s">
        <v>114</v>
      </c>
      <c r="Z654" t="s">
        <v>41</v>
      </c>
    </row>
    <row r="655" spans="1:26">
      <c r="A655" t="s">
        <v>1510</v>
      </c>
      <c r="B655" t="s">
        <v>27</v>
      </c>
      <c r="C655" t="s">
        <v>44</v>
      </c>
      <c r="D655" t="s">
        <v>29</v>
      </c>
      <c r="E655" t="s">
        <v>244</v>
      </c>
      <c r="F655" t="s">
        <v>149</v>
      </c>
      <c r="G655" t="s">
        <v>58</v>
      </c>
      <c r="H655">
        <v>4.5</v>
      </c>
      <c r="I655">
        <v>10.199999999999999</v>
      </c>
      <c r="J655" t="s">
        <v>96</v>
      </c>
      <c r="K655" t="s">
        <v>1368</v>
      </c>
      <c r="L655" t="s">
        <v>126</v>
      </c>
      <c r="M655" t="s">
        <v>861</v>
      </c>
      <c r="N655" t="s">
        <v>50</v>
      </c>
      <c r="O655">
        <v>2</v>
      </c>
      <c r="Q655">
        <v>0</v>
      </c>
      <c r="R655">
        <v>0</v>
      </c>
      <c r="T655" t="s">
        <v>51</v>
      </c>
      <c r="U655" t="s">
        <v>39</v>
      </c>
      <c r="V655" t="s">
        <v>52</v>
      </c>
      <c r="W655" t="s">
        <v>39</v>
      </c>
      <c r="X655">
        <v>2023</v>
      </c>
      <c r="Y655" t="s">
        <v>82</v>
      </c>
      <c r="Z655" t="s">
        <v>83</v>
      </c>
    </row>
    <row r="656" spans="1:26">
      <c r="A656" t="s">
        <v>1511</v>
      </c>
      <c r="B656" t="s">
        <v>93</v>
      </c>
      <c r="C656" t="s">
        <v>28</v>
      </c>
      <c r="D656" t="s">
        <v>77</v>
      </c>
      <c r="E656" t="s">
        <v>94</v>
      </c>
      <c r="F656" t="s">
        <v>124</v>
      </c>
      <c r="G656" t="s">
        <v>58</v>
      </c>
      <c r="H656">
        <v>8.8000000000000007</v>
      </c>
      <c r="I656">
        <v>4.5</v>
      </c>
      <c r="J656" t="s">
        <v>33</v>
      </c>
      <c r="K656" t="s">
        <v>1373</v>
      </c>
      <c r="L656" t="s">
        <v>48</v>
      </c>
      <c r="M656" t="s">
        <v>190</v>
      </c>
      <c r="N656" t="s">
        <v>71</v>
      </c>
      <c r="O656">
        <v>68</v>
      </c>
      <c r="P656" t="s">
        <v>105</v>
      </c>
      <c r="Q656">
        <v>4120</v>
      </c>
      <c r="R656">
        <v>0</v>
      </c>
      <c r="S656" t="s">
        <v>152</v>
      </c>
      <c r="T656" t="s">
        <v>51</v>
      </c>
      <c r="U656" t="s">
        <v>52</v>
      </c>
      <c r="V656" t="s">
        <v>52</v>
      </c>
      <c r="W656" t="s">
        <v>39</v>
      </c>
      <c r="X656">
        <v>2024</v>
      </c>
      <c r="Y656" t="s">
        <v>91</v>
      </c>
      <c r="Z656" t="s">
        <v>64</v>
      </c>
    </row>
    <row r="657" spans="1:26">
      <c r="A657" t="s">
        <v>1512</v>
      </c>
      <c r="B657" t="s">
        <v>66</v>
      </c>
      <c r="C657" t="s">
        <v>76</v>
      </c>
      <c r="D657" t="s">
        <v>122</v>
      </c>
      <c r="E657" t="s">
        <v>123</v>
      </c>
      <c r="F657" t="s">
        <v>238</v>
      </c>
      <c r="G657" t="s">
        <v>58</v>
      </c>
      <c r="H657">
        <v>2.4</v>
      </c>
      <c r="I657">
        <v>19.8</v>
      </c>
      <c r="J657" t="s">
        <v>33</v>
      </c>
      <c r="K657" t="s">
        <v>1513</v>
      </c>
      <c r="L657" t="s">
        <v>140</v>
      </c>
      <c r="M657" t="s">
        <v>1175</v>
      </c>
      <c r="N657" t="s">
        <v>171</v>
      </c>
      <c r="O657">
        <v>26</v>
      </c>
      <c r="Q657">
        <v>0</v>
      </c>
      <c r="R657">
        <v>0</v>
      </c>
      <c r="T657" t="s">
        <v>136</v>
      </c>
      <c r="U657" t="s">
        <v>39</v>
      </c>
      <c r="V657" t="s">
        <v>52</v>
      </c>
      <c r="W657" t="s">
        <v>52</v>
      </c>
      <c r="X657">
        <v>2024</v>
      </c>
      <c r="Y657" t="s">
        <v>153</v>
      </c>
      <c r="Z657" t="s">
        <v>54</v>
      </c>
    </row>
    <row r="658" spans="1:26">
      <c r="A658" t="s">
        <v>1514</v>
      </c>
      <c r="B658" t="s">
        <v>116</v>
      </c>
      <c r="C658" t="s">
        <v>102</v>
      </c>
      <c r="D658" t="s">
        <v>29</v>
      </c>
      <c r="E658" t="s">
        <v>117</v>
      </c>
      <c r="F658" t="s">
        <v>238</v>
      </c>
      <c r="G658" t="s">
        <v>32</v>
      </c>
      <c r="H658">
        <v>3.5</v>
      </c>
      <c r="I658">
        <v>7.4</v>
      </c>
      <c r="J658" t="s">
        <v>33</v>
      </c>
      <c r="K658" t="s">
        <v>1035</v>
      </c>
      <c r="L658" t="s">
        <v>126</v>
      </c>
      <c r="M658" t="s">
        <v>1515</v>
      </c>
      <c r="N658" t="s">
        <v>71</v>
      </c>
      <c r="O658">
        <v>125</v>
      </c>
      <c r="P658" t="s">
        <v>105</v>
      </c>
      <c r="Q658">
        <v>4504</v>
      </c>
      <c r="R658">
        <v>500</v>
      </c>
      <c r="S658" t="s">
        <v>113</v>
      </c>
      <c r="T658" t="s">
        <v>81</v>
      </c>
      <c r="U658" t="s">
        <v>39</v>
      </c>
      <c r="V658" t="s">
        <v>52</v>
      </c>
      <c r="W658" t="s">
        <v>52</v>
      </c>
      <c r="X658">
        <v>2022</v>
      </c>
      <c r="Y658" t="s">
        <v>128</v>
      </c>
      <c r="Z658" t="s">
        <v>64</v>
      </c>
    </row>
    <row r="659" spans="1:26">
      <c r="A659" t="s">
        <v>1516</v>
      </c>
      <c r="B659" t="s">
        <v>43</v>
      </c>
      <c r="C659" t="s">
        <v>173</v>
      </c>
      <c r="D659" t="s">
        <v>77</v>
      </c>
      <c r="E659" t="s">
        <v>94</v>
      </c>
      <c r="F659" t="s">
        <v>124</v>
      </c>
      <c r="G659" t="s">
        <v>32</v>
      </c>
      <c r="H659">
        <v>5.9</v>
      </c>
      <c r="I659">
        <v>23.2</v>
      </c>
      <c r="J659" t="s">
        <v>156</v>
      </c>
      <c r="K659" t="s">
        <v>282</v>
      </c>
      <c r="L659" t="s">
        <v>126</v>
      </c>
      <c r="M659" t="s">
        <v>519</v>
      </c>
      <c r="N659" t="s">
        <v>171</v>
      </c>
      <c r="O659">
        <v>164</v>
      </c>
      <c r="Q659">
        <v>0</v>
      </c>
      <c r="R659">
        <v>0</v>
      </c>
      <c r="T659" t="s">
        <v>136</v>
      </c>
      <c r="U659" t="s">
        <v>52</v>
      </c>
      <c r="V659" t="s">
        <v>52</v>
      </c>
      <c r="W659" t="s">
        <v>52</v>
      </c>
      <c r="X659">
        <v>2023</v>
      </c>
      <c r="Y659" t="s">
        <v>74</v>
      </c>
      <c r="Z659" t="s">
        <v>54</v>
      </c>
    </row>
    <row r="660" spans="1:26">
      <c r="A660" t="s">
        <v>1517</v>
      </c>
      <c r="B660" t="s">
        <v>93</v>
      </c>
      <c r="C660" t="s">
        <v>44</v>
      </c>
      <c r="D660" t="s">
        <v>29</v>
      </c>
      <c r="E660" t="s">
        <v>117</v>
      </c>
      <c r="F660" t="s">
        <v>149</v>
      </c>
      <c r="G660" t="s">
        <v>32</v>
      </c>
      <c r="H660">
        <v>11.6</v>
      </c>
      <c r="I660">
        <v>31.4</v>
      </c>
      <c r="J660" t="s">
        <v>33</v>
      </c>
      <c r="K660" t="s">
        <v>1486</v>
      </c>
      <c r="L660" t="s">
        <v>98</v>
      </c>
      <c r="M660" t="s">
        <v>162</v>
      </c>
      <c r="N660" t="s">
        <v>37</v>
      </c>
      <c r="O660">
        <v>25</v>
      </c>
      <c r="Q660">
        <v>0</v>
      </c>
      <c r="R660">
        <v>0</v>
      </c>
      <c r="T660" t="s">
        <v>136</v>
      </c>
      <c r="U660" t="s">
        <v>39</v>
      </c>
      <c r="V660" t="s">
        <v>39</v>
      </c>
      <c r="W660" t="s">
        <v>52</v>
      </c>
      <c r="X660">
        <v>2023</v>
      </c>
      <c r="Y660" t="s">
        <v>211</v>
      </c>
      <c r="Z660" t="s">
        <v>41</v>
      </c>
    </row>
    <row r="661" spans="1:26">
      <c r="A661" t="s">
        <v>1518</v>
      </c>
      <c r="B661" t="s">
        <v>108</v>
      </c>
      <c r="C661" t="s">
        <v>121</v>
      </c>
      <c r="D661" t="s">
        <v>122</v>
      </c>
      <c r="E661" t="s">
        <v>123</v>
      </c>
      <c r="F661" t="s">
        <v>31</v>
      </c>
      <c r="G661" t="s">
        <v>32</v>
      </c>
      <c r="H661">
        <v>8.5</v>
      </c>
      <c r="I661">
        <v>27.2</v>
      </c>
      <c r="J661" t="s">
        <v>156</v>
      </c>
      <c r="K661" t="s">
        <v>227</v>
      </c>
      <c r="L661" t="s">
        <v>48</v>
      </c>
      <c r="M661" t="s">
        <v>1484</v>
      </c>
      <c r="N661" t="s">
        <v>100</v>
      </c>
      <c r="O661">
        <v>179</v>
      </c>
      <c r="Q661">
        <v>0</v>
      </c>
      <c r="R661">
        <v>0</v>
      </c>
      <c r="T661" t="s">
        <v>38</v>
      </c>
      <c r="U661" t="s">
        <v>39</v>
      </c>
      <c r="V661" t="s">
        <v>52</v>
      </c>
      <c r="W661" t="s">
        <v>52</v>
      </c>
      <c r="X661">
        <v>2023</v>
      </c>
      <c r="Y661" t="s">
        <v>63</v>
      </c>
      <c r="Z661" t="s">
        <v>64</v>
      </c>
    </row>
    <row r="662" spans="1:26">
      <c r="A662" t="s">
        <v>1519</v>
      </c>
      <c r="B662" t="s">
        <v>108</v>
      </c>
      <c r="C662" t="s">
        <v>44</v>
      </c>
      <c r="D662" t="s">
        <v>85</v>
      </c>
      <c r="E662" t="s">
        <v>174</v>
      </c>
      <c r="F662" t="s">
        <v>160</v>
      </c>
      <c r="G662" t="s">
        <v>58</v>
      </c>
      <c r="H662">
        <v>5</v>
      </c>
      <c r="I662">
        <v>28.4</v>
      </c>
      <c r="J662" t="s">
        <v>33</v>
      </c>
      <c r="K662" t="s">
        <v>1520</v>
      </c>
      <c r="L662" t="s">
        <v>126</v>
      </c>
      <c r="M662" t="s">
        <v>1521</v>
      </c>
      <c r="N662" t="s">
        <v>171</v>
      </c>
      <c r="O662">
        <v>67</v>
      </c>
      <c r="Q662">
        <v>0</v>
      </c>
      <c r="R662">
        <v>0</v>
      </c>
      <c r="T662" t="s">
        <v>81</v>
      </c>
      <c r="U662" t="s">
        <v>39</v>
      </c>
      <c r="V662" t="s">
        <v>52</v>
      </c>
      <c r="W662" t="s">
        <v>39</v>
      </c>
      <c r="X662">
        <v>2023</v>
      </c>
      <c r="Y662" t="s">
        <v>91</v>
      </c>
      <c r="Z662" t="s">
        <v>64</v>
      </c>
    </row>
    <row r="663" spans="1:26">
      <c r="A663" t="s">
        <v>1522</v>
      </c>
      <c r="B663" t="s">
        <v>27</v>
      </c>
      <c r="C663" t="s">
        <v>67</v>
      </c>
      <c r="D663" t="s">
        <v>29</v>
      </c>
      <c r="E663" t="s">
        <v>117</v>
      </c>
      <c r="F663" t="s">
        <v>68</v>
      </c>
      <c r="G663" t="s">
        <v>58</v>
      </c>
      <c r="H663">
        <v>9.4</v>
      </c>
      <c r="I663">
        <v>4.3</v>
      </c>
      <c r="J663" t="s">
        <v>156</v>
      </c>
      <c r="K663" t="s">
        <v>1523</v>
      </c>
      <c r="L663" t="s">
        <v>35</v>
      </c>
      <c r="M663" t="s">
        <v>1524</v>
      </c>
      <c r="N663" t="s">
        <v>71</v>
      </c>
      <c r="O663">
        <v>57</v>
      </c>
      <c r="P663" t="s">
        <v>112</v>
      </c>
      <c r="Q663">
        <v>3695</v>
      </c>
      <c r="R663">
        <v>0</v>
      </c>
      <c r="S663" t="s">
        <v>73</v>
      </c>
      <c r="T663" t="s">
        <v>51</v>
      </c>
      <c r="U663" t="s">
        <v>39</v>
      </c>
      <c r="V663" t="s">
        <v>52</v>
      </c>
      <c r="W663" t="s">
        <v>39</v>
      </c>
      <c r="X663">
        <v>2024</v>
      </c>
      <c r="Y663" t="s">
        <v>74</v>
      </c>
      <c r="Z663" t="s">
        <v>54</v>
      </c>
    </row>
    <row r="664" spans="1:26">
      <c r="A664" t="s">
        <v>1525</v>
      </c>
      <c r="B664" t="s">
        <v>66</v>
      </c>
      <c r="C664" t="s">
        <v>102</v>
      </c>
      <c r="D664" t="s">
        <v>77</v>
      </c>
      <c r="E664" t="s">
        <v>363</v>
      </c>
      <c r="F664" t="s">
        <v>160</v>
      </c>
      <c r="G664" t="s">
        <v>58</v>
      </c>
      <c r="H664">
        <v>10.1</v>
      </c>
      <c r="I664">
        <v>14.1</v>
      </c>
      <c r="J664" t="s">
        <v>33</v>
      </c>
      <c r="K664" t="s">
        <v>317</v>
      </c>
      <c r="L664" t="s">
        <v>60</v>
      </c>
      <c r="M664" t="s">
        <v>1526</v>
      </c>
      <c r="N664" t="s">
        <v>37</v>
      </c>
      <c r="O664">
        <v>138</v>
      </c>
      <c r="Q664">
        <v>0</v>
      </c>
      <c r="R664">
        <v>0</v>
      </c>
      <c r="T664" t="s">
        <v>136</v>
      </c>
      <c r="U664" t="s">
        <v>39</v>
      </c>
      <c r="V664" t="s">
        <v>52</v>
      </c>
      <c r="W664" t="s">
        <v>52</v>
      </c>
      <c r="X664">
        <v>2024</v>
      </c>
      <c r="Y664" t="s">
        <v>106</v>
      </c>
      <c r="Z664" t="s">
        <v>83</v>
      </c>
    </row>
    <row r="665" spans="1:26">
      <c r="A665" t="s">
        <v>1527</v>
      </c>
      <c r="B665" t="s">
        <v>93</v>
      </c>
      <c r="C665" t="s">
        <v>173</v>
      </c>
      <c r="D665" t="s">
        <v>77</v>
      </c>
      <c r="E665" t="s">
        <v>220</v>
      </c>
      <c r="F665" t="s">
        <v>238</v>
      </c>
      <c r="G665" t="s">
        <v>58</v>
      </c>
      <c r="H665">
        <v>9.5</v>
      </c>
      <c r="I665">
        <v>2</v>
      </c>
      <c r="J665" t="s">
        <v>156</v>
      </c>
      <c r="K665" t="s">
        <v>1528</v>
      </c>
      <c r="L665" t="s">
        <v>98</v>
      </c>
      <c r="M665" t="s">
        <v>1529</v>
      </c>
      <c r="N665" t="s">
        <v>71</v>
      </c>
      <c r="O665">
        <v>135</v>
      </c>
      <c r="P665" t="s">
        <v>89</v>
      </c>
      <c r="Q665">
        <v>7108</v>
      </c>
      <c r="R665">
        <v>500</v>
      </c>
      <c r="S665" t="s">
        <v>73</v>
      </c>
      <c r="T665" t="s">
        <v>51</v>
      </c>
      <c r="U665" t="s">
        <v>39</v>
      </c>
      <c r="V665" t="s">
        <v>52</v>
      </c>
      <c r="W665" t="s">
        <v>52</v>
      </c>
      <c r="X665">
        <v>2022</v>
      </c>
      <c r="Y665" t="s">
        <v>82</v>
      </c>
      <c r="Z665" t="s">
        <v>83</v>
      </c>
    </row>
    <row r="666" spans="1:26">
      <c r="A666" t="s">
        <v>1530</v>
      </c>
      <c r="B666" t="s">
        <v>116</v>
      </c>
      <c r="C666" t="s">
        <v>76</v>
      </c>
      <c r="D666" t="s">
        <v>77</v>
      </c>
      <c r="E666" t="s">
        <v>168</v>
      </c>
      <c r="F666" t="s">
        <v>109</v>
      </c>
      <c r="G666" t="s">
        <v>58</v>
      </c>
      <c r="H666">
        <v>8.5</v>
      </c>
      <c r="I666">
        <v>25.8</v>
      </c>
      <c r="J666" t="s">
        <v>33</v>
      </c>
      <c r="K666" t="s">
        <v>1531</v>
      </c>
      <c r="L666" t="s">
        <v>98</v>
      </c>
      <c r="M666" t="s">
        <v>1532</v>
      </c>
      <c r="N666" t="s">
        <v>71</v>
      </c>
      <c r="O666">
        <v>20</v>
      </c>
      <c r="P666" t="s">
        <v>105</v>
      </c>
      <c r="Q666">
        <v>7132</v>
      </c>
      <c r="R666">
        <v>2000</v>
      </c>
      <c r="S666" t="s">
        <v>90</v>
      </c>
      <c r="T666" t="s">
        <v>81</v>
      </c>
      <c r="U666" t="s">
        <v>39</v>
      </c>
      <c r="V666" t="s">
        <v>52</v>
      </c>
      <c r="W666" t="s">
        <v>52</v>
      </c>
      <c r="X666">
        <v>2022</v>
      </c>
      <c r="Y666" t="s">
        <v>153</v>
      </c>
      <c r="Z666" t="s">
        <v>54</v>
      </c>
    </row>
    <row r="667" spans="1:26">
      <c r="A667" t="s">
        <v>1533</v>
      </c>
      <c r="B667" t="s">
        <v>66</v>
      </c>
      <c r="C667" t="s">
        <v>121</v>
      </c>
      <c r="D667" t="s">
        <v>29</v>
      </c>
      <c r="E667" t="s">
        <v>94</v>
      </c>
      <c r="F667" t="s">
        <v>57</v>
      </c>
      <c r="G667" t="s">
        <v>32</v>
      </c>
      <c r="H667">
        <v>5.6</v>
      </c>
      <c r="I667">
        <v>3.9</v>
      </c>
      <c r="J667" t="s">
        <v>144</v>
      </c>
      <c r="K667" t="s">
        <v>1534</v>
      </c>
      <c r="L667" t="s">
        <v>35</v>
      </c>
      <c r="M667" t="s">
        <v>682</v>
      </c>
      <c r="N667" t="s">
        <v>61</v>
      </c>
      <c r="O667">
        <v>78</v>
      </c>
      <c r="Q667">
        <v>0</v>
      </c>
      <c r="R667">
        <v>0</v>
      </c>
      <c r="T667" t="s">
        <v>81</v>
      </c>
      <c r="U667" t="s">
        <v>52</v>
      </c>
      <c r="V667" t="s">
        <v>52</v>
      </c>
      <c r="W667" t="s">
        <v>52</v>
      </c>
      <c r="X667">
        <v>2022</v>
      </c>
      <c r="Y667" t="s">
        <v>82</v>
      </c>
      <c r="Z667" t="s">
        <v>83</v>
      </c>
    </row>
    <row r="668" spans="1:26">
      <c r="A668" t="s">
        <v>1535</v>
      </c>
      <c r="B668" t="s">
        <v>108</v>
      </c>
      <c r="C668" t="s">
        <v>67</v>
      </c>
      <c r="D668" t="s">
        <v>77</v>
      </c>
      <c r="E668" t="s">
        <v>168</v>
      </c>
      <c r="F668" t="s">
        <v>109</v>
      </c>
      <c r="G668" t="s">
        <v>58</v>
      </c>
      <c r="H668">
        <v>0.3</v>
      </c>
      <c r="I668">
        <v>17.600000000000001</v>
      </c>
      <c r="J668" t="s">
        <v>144</v>
      </c>
      <c r="K668" t="s">
        <v>619</v>
      </c>
      <c r="L668" t="s">
        <v>48</v>
      </c>
      <c r="M668" t="s">
        <v>127</v>
      </c>
      <c r="N668" t="s">
        <v>37</v>
      </c>
      <c r="O668">
        <v>130</v>
      </c>
      <c r="Q668">
        <v>0</v>
      </c>
      <c r="R668">
        <v>1000</v>
      </c>
      <c r="T668" t="s">
        <v>62</v>
      </c>
      <c r="U668" t="s">
        <v>39</v>
      </c>
      <c r="V668" t="s">
        <v>52</v>
      </c>
      <c r="W668" t="s">
        <v>52</v>
      </c>
      <c r="X668">
        <v>2024</v>
      </c>
      <c r="Y668" t="s">
        <v>63</v>
      </c>
      <c r="Z668" t="s">
        <v>64</v>
      </c>
    </row>
    <row r="669" spans="1:26">
      <c r="A669" t="s">
        <v>1536</v>
      </c>
      <c r="B669" t="s">
        <v>116</v>
      </c>
      <c r="C669" t="s">
        <v>28</v>
      </c>
      <c r="D669" t="s">
        <v>77</v>
      </c>
      <c r="E669" t="s">
        <v>260</v>
      </c>
      <c r="F669" t="s">
        <v>109</v>
      </c>
      <c r="G669" t="s">
        <v>58</v>
      </c>
      <c r="H669">
        <v>1.8</v>
      </c>
      <c r="I669">
        <v>22.2</v>
      </c>
      <c r="J669" t="s">
        <v>33</v>
      </c>
      <c r="K669" t="s">
        <v>206</v>
      </c>
      <c r="L669" t="s">
        <v>126</v>
      </c>
      <c r="M669" t="s">
        <v>127</v>
      </c>
      <c r="N669" t="s">
        <v>71</v>
      </c>
      <c r="O669">
        <v>145</v>
      </c>
      <c r="P669" t="s">
        <v>105</v>
      </c>
      <c r="Q669">
        <v>5544</v>
      </c>
      <c r="R669">
        <v>0</v>
      </c>
      <c r="S669" t="s">
        <v>113</v>
      </c>
      <c r="T669" t="s">
        <v>38</v>
      </c>
      <c r="U669" t="s">
        <v>39</v>
      </c>
      <c r="V669" t="s">
        <v>52</v>
      </c>
      <c r="W669" t="s">
        <v>52</v>
      </c>
      <c r="X669">
        <v>2024</v>
      </c>
      <c r="Y669" t="s">
        <v>114</v>
      </c>
      <c r="Z669" t="s">
        <v>41</v>
      </c>
    </row>
    <row r="670" spans="1:26">
      <c r="A670" t="s">
        <v>1537</v>
      </c>
      <c r="B670" t="s">
        <v>43</v>
      </c>
      <c r="C670" t="s">
        <v>76</v>
      </c>
      <c r="D670" t="s">
        <v>29</v>
      </c>
      <c r="E670" t="s">
        <v>94</v>
      </c>
      <c r="F670" t="s">
        <v>46</v>
      </c>
      <c r="G670" t="s">
        <v>32</v>
      </c>
      <c r="H670">
        <v>5</v>
      </c>
      <c r="I670">
        <v>26</v>
      </c>
      <c r="J670" t="s">
        <v>96</v>
      </c>
      <c r="K670" t="s">
        <v>1099</v>
      </c>
      <c r="L670" t="s">
        <v>35</v>
      </c>
      <c r="M670" t="s">
        <v>817</v>
      </c>
      <c r="N670" t="s">
        <v>50</v>
      </c>
      <c r="O670">
        <v>16</v>
      </c>
      <c r="Q670">
        <v>0</v>
      </c>
      <c r="R670">
        <v>500</v>
      </c>
      <c r="T670" t="s">
        <v>51</v>
      </c>
      <c r="U670" t="s">
        <v>39</v>
      </c>
      <c r="V670" t="s">
        <v>52</v>
      </c>
      <c r="W670" t="s">
        <v>52</v>
      </c>
      <c r="X670">
        <v>2023</v>
      </c>
      <c r="Y670" t="s">
        <v>74</v>
      </c>
      <c r="Z670" t="s">
        <v>54</v>
      </c>
    </row>
    <row r="671" spans="1:26">
      <c r="A671" t="s">
        <v>1538</v>
      </c>
      <c r="B671" t="s">
        <v>27</v>
      </c>
      <c r="C671" t="s">
        <v>28</v>
      </c>
      <c r="D671" t="s">
        <v>29</v>
      </c>
      <c r="E671" t="s">
        <v>117</v>
      </c>
      <c r="F671" t="s">
        <v>95</v>
      </c>
      <c r="G671" t="s">
        <v>32</v>
      </c>
      <c r="H671">
        <v>5.6</v>
      </c>
      <c r="I671">
        <v>17.2</v>
      </c>
      <c r="J671" t="s">
        <v>156</v>
      </c>
      <c r="K671" t="s">
        <v>750</v>
      </c>
      <c r="L671" t="s">
        <v>35</v>
      </c>
      <c r="M671" t="s">
        <v>612</v>
      </c>
      <c r="N671" t="s">
        <v>37</v>
      </c>
      <c r="O671">
        <v>167</v>
      </c>
      <c r="Q671">
        <v>0</v>
      </c>
      <c r="R671">
        <v>500</v>
      </c>
      <c r="T671" t="s">
        <v>136</v>
      </c>
      <c r="U671" t="s">
        <v>39</v>
      </c>
      <c r="V671" t="s">
        <v>39</v>
      </c>
      <c r="W671" t="s">
        <v>52</v>
      </c>
      <c r="X671">
        <v>2023</v>
      </c>
      <c r="Y671" t="s">
        <v>91</v>
      </c>
      <c r="Z671" t="s">
        <v>64</v>
      </c>
    </row>
    <row r="672" spans="1:26">
      <c r="A672" t="s">
        <v>1539</v>
      </c>
      <c r="B672" t="s">
        <v>108</v>
      </c>
      <c r="C672" t="s">
        <v>121</v>
      </c>
      <c r="D672" t="s">
        <v>29</v>
      </c>
      <c r="E672" t="s">
        <v>94</v>
      </c>
      <c r="F672" t="s">
        <v>68</v>
      </c>
      <c r="G672" t="s">
        <v>32</v>
      </c>
      <c r="H672">
        <v>10.5</v>
      </c>
      <c r="I672">
        <v>4.4000000000000004</v>
      </c>
      <c r="J672" t="s">
        <v>33</v>
      </c>
      <c r="K672" t="s">
        <v>1540</v>
      </c>
      <c r="L672" t="s">
        <v>98</v>
      </c>
      <c r="M672" t="s">
        <v>1467</v>
      </c>
      <c r="N672" t="s">
        <v>37</v>
      </c>
      <c r="O672">
        <v>43</v>
      </c>
      <c r="Q672">
        <v>0</v>
      </c>
      <c r="R672">
        <v>1000</v>
      </c>
      <c r="T672" t="s">
        <v>62</v>
      </c>
      <c r="U672" t="s">
        <v>52</v>
      </c>
      <c r="V672" t="s">
        <v>52</v>
      </c>
      <c r="W672" t="s">
        <v>39</v>
      </c>
      <c r="X672">
        <v>2022</v>
      </c>
      <c r="Y672" t="s">
        <v>114</v>
      </c>
      <c r="Z672" t="s">
        <v>41</v>
      </c>
    </row>
    <row r="673" spans="1:26">
      <c r="A673" t="s">
        <v>1541</v>
      </c>
      <c r="B673" t="s">
        <v>93</v>
      </c>
      <c r="C673" t="s">
        <v>164</v>
      </c>
      <c r="D673" t="s">
        <v>29</v>
      </c>
      <c r="E673" t="s">
        <v>30</v>
      </c>
      <c r="F673" t="s">
        <v>68</v>
      </c>
      <c r="G673" t="s">
        <v>32</v>
      </c>
      <c r="H673">
        <v>6.3</v>
      </c>
      <c r="I673">
        <v>21.7</v>
      </c>
      <c r="J673" t="s">
        <v>20</v>
      </c>
      <c r="K673" t="s">
        <v>704</v>
      </c>
      <c r="L673" t="s">
        <v>98</v>
      </c>
      <c r="M673" t="s">
        <v>1542</v>
      </c>
      <c r="N673" t="s">
        <v>61</v>
      </c>
      <c r="O673">
        <v>76</v>
      </c>
      <c r="Q673">
        <v>0</v>
      </c>
      <c r="R673">
        <v>0</v>
      </c>
      <c r="T673" t="s">
        <v>81</v>
      </c>
      <c r="U673" t="s">
        <v>39</v>
      </c>
      <c r="V673" t="s">
        <v>52</v>
      </c>
      <c r="W673" t="s">
        <v>52</v>
      </c>
      <c r="X673">
        <v>2024</v>
      </c>
      <c r="Y673" t="s">
        <v>153</v>
      </c>
      <c r="Z673" t="s">
        <v>54</v>
      </c>
    </row>
    <row r="674" spans="1:26">
      <c r="A674" t="s">
        <v>1543</v>
      </c>
      <c r="B674" t="s">
        <v>93</v>
      </c>
      <c r="C674" t="s">
        <v>44</v>
      </c>
      <c r="D674" t="s">
        <v>77</v>
      </c>
      <c r="E674" t="s">
        <v>78</v>
      </c>
      <c r="F674" t="s">
        <v>68</v>
      </c>
      <c r="G674" t="s">
        <v>58</v>
      </c>
      <c r="H674">
        <v>8.6</v>
      </c>
      <c r="I674">
        <v>16.8</v>
      </c>
      <c r="J674" t="s">
        <v>144</v>
      </c>
      <c r="K674" t="s">
        <v>459</v>
      </c>
      <c r="L674" t="s">
        <v>35</v>
      </c>
      <c r="M674" t="s">
        <v>1544</v>
      </c>
      <c r="N674" t="s">
        <v>71</v>
      </c>
      <c r="O674">
        <v>85</v>
      </c>
      <c r="P674" t="s">
        <v>230</v>
      </c>
      <c r="Q674">
        <v>4345</v>
      </c>
      <c r="R674">
        <v>1000</v>
      </c>
      <c r="S674" t="s">
        <v>152</v>
      </c>
      <c r="T674" t="s">
        <v>81</v>
      </c>
      <c r="U674" t="s">
        <v>39</v>
      </c>
      <c r="V674" t="s">
        <v>52</v>
      </c>
      <c r="W674" t="s">
        <v>39</v>
      </c>
      <c r="X674">
        <v>2023</v>
      </c>
      <c r="Y674" t="s">
        <v>312</v>
      </c>
      <c r="Z674" t="s">
        <v>83</v>
      </c>
    </row>
    <row r="675" spans="1:26">
      <c r="A675" t="s">
        <v>1545</v>
      </c>
      <c r="B675" t="s">
        <v>66</v>
      </c>
      <c r="C675" t="s">
        <v>102</v>
      </c>
      <c r="D675" t="s">
        <v>29</v>
      </c>
      <c r="E675" t="s">
        <v>117</v>
      </c>
      <c r="F675" t="s">
        <v>46</v>
      </c>
      <c r="G675" t="s">
        <v>58</v>
      </c>
      <c r="H675">
        <v>7.2</v>
      </c>
      <c r="I675">
        <v>2.8</v>
      </c>
      <c r="J675" t="s">
        <v>33</v>
      </c>
      <c r="K675" t="s">
        <v>214</v>
      </c>
      <c r="L675" t="s">
        <v>60</v>
      </c>
      <c r="M675" t="s">
        <v>972</v>
      </c>
      <c r="N675" t="s">
        <v>71</v>
      </c>
      <c r="O675">
        <v>25</v>
      </c>
      <c r="P675" t="s">
        <v>72</v>
      </c>
      <c r="Q675">
        <v>4059</v>
      </c>
      <c r="R675">
        <v>500</v>
      </c>
      <c r="S675" t="s">
        <v>90</v>
      </c>
      <c r="T675" t="s">
        <v>62</v>
      </c>
      <c r="U675" t="s">
        <v>39</v>
      </c>
      <c r="V675" t="s">
        <v>52</v>
      </c>
      <c r="W675" t="s">
        <v>52</v>
      </c>
      <c r="X675">
        <v>2023</v>
      </c>
      <c r="Y675" t="s">
        <v>128</v>
      </c>
      <c r="Z675" t="s">
        <v>64</v>
      </c>
    </row>
    <row r="676" spans="1:26">
      <c r="A676" t="s">
        <v>1546</v>
      </c>
      <c r="B676" t="s">
        <v>27</v>
      </c>
      <c r="C676" t="s">
        <v>28</v>
      </c>
      <c r="D676" t="s">
        <v>29</v>
      </c>
      <c r="E676" t="s">
        <v>244</v>
      </c>
      <c r="F676" t="s">
        <v>68</v>
      </c>
      <c r="G676" t="s">
        <v>32</v>
      </c>
      <c r="H676">
        <v>2.7</v>
      </c>
      <c r="I676">
        <v>6.7</v>
      </c>
      <c r="J676" t="s">
        <v>33</v>
      </c>
      <c r="K676" t="s">
        <v>413</v>
      </c>
      <c r="L676" t="s">
        <v>140</v>
      </c>
      <c r="M676" t="s">
        <v>310</v>
      </c>
      <c r="N676" t="s">
        <v>71</v>
      </c>
      <c r="O676">
        <v>20</v>
      </c>
      <c r="P676" t="s">
        <v>105</v>
      </c>
      <c r="Q676">
        <v>1921</v>
      </c>
      <c r="R676">
        <v>2000</v>
      </c>
      <c r="S676" t="s">
        <v>152</v>
      </c>
      <c r="T676" t="s">
        <v>62</v>
      </c>
      <c r="U676" t="s">
        <v>52</v>
      </c>
      <c r="V676" t="s">
        <v>39</v>
      </c>
      <c r="W676" t="s">
        <v>52</v>
      </c>
      <c r="X676">
        <v>2023</v>
      </c>
      <c r="Y676" t="s">
        <v>82</v>
      </c>
      <c r="Z676" t="s">
        <v>83</v>
      </c>
    </row>
    <row r="677" spans="1:26">
      <c r="A677" t="s">
        <v>1547</v>
      </c>
      <c r="B677" t="s">
        <v>116</v>
      </c>
      <c r="C677" t="s">
        <v>76</v>
      </c>
      <c r="D677" t="s">
        <v>77</v>
      </c>
      <c r="E677" t="s">
        <v>363</v>
      </c>
      <c r="F677" t="s">
        <v>68</v>
      </c>
      <c r="G677" t="s">
        <v>32</v>
      </c>
      <c r="H677">
        <v>5.8</v>
      </c>
      <c r="I677">
        <v>0.5</v>
      </c>
      <c r="J677" t="s">
        <v>144</v>
      </c>
      <c r="K677" t="s">
        <v>1548</v>
      </c>
      <c r="L677" t="s">
        <v>98</v>
      </c>
      <c r="M677" t="s">
        <v>323</v>
      </c>
      <c r="N677" t="s">
        <v>71</v>
      </c>
      <c r="O677">
        <v>24</v>
      </c>
      <c r="P677" t="s">
        <v>112</v>
      </c>
      <c r="Q677">
        <v>4174</v>
      </c>
      <c r="R677">
        <v>0</v>
      </c>
      <c r="S677" t="s">
        <v>152</v>
      </c>
      <c r="T677" t="s">
        <v>51</v>
      </c>
      <c r="U677" t="s">
        <v>39</v>
      </c>
      <c r="V677" t="s">
        <v>39</v>
      </c>
      <c r="W677" t="s">
        <v>52</v>
      </c>
      <c r="X677">
        <v>2023</v>
      </c>
      <c r="Y677" t="s">
        <v>312</v>
      </c>
      <c r="Z677" t="s">
        <v>83</v>
      </c>
    </row>
    <row r="678" spans="1:26">
      <c r="A678" t="s">
        <v>1549</v>
      </c>
      <c r="B678" t="s">
        <v>116</v>
      </c>
      <c r="C678" t="s">
        <v>102</v>
      </c>
      <c r="D678" t="s">
        <v>85</v>
      </c>
      <c r="E678" t="s">
        <v>86</v>
      </c>
      <c r="F678" t="s">
        <v>68</v>
      </c>
      <c r="G678" t="s">
        <v>32</v>
      </c>
      <c r="H678">
        <v>10.1</v>
      </c>
      <c r="I678">
        <v>11.4</v>
      </c>
      <c r="J678" t="s">
        <v>156</v>
      </c>
      <c r="K678" t="s">
        <v>1550</v>
      </c>
      <c r="L678" t="s">
        <v>48</v>
      </c>
      <c r="M678" t="s">
        <v>1551</v>
      </c>
      <c r="N678" t="s">
        <v>61</v>
      </c>
      <c r="O678">
        <v>91</v>
      </c>
      <c r="Q678">
        <v>0</v>
      </c>
      <c r="R678">
        <v>0</v>
      </c>
      <c r="T678" t="s">
        <v>136</v>
      </c>
      <c r="U678" t="s">
        <v>52</v>
      </c>
      <c r="V678" t="s">
        <v>52</v>
      </c>
      <c r="W678" t="s">
        <v>52</v>
      </c>
      <c r="X678">
        <v>2024</v>
      </c>
      <c r="Y678" t="s">
        <v>211</v>
      </c>
      <c r="Z678" t="s">
        <v>41</v>
      </c>
    </row>
    <row r="679" spans="1:26">
      <c r="A679" t="s">
        <v>1552</v>
      </c>
      <c r="B679" t="s">
        <v>108</v>
      </c>
      <c r="C679" t="s">
        <v>67</v>
      </c>
      <c r="D679" t="s">
        <v>29</v>
      </c>
      <c r="E679" t="s">
        <v>244</v>
      </c>
      <c r="F679" t="s">
        <v>57</v>
      </c>
      <c r="G679" t="s">
        <v>58</v>
      </c>
      <c r="H679">
        <v>2.2000000000000002</v>
      </c>
      <c r="I679">
        <v>30.4</v>
      </c>
      <c r="J679" t="s">
        <v>20</v>
      </c>
      <c r="K679" t="s">
        <v>704</v>
      </c>
      <c r="L679" t="s">
        <v>140</v>
      </c>
      <c r="M679" t="s">
        <v>1553</v>
      </c>
      <c r="N679" t="s">
        <v>171</v>
      </c>
      <c r="O679">
        <v>167</v>
      </c>
      <c r="Q679">
        <v>0</v>
      </c>
      <c r="R679">
        <v>0</v>
      </c>
      <c r="T679" t="s">
        <v>81</v>
      </c>
      <c r="U679" t="s">
        <v>52</v>
      </c>
      <c r="V679" t="s">
        <v>52</v>
      </c>
      <c r="W679" t="s">
        <v>52</v>
      </c>
      <c r="X679">
        <v>2024</v>
      </c>
      <c r="Y679" t="s">
        <v>153</v>
      </c>
      <c r="Z679" t="s">
        <v>54</v>
      </c>
    </row>
    <row r="680" spans="1:26">
      <c r="A680" t="s">
        <v>1554</v>
      </c>
      <c r="B680" t="s">
        <v>93</v>
      </c>
      <c r="C680" t="s">
        <v>173</v>
      </c>
      <c r="D680" t="s">
        <v>77</v>
      </c>
      <c r="E680" t="s">
        <v>363</v>
      </c>
      <c r="F680" t="s">
        <v>109</v>
      </c>
      <c r="G680" t="s">
        <v>58</v>
      </c>
      <c r="H680">
        <v>7.1</v>
      </c>
      <c r="I680">
        <v>11.8</v>
      </c>
      <c r="J680" t="s">
        <v>20</v>
      </c>
      <c r="K680" t="s">
        <v>189</v>
      </c>
      <c r="L680" t="s">
        <v>60</v>
      </c>
      <c r="M680" t="s">
        <v>849</v>
      </c>
      <c r="N680" t="s">
        <v>37</v>
      </c>
      <c r="O680">
        <v>93</v>
      </c>
      <c r="Q680">
        <v>0</v>
      </c>
      <c r="R680">
        <v>0</v>
      </c>
      <c r="T680" t="s">
        <v>38</v>
      </c>
      <c r="U680" t="s">
        <v>39</v>
      </c>
      <c r="V680" t="s">
        <v>52</v>
      </c>
      <c r="W680" t="s">
        <v>52</v>
      </c>
      <c r="X680">
        <v>2024</v>
      </c>
      <c r="Y680" t="s">
        <v>153</v>
      </c>
      <c r="Z680" t="s">
        <v>54</v>
      </c>
    </row>
    <row r="681" spans="1:26">
      <c r="A681" t="s">
        <v>1555</v>
      </c>
      <c r="B681" t="s">
        <v>108</v>
      </c>
      <c r="C681" t="s">
        <v>121</v>
      </c>
      <c r="D681" t="s">
        <v>85</v>
      </c>
      <c r="E681" t="s">
        <v>174</v>
      </c>
      <c r="F681" t="s">
        <v>149</v>
      </c>
      <c r="G681" t="s">
        <v>58</v>
      </c>
      <c r="H681">
        <v>0.5</v>
      </c>
      <c r="I681">
        <v>25.3</v>
      </c>
      <c r="J681" t="s">
        <v>144</v>
      </c>
      <c r="K681" t="s">
        <v>1556</v>
      </c>
      <c r="L681" t="s">
        <v>98</v>
      </c>
      <c r="M681" t="s">
        <v>1557</v>
      </c>
      <c r="N681" t="s">
        <v>71</v>
      </c>
      <c r="O681">
        <v>71</v>
      </c>
      <c r="P681" t="s">
        <v>105</v>
      </c>
      <c r="Q681">
        <v>2843</v>
      </c>
      <c r="R681">
        <v>5000</v>
      </c>
      <c r="S681" t="s">
        <v>73</v>
      </c>
      <c r="T681" t="s">
        <v>38</v>
      </c>
      <c r="U681" t="s">
        <v>39</v>
      </c>
      <c r="V681" t="s">
        <v>39</v>
      </c>
      <c r="W681" t="s">
        <v>52</v>
      </c>
      <c r="X681">
        <v>2023</v>
      </c>
      <c r="Y681" t="s">
        <v>153</v>
      </c>
      <c r="Z681" t="s">
        <v>54</v>
      </c>
    </row>
    <row r="682" spans="1:26">
      <c r="A682" t="s">
        <v>1558</v>
      </c>
      <c r="B682" t="s">
        <v>116</v>
      </c>
      <c r="C682" t="s">
        <v>173</v>
      </c>
      <c r="D682" t="s">
        <v>77</v>
      </c>
      <c r="E682" t="s">
        <v>216</v>
      </c>
      <c r="F682" t="s">
        <v>124</v>
      </c>
      <c r="G682" t="s">
        <v>58</v>
      </c>
      <c r="H682">
        <v>7.7</v>
      </c>
      <c r="I682">
        <v>2.7</v>
      </c>
      <c r="J682" t="s">
        <v>33</v>
      </c>
      <c r="K682" t="s">
        <v>549</v>
      </c>
      <c r="L682" t="s">
        <v>98</v>
      </c>
      <c r="M682" t="s">
        <v>304</v>
      </c>
      <c r="N682" t="s">
        <v>71</v>
      </c>
      <c r="O682">
        <v>108</v>
      </c>
      <c r="P682" t="s">
        <v>72</v>
      </c>
      <c r="Q682">
        <v>3459</v>
      </c>
      <c r="R682">
        <v>500</v>
      </c>
      <c r="S682" t="s">
        <v>113</v>
      </c>
      <c r="T682" t="s">
        <v>62</v>
      </c>
      <c r="U682" t="s">
        <v>39</v>
      </c>
      <c r="V682" t="s">
        <v>52</v>
      </c>
      <c r="W682" t="s">
        <v>39</v>
      </c>
      <c r="X682">
        <v>2022</v>
      </c>
      <c r="Y682" t="s">
        <v>153</v>
      </c>
      <c r="Z682" t="s">
        <v>54</v>
      </c>
    </row>
    <row r="683" spans="1:26">
      <c r="A683" t="s">
        <v>1559</v>
      </c>
      <c r="B683" t="s">
        <v>108</v>
      </c>
      <c r="C683" t="s">
        <v>76</v>
      </c>
      <c r="D683" t="s">
        <v>85</v>
      </c>
      <c r="E683" t="s">
        <v>86</v>
      </c>
      <c r="F683" t="s">
        <v>160</v>
      </c>
      <c r="G683" t="s">
        <v>58</v>
      </c>
      <c r="H683">
        <v>8.8000000000000007</v>
      </c>
      <c r="I683">
        <v>3.4</v>
      </c>
      <c r="J683" t="s">
        <v>156</v>
      </c>
      <c r="K683" t="s">
        <v>682</v>
      </c>
      <c r="L683" t="s">
        <v>140</v>
      </c>
      <c r="M683" t="s">
        <v>1560</v>
      </c>
      <c r="N683" t="s">
        <v>37</v>
      </c>
      <c r="O683">
        <v>17</v>
      </c>
      <c r="Q683">
        <v>0</v>
      </c>
      <c r="R683">
        <v>0</v>
      </c>
      <c r="T683" t="s">
        <v>136</v>
      </c>
      <c r="U683" t="s">
        <v>39</v>
      </c>
      <c r="V683" t="s">
        <v>52</v>
      </c>
      <c r="W683" t="s">
        <v>39</v>
      </c>
      <c r="X683">
        <v>2022</v>
      </c>
      <c r="Y683" t="s">
        <v>53</v>
      </c>
      <c r="Z683" t="s">
        <v>54</v>
      </c>
    </row>
    <row r="684" spans="1:26">
      <c r="A684" t="s">
        <v>1561</v>
      </c>
      <c r="B684" t="s">
        <v>116</v>
      </c>
      <c r="C684" t="s">
        <v>121</v>
      </c>
      <c r="D684" t="s">
        <v>29</v>
      </c>
      <c r="E684" t="s">
        <v>56</v>
      </c>
      <c r="F684" t="s">
        <v>95</v>
      </c>
      <c r="G684" t="s">
        <v>58</v>
      </c>
      <c r="H684">
        <v>5.6</v>
      </c>
      <c r="I684">
        <v>29.3</v>
      </c>
      <c r="J684" t="s">
        <v>33</v>
      </c>
      <c r="K684" t="s">
        <v>1562</v>
      </c>
      <c r="L684" t="s">
        <v>48</v>
      </c>
      <c r="M684" t="s">
        <v>298</v>
      </c>
      <c r="N684" t="s">
        <v>171</v>
      </c>
      <c r="O684">
        <v>31</v>
      </c>
      <c r="Q684">
        <v>0</v>
      </c>
      <c r="R684">
        <v>0</v>
      </c>
      <c r="T684" t="s">
        <v>38</v>
      </c>
      <c r="U684" t="s">
        <v>39</v>
      </c>
      <c r="V684" t="s">
        <v>52</v>
      </c>
      <c r="W684" t="s">
        <v>39</v>
      </c>
      <c r="X684">
        <v>2023</v>
      </c>
      <c r="Y684" t="s">
        <v>63</v>
      </c>
      <c r="Z684" t="s">
        <v>64</v>
      </c>
    </row>
    <row r="685" spans="1:26">
      <c r="A685" t="s">
        <v>1563</v>
      </c>
      <c r="B685" t="s">
        <v>43</v>
      </c>
      <c r="C685" t="s">
        <v>173</v>
      </c>
      <c r="D685" t="s">
        <v>77</v>
      </c>
      <c r="E685" t="s">
        <v>220</v>
      </c>
      <c r="F685" t="s">
        <v>124</v>
      </c>
      <c r="G685" t="s">
        <v>58</v>
      </c>
      <c r="H685">
        <v>5.6</v>
      </c>
      <c r="I685">
        <v>30.8</v>
      </c>
      <c r="J685" t="s">
        <v>33</v>
      </c>
      <c r="K685" t="s">
        <v>193</v>
      </c>
      <c r="L685" t="s">
        <v>35</v>
      </c>
      <c r="M685" t="s">
        <v>543</v>
      </c>
      <c r="N685" t="s">
        <v>171</v>
      </c>
      <c r="O685">
        <v>164</v>
      </c>
      <c r="Q685">
        <v>0</v>
      </c>
      <c r="R685">
        <v>0</v>
      </c>
      <c r="T685" t="s">
        <v>136</v>
      </c>
      <c r="U685" t="s">
        <v>39</v>
      </c>
      <c r="V685" t="s">
        <v>39</v>
      </c>
      <c r="W685" t="s">
        <v>52</v>
      </c>
      <c r="X685">
        <v>2023</v>
      </c>
      <c r="Y685" t="s">
        <v>312</v>
      </c>
      <c r="Z685" t="s">
        <v>83</v>
      </c>
    </row>
    <row r="686" spans="1:26">
      <c r="A686" t="s">
        <v>1564</v>
      </c>
      <c r="B686" t="s">
        <v>93</v>
      </c>
      <c r="C686" t="s">
        <v>173</v>
      </c>
      <c r="D686" t="s">
        <v>77</v>
      </c>
      <c r="E686" t="s">
        <v>260</v>
      </c>
      <c r="F686" t="s">
        <v>149</v>
      </c>
      <c r="G686" t="s">
        <v>32</v>
      </c>
      <c r="H686">
        <v>10.6</v>
      </c>
      <c r="I686">
        <v>6.6</v>
      </c>
      <c r="J686" t="s">
        <v>33</v>
      </c>
      <c r="K686" t="s">
        <v>80</v>
      </c>
      <c r="L686" t="s">
        <v>126</v>
      </c>
      <c r="M686" t="s">
        <v>189</v>
      </c>
      <c r="N686" t="s">
        <v>37</v>
      </c>
      <c r="O686">
        <v>58</v>
      </c>
      <c r="Q686">
        <v>0</v>
      </c>
      <c r="R686">
        <v>500</v>
      </c>
      <c r="T686" t="s">
        <v>51</v>
      </c>
      <c r="U686" t="s">
        <v>39</v>
      </c>
      <c r="V686" t="s">
        <v>52</v>
      </c>
      <c r="W686" t="s">
        <v>52</v>
      </c>
      <c r="X686">
        <v>2024</v>
      </c>
      <c r="Y686" t="s">
        <v>74</v>
      </c>
      <c r="Z686" t="s">
        <v>54</v>
      </c>
    </row>
    <row r="687" spans="1:26">
      <c r="A687" t="s">
        <v>1565</v>
      </c>
      <c r="B687" t="s">
        <v>93</v>
      </c>
      <c r="C687" t="s">
        <v>102</v>
      </c>
      <c r="D687" t="s">
        <v>77</v>
      </c>
      <c r="E687" t="s">
        <v>220</v>
      </c>
      <c r="F687" t="s">
        <v>46</v>
      </c>
      <c r="G687" t="s">
        <v>32</v>
      </c>
      <c r="H687">
        <v>4.2</v>
      </c>
      <c r="I687">
        <v>28.5</v>
      </c>
      <c r="J687" t="s">
        <v>33</v>
      </c>
      <c r="K687" t="s">
        <v>702</v>
      </c>
      <c r="L687" t="s">
        <v>140</v>
      </c>
      <c r="M687" t="s">
        <v>1566</v>
      </c>
      <c r="N687" t="s">
        <v>37</v>
      </c>
      <c r="O687">
        <v>40</v>
      </c>
      <c r="Q687">
        <v>0</v>
      </c>
      <c r="R687">
        <v>1000</v>
      </c>
      <c r="T687" t="s">
        <v>81</v>
      </c>
      <c r="U687" t="s">
        <v>39</v>
      </c>
      <c r="V687" t="s">
        <v>39</v>
      </c>
      <c r="W687" t="s">
        <v>52</v>
      </c>
      <c r="X687">
        <v>2024</v>
      </c>
      <c r="Y687" t="s">
        <v>82</v>
      </c>
      <c r="Z687" t="s">
        <v>83</v>
      </c>
    </row>
    <row r="688" spans="1:26">
      <c r="A688" t="s">
        <v>1567</v>
      </c>
      <c r="B688" t="s">
        <v>27</v>
      </c>
      <c r="C688" t="s">
        <v>44</v>
      </c>
      <c r="D688" t="s">
        <v>29</v>
      </c>
      <c r="E688" t="s">
        <v>30</v>
      </c>
      <c r="F688" t="s">
        <v>31</v>
      </c>
      <c r="G688" t="s">
        <v>58</v>
      </c>
      <c r="H688">
        <v>5.7</v>
      </c>
      <c r="I688">
        <v>11.6</v>
      </c>
      <c r="J688" t="s">
        <v>33</v>
      </c>
      <c r="K688" t="s">
        <v>1393</v>
      </c>
      <c r="L688" t="s">
        <v>98</v>
      </c>
      <c r="M688" t="s">
        <v>394</v>
      </c>
      <c r="N688" t="s">
        <v>71</v>
      </c>
      <c r="O688">
        <v>133</v>
      </c>
      <c r="P688" t="s">
        <v>230</v>
      </c>
      <c r="Q688">
        <v>3446</v>
      </c>
      <c r="R688">
        <v>0</v>
      </c>
      <c r="S688" t="s">
        <v>152</v>
      </c>
      <c r="T688" t="s">
        <v>38</v>
      </c>
      <c r="U688" t="s">
        <v>39</v>
      </c>
      <c r="V688" t="s">
        <v>52</v>
      </c>
      <c r="W688" t="s">
        <v>52</v>
      </c>
      <c r="X688">
        <v>2022</v>
      </c>
      <c r="Y688" t="s">
        <v>211</v>
      </c>
      <c r="Z688" t="s">
        <v>41</v>
      </c>
    </row>
    <row r="689" spans="1:26">
      <c r="A689" t="s">
        <v>1568</v>
      </c>
      <c r="B689" t="s">
        <v>43</v>
      </c>
      <c r="C689" t="s">
        <v>76</v>
      </c>
      <c r="D689" t="s">
        <v>122</v>
      </c>
      <c r="E689" t="s">
        <v>155</v>
      </c>
      <c r="F689" t="s">
        <v>149</v>
      </c>
      <c r="G689" t="s">
        <v>32</v>
      </c>
      <c r="H689">
        <v>3.7</v>
      </c>
      <c r="I689">
        <v>16.600000000000001</v>
      </c>
      <c r="J689" t="s">
        <v>20</v>
      </c>
      <c r="K689" t="s">
        <v>1265</v>
      </c>
      <c r="L689" t="s">
        <v>140</v>
      </c>
      <c r="M689" t="s">
        <v>1569</v>
      </c>
      <c r="N689" t="s">
        <v>171</v>
      </c>
      <c r="O689">
        <v>48</v>
      </c>
      <c r="Q689">
        <v>0</v>
      </c>
      <c r="R689">
        <v>0</v>
      </c>
      <c r="T689" t="s">
        <v>136</v>
      </c>
      <c r="U689" t="s">
        <v>52</v>
      </c>
      <c r="V689" t="s">
        <v>52</v>
      </c>
      <c r="W689" t="s">
        <v>52</v>
      </c>
      <c r="X689">
        <v>2022</v>
      </c>
      <c r="Y689" t="s">
        <v>40</v>
      </c>
      <c r="Z689" t="s">
        <v>41</v>
      </c>
    </row>
    <row r="690" spans="1:26">
      <c r="A690" t="s">
        <v>1570</v>
      </c>
      <c r="B690" t="s">
        <v>116</v>
      </c>
      <c r="C690" t="s">
        <v>102</v>
      </c>
      <c r="D690" t="s">
        <v>29</v>
      </c>
      <c r="E690" t="s">
        <v>94</v>
      </c>
      <c r="F690" t="s">
        <v>109</v>
      </c>
      <c r="G690" t="s">
        <v>58</v>
      </c>
      <c r="H690">
        <v>5.8</v>
      </c>
      <c r="I690">
        <v>14.3</v>
      </c>
      <c r="J690" t="s">
        <v>144</v>
      </c>
      <c r="K690" t="s">
        <v>118</v>
      </c>
      <c r="L690" t="s">
        <v>126</v>
      </c>
      <c r="M690" t="s">
        <v>336</v>
      </c>
      <c r="N690" t="s">
        <v>171</v>
      </c>
      <c r="O690">
        <v>154</v>
      </c>
      <c r="Q690">
        <v>0</v>
      </c>
      <c r="R690">
        <v>0</v>
      </c>
      <c r="T690" t="s">
        <v>51</v>
      </c>
      <c r="U690" t="s">
        <v>52</v>
      </c>
      <c r="V690" t="s">
        <v>52</v>
      </c>
      <c r="W690" t="s">
        <v>39</v>
      </c>
      <c r="X690">
        <v>2024</v>
      </c>
      <c r="Y690" t="s">
        <v>82</v>
      </c>
      <c r="Z690" t="s">
        <v>83</v>
      </c>
    </row>
    <row r="691" spans="1:26">
      <c r="A691" t="s">
        <v>1571</v>
      </c>
      <c r="B691" t="s">
        <v>116</v>
      </c>
      <c r="C691" t="s">
        <v>28</v>
      </c>
      <c r="D691" t="s">
        <v>77</v>
      </c>
      <c r="E691" t="s">
        <v>216</v>
      </c>
      <c r="F691" t="s">
        <v>160</v>
      </c>
      <c r="G691" t="s">
        <v>58</v>
      </c>
      <c r="H691">
        <v>1.6</v>
      </c>
      <c r="I691">
        <v>12</v>
      </c>
      <c r="J691" t="s">
        <v>96</v>
      </c>
      <c r="K691" t="s">
        <v>1572</v>
      </c>
      <c r="L691" t="s">
        <v>60</v>
      </c>
      <c r="M691" t="s">
        <v>1573</v>
      </c>
      <c r="N691" t="s">
        <v>37</v>
      </c>
      <c r="O691">
        <v>153</v>
      </c>
      <c r="Q691">
        <v>0</v>
      </c>
      <c r="R691">
        <v>0</v>
      </c>
      <c r="T691" t="s">
        <v>136</v>
      </c>
      <c r="U691" t="s">
        <v>52</v>
      </c>
      <c r="V691" t="s">
        <v>39</v>
      </c>
      <c r="W691" t="s">
        <v>52</v>
      </c>
      <c r="X691">
        <v>2023</v>
      </c>
      <c r="Y691" t="s">
        <v>114</v>
      </c>
      <c r="Z691" t="s">
        <v>41</v>
      </c>
    </row>
    <row r="692" spans="1:26">
      <c r="A692" t="s">
        <v>1574</v>
      </c>
      <c r="B692" t="s">
        <v>43</v>
      </c>
      <c r="C692" t="s">
        <v>44</v>
      </c>
      <c r="D692" t="s">
        <v>77</v>
      </c>
      <c r="E692" t="s">
        <v>216</v>
      </c>
      <c r="F692" t="s">
        <v>95</v>
      </c>
      <c r="G692" t="s">
        <v>58</v>
      </c>
      <c r="H692">
        <v>3.8</v>
      </c>
      <c r="I692">
        <v>6.9</v>
      </c>
      <c r="J692" t="s">
        <v>33</v>
      </c>
      <c r="K692" t="s">
        <v>678</v>
      </c>
      <c r="L692" t="s">
        <v>98</v>
      </c>
      <c r="M692" t="s">
        <v>1575</v>
      </c>
      <c r="N692" t="s">
        <v>61</v>
      </c>
      <c r="O692">
        <v>45</v>
      </c>
      <c r="Q692">
        <v>0</v>
      </c>
      <c r="R692">
        <v>0</v>
      </c>
      <c r="T692" t="s">
        <v>62</v>
      </c>
      <c r="U692" t="s">
        <v>39</v>
      </c>
      <c r="V692" t="s">
        <v>39</v>
      </c>
      <c r="W692" t="s">
        <v>52</v>
      </c>
      <c r="X692">
        <v>2023</v>
      </c>
      <c r="Y692" t="s">
        <v>82</v>
      </c>
      <c r="Z692" t="s">
        <v>83</v>
      </c>
    </row>
    <row r="693" spans="1:26">
      <c r="A693" t="s">
        <v>1576</v>
      </c>
      <c r="B693" t="s">
        <v>66</v>
      </c>
      <c r="C693" t="s">
        <v>44</v>
      </c>
      <c r="D693" t="s">
        <v>77</v>
      </c>
      <c r="E693" t="s">
        <v>260</v>
      </c>
      <c r="F693" t="s">
        <v>149</v>
      </c>
      <c r="G693" t="s">
        <v>58</v>
      </c>
      <c r="H693">
        <v>8.4</v>
      </c>
      <c r="I693">
        <v>32</v>
      </c>
      <c r="J693" t="s">
        <v>96</v>
      </c>
      <c r="K693" t="s">
        <v>603</v>
      </c>
      <c r="L693" t="s">
        <v>35</v>
      </c>
      <c r="M693" t="s">
        <v>1577</v>
      </c>
      <c r="N693" t="s">
        <v>100</v>
      </c>
      <c r="O693">
        <v>121</v>
      </c>
      <c r="Q693">
        <v>0</v>
      </c>
      <c r="R693">
        <v>0</v>
      </c>
      <c r="T693" t="s">
        <v>136</v>
      </c>
      <c r="U693" t="s">
        <v>39</v>
      </c>
      <c r="V693" t="s">
        <v>52</v>
      </c>
      <c r="W693" t="s">
        <v>52</v>
      </c>
      <c r="X693">
        <v>2022</v>
      </c>
      <c r="Y693" t="s">
        <v>40</v>
      </c>
      <c r="Z693" t="s">
        <v>41</v>
      </c>
    </row>
    <row r="694" spans="1:26">
      <c r="A694" t="s">
        <v>1578</v>
      </c>
      <c r="B694" t="s">
        <v>93</v>
      </c>
      <c r="C694" t="s">
        <v>121</v>
      </c>
      <c r="D694" t="s">
        <v>85</v>
      </c>
      <c r="E694" t="s">
        <v>402</v>
      </c>
      <c r="F694" t="s">
        <v>31</v>
      </c>
      <c r="G694" t="s">
        <v>58</v>
      </c>
      <c r="H694">
        <v>7.2</v>
      </c>
      <c r="I694">
        <v>18.899999999999999</v>
      </c>
      <c r="J694" t="s">
        <v>33</v>
      </c>
      <c r="K694" t="s">
        <v>812</v>
      </c>
      <c r="L694" t="s">
        <v>140</v>
      </c>
      <c r="M694" t="s">
        <v>1579</v>
      </c>
      <c r="N694" t="s">
        <v>100</v>
      </c>
      <c r="O694">
        <v>173</v>
      </c>
      <c r="Q694">
        <v>0</v>
      </c>
      <c r="R694">
        <v>0</v>
      </c>
      <c r="T694" t="s">
        <v>81</v>
      </c>
      <c r="U694" t="s">
        <v>39</v>
      </c>
      <c r="V694" t="s">
        <v>52</v>
      </c>
      <c r="W694" t="s">
        <v>52</v>
      </c>
      <c r="X694">
        <v>2023</v>
      </c>
      <c r="Y694" t="s">
        <v>211</v>
      </c>
      <c r="Z694" t="s">
        <v>41</v>
      </c>
    </row>
    <row r="695" spans="1:26">
      <c r="A695" t="s">
        <v>1580</v>
      </c>
      <c r="B695" t="s">
        <v>43</v>
      </c>
      <c r="C695" t="s">
        <v>121</v>
      </c>
      <c r="D695" t="s">
        <v>122</v>
      </c>
      <c r="E695" t="s">
        <v>202</v>
      </c>
      <c r="F695" t="s">
        <v>124</v>
      </c>
      <c r="G695" t="s">
        <v>58</v>
      </c>
      <c r="H695">
        <v>11</v>
      </c>
      <c r="I695">
        <v>22.8</v>
      </c>
      <c r="J695" t="s">
        <v>33</v>
      </c>
      <c r="K695" t="s">
        <v>1278</v>
      </c>
      <c r="L695" t="s">
        <v>60</v>
      </c>
      <c r="M695" t="s">
        <v>1498</v>
      </c>
      <c r="N695" t="s">
        <v>100</v>
      </c>
      <c r="O695">
        <v>157</v>
      </c>
      <c r="Q695">
        <v>0</v>
      </c>
      <c r="R695">
        <v>0</v>
      </c>
      <c r="T695" t="s">
        <v>136</v>
      </c>
      <c r="U695" t="s">
        <v>39</v>
      </c>
      <c r="V695" t="s">
        <v>52</v>
      </c>
      <c r="W695" t="s">
        <v>52</v>
      </c>
      <c r="X695">
        <v>2022</v>
      </c>
      <c r="Y695" t="s">
        <v>106</v>
      </c>
      <c r="Z695" t="s">
        <v>83</v>
      </c>
    </row>
    <row r="696" spans="1:26">
      <c r="A696" t="s">
        <v>1581</v>
      </c>
      <c r="B696" t="s">
        <v>116</v>
      </c>
      <c r="C696" t="s">
        <v>173</v>
      </c>
      <c r="D696" t="s">
        <v>77</v>
      </c>
      <c r="E696" t="s">
        <v>94</v>
      </c>
      <c r="F696" t="s">
        <v>57</v>
      </c>
      <c r="G696" t="s">
        <v>58</v>
      </c>
      <c r="H696">
        <v>4.7</v>
      </c>
      <c r="I696">
        <v>28.8</v>
      </c>
      <c r="J696" t="s">
        <v>33</v>
      </c>
      <c r="K696" t="s">
        <v>1582</v>
      </c>
      <c r="L696" t="s">
        <v>126</v>
      </c>
      <c r="M696" t="s">
        <v>1025</v>
      </c>
      <c r="N696" t="s">
        <v>61</v>
      </c>
      <c r="O696">
        <v>73</v>
      </c>
      <c r="Q696">
        <v>0</v>
      </c>
      <c r="R696">
        <v>0</v>
      </c>
      <c r="T696" t="s">
        <v>62</v>
      </c>
      <c r="U696" t="s">
        <v>39</v>
      </c>
      <c r="V696" t="s">
        <v>52</v>
      </c>
      <c r="W696" t="s">
        <v>39</v>
      </c>
      <c r="X696">
        <v>2022</v>
      </c>
      <c r="Y696" t="s">
        <v>128</v>
      </c>
      <c r="Z696" t="s">
        <v>64</v>
      </c>
    </row>
    <row r="697" spans="1:26">
      <c r="A697" t="s">
        <v>1583</v>
      </c>
      <c r="B697" t="s">
        <v>108</v>
      </c>
      <c r="C697" t="s">
        <v>76</v>
      </c>
      <c r="D697" t="s">
        <v>122</v>
      </c>
      <c r="E697" t="s">
        <v>123</v>
      </c>
      <c r="F697" t="s">
        <v>149</v>
      </c>
      <c r="G697" t="s">
        <v>32</v>
      </c>
      <c r="H697">
        <v>6.9</v>
      </c>
      <c r="I697">
        <v>13.7</v>
      </c>
      <c r="J697" t="s">
        <v>144</v>
      </c>
      <c r="K697" t="s">
        <v>302</v>
      </c>
      <c r="L697" t="s">
        <v>35</v>
      </c>
      <c r="M697" t="s">
        <v>1075</v>
      </c>
      <c r="N697" t="s">
        <v>71</v>
      </c>
      <c r="O697">
        <v>4</v>
      </c>
      <c r="P697" t="s">
        <v>72</v>
      </c>
      <c r="Q697">
        <v>1806</v>
      </c>
      <c r="R697">
        <v>0</v>
      </c>
      <c r="S697" t="s">
        <v>90</v>
      </c>
      <c r="T697" t="s">
        <v>51</v>
      </c>
      <c r="U697" t="s">
        <v>39</v>
      </c>
      <c r="V697" t="s">
        <v>52</v>
      </c>
      <c r="W697" t="s">
        <v>52</v>
      </c>
      <c r="X697">
        <v>2024</v>
      </c>
      <c r="Y697" t="s">
        <v>74</v>
      </c>
      <c r="Z697" t="s">
        <v>54</v>
      </c>
    </row>
    <row r="698" spans="1:26">
      <c r="A698" t="s">
        <v>1584</v>
      </c>
      <c r="B698" t="s">
        <v>108</v>
      </c>
      <c r="C698" t="s">
        <v>44</v>
      </c>
      <c r="D698" t="s">
        <v>29</v>
      </c>
      <c r="E698" t="s">
        <v>56</v>
      </c>
      <c r="F698" t="s">
        <v>95</v>
      </c>
      <c r="G698" t="s">
        <v>58</v>
      </c>
      <c r="H698">
        <v>1.4</v>
      </c>
      <c r="I698">
        <v>6.7</v>
      </c>
      <c r="J698" t="s">
        <v>33</v>
      </c>
      <c r="K698" t="s">
        <v>1283</v>
      </c>
      <c r="L698" t="s">
        <v>60</v>
      </c>
      <c r="M698" t="s">
        <v>1064</v>
      </c>
      <c r="N698" t="s">
        <v>171</v>
      </c>
      <c r="O698">
        <v>86</v>
      </c>
      <c r="Q698">
        <v>0</v>
      </c>
      <c r="R698">
        <v>0</v>
      </c>
      <c r="T698" t="s">
        <v>62</v>
      </c>
      <c r="U698" t="s">
        <v>39</v>
      </c>
      <c r="V698" t="s">
        <v>39</v>
      </c>
      <c r="W698" t="s">
        <v>52</v>
      </c>
      <c r="X698">
        <v>2024</v>
      </c>
      <c r="Y698" t="s">
        <v>211</v>
      </c>
      <c r="Z698" t="s">
        <v>41</v>
      </c>
    </row>
    <row r="699" spans="1:26">
      <c r="A699" t="s">
        <v>1585</v>
      </c>
      <c r="B699" t="s">
        <v>27</v>
      </c>
      <c r="C699" t="s">
        <v>67</v>
      </c>
      <c r="D699" t="s">
        <v>85</v>
      </c>
      <c r="E699" t="s">
        <v>174</v>
      </c>
      <c r="F699" t="s">
        <v>160</v>
      </c>
      <c r="G699" t="s">
        <v>32</v>
      </c>
      <c r="H699">
        <v>5.9</v>
      </c>
      <c r="I699">
        <v>13.2</v>
      </c>
      <c r="J699" t="s">
        <v>33</v>
      </c>
      <c r="K699" t="s">
        <v>1586</v>
      </c>
      <c r="L699" t="s">
        <v>98</v>
      </c>
      <c r="M699" t="s">
        <v>534</v>
      </c>
      <c r="N699" t="s">
        <v>71</v>
      </c>
      <c r="O699">
        <v>73</v>
      </c>
      <c r="P699" t="s">
        <v>72</v>
      </c>
      <c r="Q699">
        <v>997</v>
      </c>
      <c r="R699">
        <v>5000</v>
      </c>
      <c r="S699" t="s">
        <v>73</v>
      </c>
      <c r="T699" t="s">
        <v>62</v>
      </c>
      <c r="U699" t="s">
        <v>39</v>
      </c>
      <c r="V699" t="s">
        <v>39</v>
      </c>
      <c r="W699" t="s">
        <v>52</v>
      </c>
      <c r="X699">
        <v>2024</v>
      </c>
      <c r="Y699" t="s">
        <v>211</v>
      </c>
      <c r="Z699" t="s">
        <v>41</v>
      </c>
    </row>
    <row r="700" spans="1:26">
      <c r="A700" t="s">
        <v>1587</v>
      </c>
      <c r="B700" t="s">
        <v>116</v>
      </c>
      <c r="C700" t="s">
        <v>67</v>
      </c>
      <c r="D700" t="s">
        <v>122</v>
      </c>
      <c r="E700" t="s">
        <v>130</v>
      </c>
      <c r="F700" t="s">
        <v>238</v>
      </c>
      <c r="G700" t="s">
        <v>32</v>
      </c>
      <c r="H700">
        <v>3.6</v>
      </c>
      <c r="I700">
        <v>1.7</v>
      </c>
      <c r="J700" t="s">
        <v>33</v>
      </c>
      <c r="K700" t="s">
        <v>1489</v>
      </c>
      <c r="L700" t="s">
        <v>48</v>
      </c>
      <c r="M700" t="s">
        <v>739</v>
      </c>
      <c r="N700" t="s">
        <v>171</v>
      </c>
      <c r="O700">
        <v>115</v>
      </c>
      <c r="Q700">
        <v>0</v>
      </c>
      <c r="R700">
        <v>0</v>
      </c>
      <c r="T700" t="s">
        <v>38</v>
      </c>
      <c r="U700" t="s">
        <v>39</v>
      </c>
      <c r="V700" t="s">
        <v>39</v>
      </c>
      <c r="W700" t="s">
        <v>52</v>
      </c>
      <c r="X700">
        <v>2022</v>
      </c>
      <c r="Y700" t="s">
        <v>82</v>
      </c>
      <c r="Z700" t="s">
        <v>83</v>
      </c>
    </row>
    <row r="701" spans="1:26">
      <c r="A701" t="s">
        <v>1588</v>
      </c>
      <c r="B701" t="s">
        <v>66</v>
      </c>
      <c r="C701" t="s">
        <v>121</v>
      </c>
      <c r="D701" t="s">
        <v>77</v>
      </c>
      <c r="E701" t="s">
        <v>94</v>
      </c>
      <c r="F701" t="s">
        <v>238</v>
      </c>
      <c r="G701" t="s">
        <v>58</v>
      </c>
      <c r="H701">
        <v>11</v>
      </c>
      <c r="I701">
        <v>31.7</v>
      </c>
      <c r="J701" t="s">
        <v>33</v>
      </c>
      <c r="K701" t="s">
        <v>1411</v>
      </c>
      <c r="L701" t="s">
        <v>60</v>
      </c>
      <c r="M701" t="s">
        <v>1589</v>
      </c>
      <c r="N701" t="s">
        <v>50</v>
      </c>
      <c r="O701">
        <v>89</v>
      </c>
      <c r="Q701">
        <v>0</v>
      </c>
      <c r="R701">
        <v>0</v>
      </c>
      <c r="T701" t="s">
        <v>38</v>
      </c>
      <c r="U701" t="s">
        <v>39</v>
      </c>
      <c r="V701" t="s">
        <v>52</v>
      </c>
      <c r="W701" t="s">
        <v>39</v>
      </c>
      <c r="X701">
        <v>2023</v>
      </c>
      <c r="Y701" t="s">
        <v>40</v>
      </c>
      <c r="Z701" t="s">
        <v>41</v>
      </c>
    </row>
    <row r="702" spans="1:26">
      <c r="A702" t="s">
        <v>1590</v>
      </c>
      <c r="B702" t="s">
        <v>66</v>
      </c>
      <c r="C702" t="s">
        <v>173</v>
      </c>
      <c r="D702" t="s">
        <v>85</v>
      </c>
      <c r="E702" t="s">
        <v>138</v>
      </c>
      <c r="F702" t="s">
        <v>95</v>
      </c>
      <c r="G702" t="s">
        <v>32</v>
      </c>
      <c r="H702">
        <v>5.0999999999999996</v>
      </c>
      <c r="I702">
        <v>1.3</v>
      </c>
      <c r="J702" t="s">
        <v>33</v>
      </c>
      <c r="K702" t="s">
        <v>1591</v>
      </c>
      <c r="L702" t="s">
        <v>48</v>
      </c>
      <c r="M702" t="s">
        <v>1540</v>
      </c>
      <c r="N702" t="s">
        <v>61</v>
      </c>
      <c r="O702">
        <v>87</v>
      </c>
      <c r="Q702">
        <v>0</v>
      </c>
      <c r="R702">
        <v>0</v>
      </c>
      <c r="T702" t="s">
        <v>62</v>
      </c>
      <c r="U702" t="s">
        <v>39</v>
      </c>
      <c r="V702" t="s">
        <v>52</v>
      </c>
      <c r="W702" t="s">
        <v>52</v>
      </c>
      <c r="X702">
        <v>2022</v>
      </c>
      <c r="Y702" t="s">
        <v>153</v>
      </c>
      <c r="Z702" t="s">
        <v>54</v>
      </c>
    </row>
    <row r="703" spans="1:26">
      <c r="A703" t="s">
        <v>1592</v>
      </c>
      <c r="B703" t="s">
        <v>43</v>
      </c>
      <c r="C703" t="s">
        <v>173</v>
      </c>
      <c r="D703" t="s">
        <v>77</v>
      </c>
      <c r="E703" t="s">
        <v>260</v>
      </c>
      <c r="F703" t="s">
        <v>109</v>
      </c>
      <c r="G703" t="s">
        <v>58</v>
      </c>
      <c r="H703">
        <v>3.4</v>
      </c>
      <c r="I703">
        <v>24.3</v>
      </c>
      <c r="J703" t="s">
        <v>20</v>
      </c>
      <c r="K703" t="s">
        <v>276</v>
      </c>
      <c r="L703" t="s">
        <v>126</v>
      </c>
      <c r="M703" t="s">
        <v>534</v>
      </c>
      <c r="N703" t="s">
        <v>100</v>
      </c>
      <c r="O703">
        <v>56</v>
      </c>
      <c r="Q703">
        <v>0</v>
      </c>
      <c r="R703">
        <v>0</v>
      </c>
      <c r="T703" t="s">
        <v>81</v>
      </c>
      <c r="U703" t="s">
        <v>39</v>
      </c>
      <c r="V703" t="s">
        <v>52</v>
      </c>
      <c r="W703" t="s">
        <v>39</v>
      </c>
      <c r="X703">
        <v>2024</v>
      </c>
      <c r="Y703" t="s">
        <v>211</v>
      </c>
      <c r="Z703" t="s">
        <v>41</v>
      </c>
    </row>
    <row r="704" spans="1:26">
      <c r="A704" t="s">
        <v>1593</v>
      </c>
      <c r="B704" t="s">
        <v>66</v>
      </c>
      <c r="C704" t="s">
        <v>67</v>
      </c>
      <c r="D704" t="s">
        <v>85</v>
      </c>
      <c r="E704" t="s">
        <v>208</v>
      </c>
      <c r="F704" t="s">
        <v>95</v>
      </c>
      <c r="G704" t="s">
        <v>58</v>
      </c>
      <c r="H704">
        <v>5.6</v>
      </c>
      <c r="I704">
        <v>27.8</v>
      </c>
      <c r="J704" t="s">
        <v>33</v>
      </c>
      <c r="K704" t="s">
        <v>341</v>
      </c>
      <c r="L704" t="s">
        <v>35</v>
      </c>
      <c r="M704" t="s">
        <v>1466</v>
      </c>
      <c r="N704" t="s">
        <v>71</v>
      </c>
      <c r="O704">
        <v>107</v>
      </c>
      <c r="P704" t="s">
        <v>72</v>
      </c>
      <c r="Q704">
        <v>1625</v>
      </c>
      <c r="R704">
        <v>0</v>
      </c>
      <c r="S704" t="s">
        <v>113</v>
      </c>
      <c r="T704" t="s">
        <v>38</v>
      </c>
      <c r="U704" t="s">
        <v>39</v>
      </c>
      <c r="V704" t="s">
        <v>52</v>
      </c>
      <c r="W704" t="s">
        <v>52</v>
      </c>
      <c r="X704">
        <v>2022</v>
      </c>
      <c r="Y704" t="s">
        <v>82</v>
      </c>
      <c r="Z704" t="s">
        <v>83</v>
      </c>
    </row>
    <row r="705" spans="1:26">
      <c r="A705" t="s">
        <v>1594</v>
      </c>
      <c r="B705" t="s">
        <v>93</v>
      </c>
      <c r="C705" t="s">
        <v>67</v>
      </c>
      <c r="D705" t="s">
        <v>77</v>
      </c>
      <c r="E705" t="s">
        <v>94</v>
      </c>
      <c r="F705" t="s">
        <v>46</v>
      </c>
      <c r="G705" t="s">
        <v>32</v>
      </c>
      <c r="H705">
        <v>5.8</v>
      </c>
      <c r="I705">
        <v>19.7</v>
      </c>
      <c r="J705" t="s">
        <v>96</v>
      </c>
      <c r="K705" t="s">
        <v>806</v>
      </c>
      <c r="L705" t="s">
        <v>126</v>
      </c>
      <c r="M705" t="s">
        <v>1192</v>
      </c>
      <c r="N705" t="s">
        <v>100</v>
      </c>
      <c r="O705">
        <v>139</v>
      </c>
      <c r="Q705">
        <v>0</v>
      </c>
      <c r="R705">
        <v>0</v>
      </c>
      <c r="T705" t="s">
        <v>81</v>
      </c>
      <c r="U705" t="s">
        <v>52</v>
      </c>
      <c r="V705" t="s">
        <v>52</v>
      </c>
      <c r="W705" t="s">
        <v>52</v>
      </c>
      <c r="X705">
        <v>2023</v>
      </c>
      <c r="Y705" t="s">
        <v>128</v>
      </c>
      <c r="Z705" t="s">
        <v>64</v>
      </c>
    </row>
    <row r="706" spans="1:26">
      <c r="A706" t="s">
        <v>1595</v>
      </c>
      <c r="B706" t="s">
        <v>116</v>
      </c>
      <c r="C706" t="s">
        <v>121</v>
      </c>
      <c r="D706" t="s">
        <v>77</v>
      </c>
      <c r="E706" t="s">
        <v>216</v>
      </c>
      <c r="F706" t="s">
        <v>109</v>
      </c>
      <c r="G706" t="s">
        <v>32</v>
      </c>
      <c r="H706">
        <v>0.5</v>
      </c>
      <c r="I706">
        <v>29.9</v>
      </c>
      <c r="J706" t="s">
        <v>33</v>
      </c>
      <c r="K706" t="s">
        <v>1596</v>
      </c>
      <c r="L706" t="s">
        <v>48</v>
      </c>
      <c r="M706" t="s">
        <v>1597</v>
      </c>
      <c r="N706" t="s">
        <v>100</v>
      </c>
      <c r="O706">
        <v>66</v>
      </c>
      <c r="Q706">
        <v>0</v>
      </c>
      <c r="R706">
        <v>0</v>
      </c>
      <c r="T706" t="s">
        <v>62</v>
      </c>
      <c r="U706" t="s">
        <v>39</v>
      </c>
      <c r="V706" t="s">
        <v>52</v>
      </c>
      <c r="W706" t="s">
        <v>52</v>
      </c>
      <c r="X706">
        <v>2024</v>
      </c>
      <c r="Y706" t="s">
        <v>312</v>
      </c>
      <c r="Z706" t="s">
        <v>83</v>
      </c>
    </row>
    <row r="707" spans="1:26">
      <c r="A707" t="s">
        <v>1598</v>
      </c>
      <c r="B707" t="s">
        <v>108</v>
      </c>
      <c r="C707" t="s">
        <v>76</v>
      </c>
      <c r="D707" t="s">
        <v>122</v>
      </c>
      <c r="E707" t="s">
        <v>130</v>
      </c>
      <c r="F707" t="s">
        <v>160</v>
      </c>
      <c r="G707" t="s">
        <v>32</v>
      </c>
      <c r="H707">
        <v>7.5</v>
      </c>
      <c r="I707">
        <v>20</v>
      </c>
      <c r="J707" t="s">
        <v>33</v>
      </c>
      <c r="K707" t="s">
        <v>209</v>
      </c>
      <c r="L707" t="s">
        <v>126</v>
      </c>
      <c r="M707" t="s">
        <v>439</v>
      </c>
      <c r="N707" t="s">
        <v>71</v>
      </c>
      <c r="O707">
        <v>8</v>
      </c>
      <c r="P707" t="s">
        <v>105</v>
      </c>
      <c r="Q707">
        <v>2895</v>
      </c>
      <c r="R707">
        <v>0</v>
      </c>
      <c r="S707" t="s">
        <v>113</v>
      </c>
      <c r="T707" t="s">
        <v>136</v>
      </c>
      <c r="U707" t="s">
        <v>39</v>
      </c>
      <c r="V707" t="s">
        <v>39</v>
      </c>
      <c r="W707" t="s">
        <v>52</v>
      </c>
      <c r="X707">
        <v>2024</v>
      </c>
      <c r="Y707" t="s">
        <v>211</v>
      </c>
      <c r="Z707" t="s">
        <v>41</v>
      </c>
    </row>
    <row r="708" spans="1:26">
      <c r="A708" t="s">
        <v>1599</v>
      </c>
      <c r="B708" t="s">
        <v>66</v>
      </c>
      <c r="C708" t="s">
        <v>44</v>
      </c>
      <c r="D708" t="s">
        <v>77</v>
      </c>
      <c r="E708" t="s">
        <v>363</v>
      </c>
      <c r="F708" t="s">
        <v>109</v>
      </c>
      <c r="G708" t="s">
        <v>32</v>
      </c>
      <c r="H708">
        <v>2.2000000000000002</v>
      </c>
      <c r="I708">
        <v>6</v>
      </c>
      <c r="J708" t="s">
        <v>33</v>
      </c>
      <c r="K708" t="s">
        <v>1141</v>
      </c>
      <c r="L708" t="s">
        <v>48</v>
      </c>
      <c r="M708" t="s">
        <v>1600</v>
      </c>
      <c r="N708" t="s">
        <v>61</v>
      </c>
      <c r="O708">
        <v>147</v>
      </c>
      <c r="Q708">
        <v>0</v>
      </c>
      <c r="R708">
        <v>0</v>
      </c>
      <c r="T708" t="s">
        <v>136</v>
      </c>
      <c r="U708" t="s">
        <v>39</v>
      </c>
      <c r="V708" t="s">
        <v>52</v>
      </c>
      <c r="W708" t="s">
        <v>52</v>
      </c>
      <c r="X708">
        <v>2022</v>
      </c>
      <c r="Y708" t="s">
        <v>211</v>
      </c>
      <c r="Z708" t="s">
        <v>41</v>
      </c>
    </row>
    <row r="709" spans="1:26">
      <c r="A709" t="s">
        <v>1601</v>
      </c>
      <c r="B709" t="s">
        <v>108</v>
      </c>
      <c r="C709" t="s">
        <v>173</v>
      </c>
      <c r="D709" t="s">
        <v>29</v>
      </c>
      <c r="E709" t="s">
        <v>94</v>
      </c>
      <c r="F709" t="s">
        <v>149</v>
      </c>
      <c r="G709" t="s">
        <v>58</v>
      </c>
      <c r="H709">
        <v>2.8</v>
      </c>
      <c r="I709">
        <v>14.4</v>
      </c>
      <c r="J709" t="s">
        <v>96</v>
      </c>
      <c r="K709" t="s">
        <v>1602</v>
      </c>
      <c r="L709" t="s">
        <v>48</v>
      </c>
      <c r="M709" t="s">
        <v>1231</v>
      </c>
      <c r="N709" t="s">
        <v>100</v>
      </c>
      <c r="O709">
        <v>129</v>
      </c>
      <c r="Q709">
        <v>0</v>
      </c>
      <c r="R709">
        <v>0</v>
      </c>
      <c r="T709" t="s">
        <v>136</v>
      </c>
      <c r="U709" t="s">
        <v>39</v>
      </c>
      <c r="V709" t="s">
        <v>39</v>
      </c>
      <c r="W709" t="s">
        <v>52</v>
      </c>
      <c r="X709">
        <v>2023</v>
      </c>
      <c r="Y709" t="s">
        <v>91</v>
      </c>
      <c r="Z709" t="s">
        <v>64</v>
      </c>
    </row>
    <row r="710" spans="1:26">
      <c r="A710" t="s">
        <v>1603</v>
      </c>
      <c r="B710" t="s">
        <v>66</v>
      </c>
      <c r="C710" t="s">
        <v>76</v>
      </c>
      <c r="D710" t="s">
        <v>77</v>
      </c>
      <c r="E710" t="s">
        <v>216</v>
      </c>
      <c r="F710" t="s">
        <v>31</v>
      </c>
      <c r="G710" t="s">
        <v>58</v>
      </c>
      <c r="H710">
        <v>11.7</v>
      </c>
      <c r="I710">
        <v>14.7</v>
      </c>
      <c r="J710" t="s">
        <v>33</v>
      </c>
      <c r="K710" t="s">
        <v>204</v>
      </c>
      <c r="L710" t="s">
        <v>140</v>
      </c>
      <c r="M710" t="s">
        <v>1137</v>
      </c>
      <c r="N710" t="s">
        <v>100</v>
      </c>
      <c r="O710">
        <v>99</v>
      </c>
      <c r="Q710">
        <v>0</v>
      </c>
      <c r="R710">
        <v>0</v>
      </c>
      <c r="T710" t="s">
        <v>62</v>
      </c>
      <c r="U710" t="s">
        <v>39</v>
      </c>
      <c r="V710" t="s">
        <v>52</v>
      </c>
      <c r="W710" t="s">
        <v>52</v>
      </c>
      <c r="X710">
        <v>2022</v>
      </c>
      <c r="Y710" t="s">
        <v>40</v>
      </c>
      <c r="Z710" t="s">
        <v>41</v>
      </c>
    </row>
    <row r="711" spans="1:26">
      <c r="A711" t="s">
        <v>1604</v>
      </c>
      <c r="B711" t="s">
        <v>27</v>
      </c>
      <c r="C711" t="s">
        <v>44</v>
      </c>
      <c r="D711" t="s">
        <v>77</v>
      </c>
      <c r="E711" t="s">
        <v>260</v>
      </c>
      <c r="F711" t="s">
        <v>109</v>
      </c>
      <c r="G711" t="s">
        <v>58</v>
      </c>
      <c r="H711">
        <v>11.4</v>
      </c>
      <c r="I711">
        <v>1.3</v>
      </c>
      <c r="J711" t="s">
        <v>96</v>
      </c>
      <c r="K711" t="s">
        <v>637</v>
      </c>
      <c r="L711" t="s">
        <v>48</v>
      </c>
      <c r="M711" t="s">
        <v>1605</v>
      </c>
      <c r="N711" t="s">
        <v>50</v>
      </c>
      <c r="O711">
        <v>43</v>
      </c>
      <c r="Q711">
        <v>0</v>
      </c>
      <c r="R711">
        <v>0</v>
      </c>
      <c r="T711" t="s">
        <v>136</v>
      </c>
      <c r="U711" t="s">
        <v>39</v>
      </c>
      <c r="V711" t="s">
        <v>52</v>
      </c>
      <c r="W711" t="s">
        <v>52</v>
      </c>
      <c r="X711">
        <v>2023</v>
      </c>
      <c r="Y711" t="s">
        <v>53</v>
      </c>
      <c r="Z711" t="s">
        <v>54</v>
      </c>
    </row>
    <row r="712" spans="1:26">
      <c r="A712" t="s">
        <v>1606</v>
      </c>
      <c r="B712" t="s">
        <v>108</v>
      </c>
      <c r="C712" t="s">
        <v>121</v>
      </c>
      <c r="D712" t="s">
        <v>77</v>
      </c>
      <c r="E712" t="s">
        <v>78</v>
      </c>
      <c r="F712" t="s">
        <v>124</v>
      </c>
      <c r="G712" t="s">
        <v>32</v>
      </c>
      <c r="H712">
        <v>10.7</v>
      </c>
      <c r="I712">
        <v>7.6</v>
      </c>
      <c r="J712" t="s">
        <v>33</v>
      </c>
      <c r="K712" t="s">
        <v>984</v>
      </c>
      <c r="L712" t="s">
        <v>48</v>
      </c>
      <c r="M712" t="s">
        <v>817</v>
      </c>
      <c r="N712" t="s">
        <v>71</v>
      </c>
      <c r="O712">
        <v>83</v>
      </c>
      <c r="P712" t="s">
        <v>112</v>
      </c>
      <c r="Q712">
        <v>5400</v>
      </c>
      <c r="R712">
        <v>0</v>
      </c>
      <c r="S712" t="s">
        <v>73</v>
      </c>
      <c r="T712" t="s">
        <v>62</v>
      </c>
      <c r="U712" t="s">
        <v>39</v>
      </c>
      <c r="V712" t="s">
        <v>39</v>
      </c>
      <c r="W712" t="s">
        <v>52</v>
      </c>
      <c r="X712">
        <v>2023</v>
      </c>
      <c r="Y712" t="s">
        <v>82</v>
      </c>
      <c r="Z712" t="s">
        <v>83</v>
      </c>
    </row>
    <row r="713" spans="1:26">
      <c r="A713" t="s">
        <v>1607</v>
      </c>
      <c r="B713" t="s">
        <v>108</v>
      </c>
      <c r="C713" t="s">
        <v>28</v>
      </c>
      <c r="D713" t="s">
        <v>77</v>
      </c>
      <c r="E713" t="s">
        <v>143</v>
      </c>
      <c r="F713" t="s">
        <v>57</v>
      </c>
      <c r="G713" t="s">
        <v>32</v>
      </c>
      <c r="H713">
        <v>10.4</v>
      </c>
      <c r="I713">
        <v>34.799999999999997</v>
      </c>
      <c r="J713" t="s">
        <v>156</v>
      </c>
      <c r="K713" t="s">
        <v>1608</v>
      </c>
      <c r="L713" t="s">
        <v>140</v>
      </c>
      <c r="M713" t="s">
        <v>1609</v>
      </c>
      <c r="N713" t="s">
        <v>100</v>
      </c>
      <c r="O713">
        <v>9</v>
      </c>
      <c r="Q713">
        <v>0</v>
      </c>
      <c r="R713">
        <v>0</v>
      </c>
      <c r="T713" t="s">
        <v>38</v>
      </c>
      <c r="U713" t="s">
        <v>39</v>
      </c>
      <c r="V713" t="s">
        <v>52</v>
      </c>
      <c r="W713" t="s">
        <v>52</v>
      </c>
      <c r="X713">
        <v>2022</v>
      </c>
      <c r="Y713" t="s">
        <v>106</v>
      </c>
      <c r="Z713" t="s">
        <v>83</v>
      </c>
    </row>
    <row r="714" spans="1:26">
      <c r="A714" t="s">
        <v>1610</v>
      </c>
      <c r="B714" t="s">
        <v>66</v>
      </c>
      <c r="C714" t="s">
        <v>121</v>
      </c>
      <c r="D714" t="s">
        <v>77</v>
      </c>
      <c r="E714" t="s">
        <v>168</v>
      </c>
      <c r="F714" t="s">
        <v>57</v>
      </c>
      <c r="G714" t="s">
        <v>58</v>
      </c>
      <c r="H714">
        <v>4.9000000000000004</v>
      </c>
      <c r="I714">
        <v>32.5</v>
      </c>
      <c r="J714" t="s">
        <v>33</v>
      </c>
      <c r="K714" t="s">
        <v>321</v>
      </c>
      <c r="L714" t="s">
        <v>48</v>
      </c>
      <c r="M714" t="s">
        <v>689</v>
      </c>
      <c r="N714" t="s">
        <v>171</v>
      </c>
      <c r="O714">
        <v>11</v>
      </c>
      <c r="Q714">
        <v>0</v>
      </c>
      <c r="R714">
        <v>0</v>
      </c>
      <c r="T714" t="s">
        <v>51</v>
      </c>
      <c r="U714" t="s">
        <v>39</v>
      </c>
      <c r="V714" t="s">
        <v>52</v>
      </c>
      <c r="W714" t="s">
        <v>52</v>
      </c>
      <c r="X714">
        <v>2024</v>
      </c>
      <c r="Y714" t="s">
        <v>312</v>
      </c>
      <c r="Z714" t="s">
        <v>83</v>
      </c>
    </row>
    <row r="715" spans="1:26">
      <c r="A715" t="s">
        <v>1611</v>
      </c>
      <c r="B715" t="s">
        <v>66</v>
      </c>
      <c r="C715" t="s">
        <v>28</v>
      </c>
      <c r="D715" t="s">
        <v>122</v>
      </c>
      <c r="E715" t="s">
        <v>130</v>
      </c>
      <c r="F715" t="s">
        <v>149</v>
      </c>
      <c r="G715" t="s">
        <v>32</v>
      </c>
      <c r="H715">
        <v>2.6</v>
      </c>
      <c r="I715">
        <v>3.9</v>
      </c>
      <c r="J715" t="s">
        <v>96</v>
      </c>
      <c r="K715" t="s">
        <v>809</v>
      </c>
      <c r="L715" t="s">
        <v>48</v>
      </c>
      <c r="M715" t="s">
        <v>1191</v>
      </c>
      <c r="N715" t="s">
        <v>37</v>
      </c>
      <c r="O715">
        <v>37</v>
      </c>
      <c r="Q715">
        <v>0</v>
      </c>
      <c r="R715">
        <v>1000</v>
      </c>
      <c r="T715" t="s">
        <v>51</v>
      </c>
      <c r="U715" t="s">
        <v>39</v>
      </c>
      <c r="V715" t="s">
        <v>52</v>
      </c>
      <c r="W715" t="s">
        <v>52</v>
      </c>
      <c r="X715">
        <v>2023</v>
      </c>
      <c r="Y715" t="s">
        <v>128</v>
      </c>
      <c r="Z715" t="s">
        <v>64</v>
      </c>
    </row>
    <row r="716" spans="1:26">
      <c r="A716" t="s">
        <v>1612</v>
      </c>
      <c r="B716" t="s">
        <v>43</v>
      </c>
      <c r="C716" t="s">
        <v>173</v>
      </c>
      <c r="D716" t="s">
        <v>122</v>
      </c>
      <c r="E716" t="s">
        <v>130</v>
      </c>
      <c r="F716" t="s">
        <v>238</v>
      </c>
      <c r="G716" t="s">
        <v>58</v>
      </c>
      <c r="H716">
        <v>7.2</v>
      </c>
      <c r="I716">
        <v>26.8</v>
      </c>
      <c r="J716" t="s">
        <v>33</v>
      </c>
      <c r="K716" t="s">
        <v>1613</v>
      </c>
      <c r="L716" t="s">
        <v>140</v>
      </c>
      <c r="M716" t="s">
        <v>1614</v>
      </c>
      <c r="N716" t="s">
        <v>61</v>
      </c>
      <c r="O716">
        <v>146</v>
      </c>
      <c r="Q716">
        <v>0</v>
      </c>
      <c r="R716">
        <v>0</v>
      </c>
      <c r="T716" t="s">
        <v>51</v>
      </c>
      <c r="U716" t="s">
        <v>39</v>
      </c>
      <c r="V716" t="s">
        <v>52</v>
      </c>
      <c r="W716" t="s">
        <v>52</v>
      </c>
      <c r="X716">
        <v>2023</v>
      </c>
      <c r="Y716" t="s">
        <v>153</v>
      </c>
      <c r="Z716" t="s">
        <v>54</v>
      </c>
    </row>
    <row r="717" spans="1:26">
      <c r="A717" t="s">
        <v>1615</v>
      </c>
      <c r="B717" t="s">
        <v>43</v>
      </c>
      <c r="C717" t="s">
        <v>164</v>
      </c>
      <c r="D717" t="s">
        <v>77</v>
      </c>
      <c r="E717" t="s">
        <v>168</v>
      </c>
      <c r="F717" t="s">
        <v>31</v>
      </c>
      <c r="G717" t="s">
        <v>32</v>
      </c>
      <c r="H717">
        <v>1.9</v>
      </c>
      <c r="I717">
        <v>28.3</v>
      </c>
      <c r="J717" t="s">
        <v>96</v>
      </c>
      <c r="K717" t="s">
        <v>504</v>
      </c>
      <c r="L717" t="s">
        <v>126</v>
      </c>
      <c r="M717" t="s">
        <v>1616</v>
      </c>
      <c r="N717" t="s">
        <v>61</v>
      </c>
      <c r="O717">
        <v>113</v>
      </c>
      <c r="Q717">
        <v>0</v>
      </c>
      <c r="R717">
        <v>0</v>
      </c>
      <c r="T717" t="s">
        <v>51</v>
      </c>
      <c r="U717" t="s">
        <v>39</v>
      </c>
      <c r="V717" t="s">
        <v>39</v>
      </c>
      <c r="W717" t="s">
        <v>52</v>
      </c>
      <c r="X717">
        <v>2024</v>
      </c>
      <c r="Y717" t="s">
        <v>211</v>
      </c>
      <c r="Z717" t="s">
        <v>41</v>
      </c>
    </row>
    <row r="718" spans="1:26">
      <c r="A718" t="s">
        <v>1617</v>
      </c>
      <c r="B718" t="s">
        <v>27</v>
      </c>
      <c r="C718" t="s">
        <v>44</v>
      </c>
      <c r="D718" t="s">
        <v>77</v>
      </c>
      <c r="E718" t="s">
        <v>168</v>
      </c>
      <c r="F718" t="s">
        <v>149</v>
      </c>
      <c r="G718" t="s">
        <v>58</v>
      </c>
      <c r="H718">
        <v>8.6999999999999993</v>
      </c>
      <c r="I718">
        <v>26.2</v>
      </c>
      <c r="J718" t="s">
        <v>33</v>
      </c>
      <c r="K718" t="s">
        <v>1096</v>
      </c>
      <c r="L718" t="s">
        <v>98</v>
      </c>
      <c r="M718" t="s">
        <v>176</v>
      </c>
      <c r="N718" t="s">
        <v>71</v>
      </c>
      <c r="O718">
        <v>150</v>
      </c>
      <c r="P718" t="s">
        <v>89</v>
      </c>
      <c r="Q718">
        <v>5125</v>
      </c>
      <c r="R718">
        <v>0</v>
      </c>
      <c r="S718" t="s">
        <v>152</v>
      </c>
      <c r="T718" t="s">
        <v>62</v>
      </c>
      <c r="U718" t="s">
        <v>39</v>
      </c>
      <c r="V718" t="s">
        <v>52</v>
      </c>
      <c r="W718" t="s">
        <v>52</v>
      </c>
      <c r="X718">
        <v>2022</v>
      </c>
      <c r="Y718" t="s">
        <v>91</v>
      </c>
      <c r="Z718" t="s">
        <v>64</v>
      </c>
    </row>
    <row r="719" spans="1:26">
      <c r="A719" t="s">
        <v>1618</v>
      </c>
      <c r="B719" t="s">
        <v>93</v>
      </c>
      <c r="C719" t="s">
        <v>102</v>
      </c>
      <c r="D719" t="s">
        <v>77</v>
      </c>
      <c r="E719" t="s">
        <v>78</v>
      </c>
      <c r="F719" t="s">
        <v>160</v>
      </c>
      <c r="G719" t="s">
        <v>58</v>
      </c>
      <c r="H719">
        <v>0.3</v>
      </c>
      <c r="I719">
        <v>33.200000000000003</v>
      </c>
      <c r="J719" t="s">
        <v>33</v>
      </c>
      <c r="K719" t="s">
        <v>1619</v>
      </c>
      <c r="L719" t="s">
        <v>48</v>
      </c>
      <c r="M719" t="s">
        <v>1620</v>
      </c>
      <c r="N719" t="s">
        <v>100</v>
      </c>
      <c r="O719">
        <v>124</v>
      </c>
      <c r="Q719">
        <v>0</v>
      </c>
      <c r="R719">
        <v>0</v>
      </c>
      <c r="T719" t="s">
        <v>51</v>
      </c>
      <c r="U719" t="s">
        <v>39</v>
      </c>
      <c r="V719" t="s">
        <v>52</v>
      </c>
      <c r="W719" t="s">
        <v>52</v>
      </c>
      <c r="X719">
        <v>2022</v>
      </c>
      <c r="Y719" t="s">
        <v>63</v>
      </c>
      <c r="Z719" t="s">
        <v>64</v>
      </c>
    </row>
    <row r="720" spans="1:26">
      <c r="A720" t="s">
        <v>1621</v>
      </c>
      <c r="B720" t="s">
        <v>116</v>
      </c>
      <c r="C720" t="s">
        <v>44</v>
      </c>
      <c r="D720" t="s">
        <v>122</v>
      </c>
      <c r="E720" t="s">
        <v>130</v>
      </c>
      <c r="F720" t="s">
        <v>95</v>
      </c>
      <c r="G720" t="s">
        <v>32</v>
      </c>
      <c r="H720">
        <v>8.9</v>
      </c>
      <c r="I720">
        <v>13</v>
      </c>
      <c r="J720" t="s">
        <v>20</v>
      </c>
      <c r="K720" t="s">
        <v>1622</v>
      </c>
      <c r="L720" t="s">
        <v>35</v>
      </c>
      <c r="M720" t="s">
        <v>1616</v>
      </c>
      <c r="N720" t="s">
        <v>71</v>
      </c>
      <c r="O720">
        <v>146</v>
      </c>
      <c r="P720" t="s">
        <v>72</v>
      </c>
      <c r="Q720">
        <v>2646</v>
      </c>
      <c r="R720">
        <v>0</v>
      </c>
      <c r="S720" t="s">
        <v>73</v>
      </c>
      <c r="T720" t="s">
        <v>38</v>
      </c>
      <c r="U720" t="s">
        <v>52</v>
      </c>
      <c r="V720" t="s">
        <v>52</v>
      </c>
      <c r="W720" t="s">
        <v>52</v>
      </c>
      <c r="X720">
        <v>2024</v>
      </c>
      <c r="Y720" t="s">
        <v>40</v>
      </c>
      <c r="Z720" t="s">
        <v>41</v>
      </c>
    </row>
    <row r="721" spans="1:26">
      <c r="A721" t="s">
        <v>1623</v>
      </c>
      <c r="B721" t="s">
        <v>116</v>
      </c>
      <c r="C721" t="s">
        <v>173</v>
      </c>
      <c r="D721" t="s">
        <v>77</v>
      </c>
      <c r="E721" t="s">
        <v>168</v>
      </c>
      <c r="F721" t="s">
        <v>109</v>
      </c>
      <c r="G721" t="s">
        <v>32</v>
      </c>
      <c r="H721">
        <v>8.3000000000000007</v>
      </c>
      <c r="I721">
        <v>16.2</v>
      </c>
      <c r="J721" t="s">
        <v>33</v>
      </c>
      <c r="K721" t="s">
        <v>444</v>
      </c>
      <c r="L721" t="s">
        <v>98</v>
      </c>
      <c r="M721" t="s">
        <v>1325</v>
      </c>
      <c r="N721" t="s">
        <v>37</v>
      </c>
      <c r="O721">
        <v>177</v>
      </c>
      <c r="Q721">
        <v>0</v>
      </c>
      <c r="R721">
        <v>0</v>
      </c>
      <c r="T721" t="s">
        <v>81</v>
      </c>
      <c r="U721" t="s">
        <v>39</v>
      </c>
      <c r="V721" t="s">
        <v>39</v>
      </c>
      <c r="W721" t="s">
        <v>52</v>
      </c>
      <c r="X721">
        <v>2023</v>
      </c>
      <c r="Y721" t="s">
        <v>106</v>
      </c>
      <c r="Z721" t="s">
        <v>83</v>
      </c>
    </row>
    <row r="722" spans="1:26">
      <c r="A722" t="s">
        <v>1624</v>
      </c>
      <c r="B722" t="s">
        <v>116</v>
      </c>
      <c r="C722" t="s">
        <v>67</v>
      </c>
      <c r="D722" t="s">
        <v>77</v>
      </c>
      <c r="E722" t="s">
        <v>363</v>
      </c>
      <c r="F722" t="s">
        <v>95</v>
      </c>
      <c r="G722" t="s">
        <v>58</v>
      </c>
      <c r="H722">
        <v>1.3</v>
      </c>
      <c r="I722">
        <v>30.9</v>
      </c>
      <c r="J722" t="s">
        <v>144</v>
      </c>
      <c r="K722" t="s">
        <v>69</v>
      </c>
      <c r="L722" t="s">
        <v>35</v>
      </c>
      <c r="M722" t="s">
        <v>1625</v>
      </c>
      <c r="N722" t="s">
        <v>50</v>
      </c>
      <c r="O722">
        <v>63</v>
      </c>
      <c r="Q722">
        <v>0</v>
      </c>
      <c r="R722">
        <v>1000</v>
      </c>
      <c r="T722" t="s">
        <v>136</v>
      </c>
      <c r="U722" t="s">
        <v>39</v>
      </c>
      <c r="V722" t="s">
        <v>52</v>
      </c>
      <c r="W722" t="s">
        <v>52</v>
      </c>
      <c r="X722">
        <v>2023</v>
      </c>
      <c r="Y722" t="s">
        <v>74</v>
      </c>
      <c r="Z722" t="s">
        <v>54</v>
      </c>
    </row>
    <row r="723" spans="1:26">
      <c r="A723" t="s">
        <v>1626</v>
      </c>
      <c r="B723" t="s">
        <v>116</v>
      </c>
      <c r="C723" t="s">
        <v>121</v>
      </c>
      <c r="D723" t="s">
        <v>29</v>
      </c>
      <c r="E723" t="s">
        <v>244</v>
      </c>
      <c r="F723" t="s">
        <v>124</v>
      </c>
      <c r="G723" t="s">
        <v>32</v>
      </c>
      <c r="H723">
        <v>6.9</v>
      </c>
      <c r="I723">
        <v>20.6</v>
      </c>
      <c r="J723" t="s">
        <v>33</v>
      </c>
      <c r="K723" t="s">
        <v>1627</v>
      </c>
      <c r="L723" t="s">
        <v>60</v>
      </c>
      <c r="M723" t="s">
        <v>1311</v>
      </c>
      <c r="N723" t="s">
        <v>50</v>
      </c>
      <c r="O723">
        <v>154</v>
      </c>
      <c r="Q723">
        <v>0</v>
      </c>
      <c r="R723">
        <v>500</v>
      </c>
      <c r="T723" t="s">
        <v>136</v>
      </c>
      <c r="U723" t="s">
        <v>39</v>
      </c>
      <c r="V723" t="s">
        <v>52</v>
      </c>
      <c r="W723" t="s">
        <v>52</v>
      </c>
      <c r="X723">
        <v>2023</v>
      </c>
      <c r="Y723" t="s">
        <v>312</v>
      </c>
      <c r="Z723" t="s">
        <v>83</v>
      </c>
    </row>
    <row r="724" spans="1:26">
      <c r="A724" t="s">
        <v>1628</v>
      </c>
      <c r="B724" t="s">
        <v>27</v>
      </c>
      <c r="C724" t="s">
        <v>102</v>
      </c>
      <c r="D724" t="s">
        <v>122</v>
      </c>
      <c r="E724" t="s">
        <v>202</v>
      </c>
      <c r="F724" t="s">
        <v>46</v>
      </c>
      <c r="G724" t="s">
        <v>32</v>
      </c>
      <c r="H724">
        <v>11.4</v>
      </c>
      <c r="I724">
        <v>10.8</v>
      </c>
      <c r="J724" t="s">
        <v>156</v>
      </c>
      <c r="K724" t="s">
        <v>497</v>
      </c>
      <c r="L724" t="s">
        <v>140</v>
      </c>
      <c r="M724" t="s">
        <v>127</v>
      </c>
      <c r="N724" t="s">
        <v>61</v>
      </c>
      <c r="O724">
        <v>132</v>
      </c>
      <c r="Q724">
        <v>0</v>
      </c>
      <c r="R724">
        <v>0</v>
      </c>
      <c r="T724" t="s">
        <v>62</v>
      </c>
      <c r="U724" t="s">
        <v>39</v>
      </c>
      <c r="V724" t="s">
        <v>52</v>
      </c>
      <c r="W724" t="s">
        <v>52</v>
      </c>
      <c r="X724">
        <v>2024</v>
      </c>
      <c r="Y724" t="s">
        <v>114</v>
      </c>
      <c r="Z724" t="s">
        <v>41</v>
      </c>
    </row>
    <row r="725" spans="1:26">
      <c r="A725" t="s">
        <v>1629</v>
      </c>
      <c r="B725" t="s">
        <v>116</v>
      </c>
      <c r="C725" t="s">
        <v>44</v>
      </c>
      <c r="D725" t="s">
        <v>29</v>
      </c>
      <c r="E725" t="s">
        <v>195</v>
      </c>
      <c r="F725" t="s">
        <v>160</v>
      </c>
      <c r="G725" t="s">
        <v>58</v>
      </c>
      <c r="H725">
        <v>5.7</v>
      </c>
      <c r="I725">
        <v>6.1</v>
      </c>
      <c r="J725" t="s">
        <v>96</v>
      </c>
      <c r="K725" t="s">
        <v>1600</v>
      </c>
      <c r="L725" t="s">
        <v>126</v>
      </c>
      <c r="M725" t="s">
        <v>679</v>
      </c>
      <c r="N725" t="s">
        <v>71</v>
      </c>
      <c r="O725">
        <v>125</v>
      </c>
      <c r="P725" t="s">
        <v>72</v>
      </c>
      <c r="Q725">
        <v>2807</v>
      </c>
      <c r="R725">
        <v>1000</v>
      </c>
      <c r="S725" t="s">
        <v>113</v>
      </c>
      <c r="T725" t="s">
        <v>81</v>
      </c>
      <c r="U725" t="s">
        <v>39</v>
      </c>
      <c r="V725" t="s">
        <v>39</v>
      </c>
      <c r="W725" t="s">
        <v>52</v>
      </c>
      <c r="X725">
        <v>2023</v>
      </c>
      <c r="Y725" t="s">
        <v>106</v>
      </c>
      <c r="Z725" t="s">
        <v>83</v>
      </c>
    </row>
    <row r="726" spans="1:26">
      <c r="A726" t="s">
        <v>1630</v>
      </c>
      <c r="B726" t="s">
        <v>43</v>
      </c>
      <c r="C726" t="s">
        <v>164</v>
      </c>
      <c r="D726" t="s">
        <v>29</v>
      </c>
      <c r="E726" t="s">
        <v>244</v>
      </c>
      <c r="F726" t="s">
        <v>46</v>
      </c>
      <c r="G726" t="s">
        <v>58</v>
      </c>
      <c r="H726">
        <v>8.1999999999999993</v>
      </c>
      <c r="I726">
        <v>32.5</v>
      </c>
      <c r="J726" t="s">
        <v>33</v>
      </c>
      <c r="K726" t="s">
        <v>1039</v>
      </c>
      <c r="L726" t="s">
        <v>126</v>
      </c>
      <c r="M726" t="s">
        <v>918</v>
      </c>
      <c r="N726" t="s">
        <v>50</v>
      </c>
      <c r="O726">
        <v>82</v>
      </c>
      <c r="Q726">
        <v>0</v>
      </c>
      <c r="R726">
        <v>0</v>
      </c>
      <c r="T726" t="s">
        <v>81</v>
      </c>
      <c r="U726" t="s">
        <v>39</v>
      </c>
      <c r="V726" t="s">
        <v>52</v>
      </c>
      <c r="W726" t="s">
        <v>52</v>
      </c>
      <c r="X726">
        <v>2023</v>
      </c>
      <c r="Y726" t="s">
        <v>114</v>
      </c>
      <c r="Z726" t="s">
        <v>41</v>
      </c>
    </row>
    <row r="727" spans="1:26">
      <c r="A727" t="s">
        <v>1631</v>
      </c>
      <c r="B727" t="s">
        <v>93</v>
      </c>
      <c r="C727" t="s">
        <v>121</v>
      </c>
      <c r="D727" t="s">
        <v>122</v>
      </c>
      <c r="E727" t="s">
        <v>202</v>
      </c>
      <c r="F727" t="s">
        <v>160</v>
      </c>
      <c r="G727" t="s">
        <v>32</v>
      </c>
      <c r="H727">
        <v>9.4</v>
      </c>
      <c r="I727">
        <v>9.8000000000000007</v>
      </c>
      <c r="J727" t="s">
        <v>33</v>
      </c>
      <c r="K727" t="s">
        <v>432</v>
      </c>
      <c r="L727" t="s">
        <v>60</v>
      </c>
      <c r="M727" t="s">
        <v>127</v>
      </c>
      <c r="N727" t="s">
        <v>100</v>
      </c>
      <c r="O727">
        <v>168</v>
      </c>
      <c r="Q727">
        <v>0</v>
      </c>
      <c r="R727">
        <v>0</v>
      </c>
      <c r="T727" t="s">
        <v>51</v>
      </c>
      <c r="U727" t="s">
        <v>39</v>
      </c>
      <c r="V727" t="s">
        <v>52</v>
      </c>
      <c r="W727" t="s">
        <v>52</v>
      </c>
      <c r="X727">
        <v>2024</v>
      </c>
      <c r="Y727" t="s">
        <v>211</v>
      </c>
      <c r="Z727" t="s">
        <v>41</v>
      </c>
    </row>
    <row r="728" spans="1:26">
      <c r="A728" t="s">
        <v>1632</v>
      </c>
      <c r="B728" t="s">
        <v>108</v>
      </c>
      <c r="C728" t="s">
        <v>76</v>
      </c>
      <c r="D728" t="s">
        <v>77</v>
      </c>
      <c r="E728" t="s">
        <v>168</v>
      </c>
      <c r="F728" t="s">
        <v>57</v>
      </c>
      <c r="G728" t="s">
        <v>32</v>
      </c>
      <c r="H728">
        <v>9.1999999999999993</v>
      </c>
      <c r="I728">
        <v>0.7</v>
      </c>
      <c r="J728" t="s">
        <v>156</v>
      </c>
      <c r="K728" t="s">
        <v>1147</v>
      </c>
      <c r="L728" t="s">
        <v>48</v>
      </c>
      <c r="M728" t="s">
        <v>484</v>
      </c>
      <c r="N728" t="s">
        <v>100</v>
      </c>
      <c r="O728">
        <v>145</v>
      </c>
      <c r="Q728">
        <v>0</v>
      </c>
      <c r="R728">
        <v>0</v>
      </c>
      <c r="T728" t="s">
        <v>136</v>
      </c>
      <c r="U728" t="s">
        <v>39</v>
      </c>
      <c r="V728" t="s">
        <v>39</v>
      </c>
      <c r="W728" t="s">
        <v>52</v>
      </c>
      <c r="X728">
        <v>2024</v>
      </c>
      <c r="Y728" t="s">
        <v>53</v>
      </c>
      <c r="Z728" t="s">
        <v>54</v>
      </c>
    </row>
    <row r="729" spans="1:26">
      <c r="A729" t="s">
        <v>1633</v>
      </c>
      <c r="B729" t="s">
        <v>27</v>
      </c>
      <c r="C729" t="s">
        <v>102</v>
      </c>
      <c r="D729" t="s">
        <v>77</v>
      </c>
      <c r="E729" t="s">
        <v>168</v>
      </c>
      <c r="F729" t="s">
        <v>124</v>
      </c>
      <c r="G729" t="s">
        <v>32</v>
      </c>
      <c r="H729">
        <v>9.5</v>
      </c>
      <c r="I729">
        <v>11.7</v>
      </c>
      <c r="J729" t="s">
        <v>96</v>
      </c>
      <c r="K729" t="s">
        <v>1634</v>
      </c>
      <c r="L729" t="s">
        <v>60</v>
      </c>
      <c r="M729" t="s">
        <v>1111</v>
      </c>
      <c r="N729" t="s">
        <v>71</v>
      </c>
      <c r="O729">
        <v>96</v>
      </c>
      <c r="P729" t="s">
        <v>230</v>
      </c>
      <c r="Q729">
        <v>5636</v>
      </c>
      <c r="R729">
        <v>500</v>
      </c>
      <c r="S729" t="s">
        <v>73</v>
      </c>
      <c r="T729" t="s">
        <v>81</v>
      </c>
      <c r="U729" t="s">
        <v>39</v>
      </c>
      <c r="V729" t="s">
        <v>52</v>
      </c>
      <c r="W729" t="s">
        <v>52</v>
      </c>
      <c r="X729">
        <v>2023</v>
      </c>
      <c r="Y729" t="s">
        <v>211</v>
      </c>
      <c r="Z729" t="s">
        <v>41</v>
      </c>
    </row>
    <row r="730" spans="1:26">
      <c r="A730" t="s">
        <v>1635</v>
      </c>
      <c r="B730" t="s">
        <v>108</v>
      </c>
      <c r="C730" t="s">
        <v>102</v>
      </c>
      <c r="D730" t="s">
        <v>77</v>
      </c>
      <c r="E730" t="s">
        <v>78</v>
      </c>
      <c r="F730" t="s">
        <v>160</v>
      </c>
      <c r="G730" t="s">
        <v>32</v>
      </c>
      <c r="H730">
        <v>8.3000000000000007</v>
      </c>
      <c r="I730">
        <v>31.9</v>
      </c>
      <c r="J730" t="s">
        <v>33</v>
      </c>
      <c r="K730" t="s">
        <v>1294</v>
      </c>
      <c r="L730" t="s">
        <v>35</v>
      </c>
      <c r="M730" t="s">
        <v>430</v>
      </c>
      <c r="N730" t="s">
        <v>100</v>
      </c>
      <c r="O730">
        <v>169</v>
      </c>
      <c r="Q730">
        <v>0</v>
      </c>
      <c r="R730">
        <v>0</v>
      </c>
      <c r="T730" t="s">
        <v>38</v>
      </c>
      <c r="U730" t="s">
        <v>39</v>
      </c>
      <c r="V730" t="s">
        <v>52</v>
      </c>
      <c r="W730" t="s">
        <v>52</v>
      </c>
      <c r="X730">
        <v>2022</v>
      </c>
      <c r="Y730" t="s">
        <v>74</v>
      </c>
      <c r="Z730" t="s">
        <v>54</v>
      </c>
    </row>
    <row r="731" spans="1:26">
      <c r="A731" t="s">
        <v>1636</v>
      </c>
      <c r="B731" t="s">
        <v>43</v>
      </c>
      <c r="C731" t="s">
        <v>164</v>
      </c>
      <c r="D731" t="s">
        <v>77</v>
      </c>
      <c r="E731" t="s">
        <v>168</v>
      </c>
      <c r="F731" t="s">
        <v>31</v>
      </c>
      <c r="G731" t="s">
        <v>32</v>
      </c>
      <c r="H731">
        <v>11.7</v>
      </c>
      <c r="I731">
        <v>25.8</v>
      </c>
      <c r="J731" t="s">
        <v>20</v>
      </c>
      <c r="K731" t="s">
        <v>1129</v>
      </c>
      <c r="L731" t="s">
        <v>48</v>
      </c>
      <c r="M731" t="s">
        <v>672</v>
      </c>
      <c r="N731" t="s">
        <v>71</v>
      </c>
      <c r="O731">
        <v>121</v>
      </c>
      <c r="P731" t="s">
        <v>105</v>
      </c>
      <c r="Q731">
        <v>3606</v>
      </c>
      <c r="R731">
        <v>0</v>
      </c>
      <c r="S731" t="s">
        <v>73</v>
      </c>
      <c r="T731" t="s">
        <v>136</v>
      </c>
      <c r="U731" t="s">
        <v>39</v>
      </c>
      <c r="V731" t="s">
        <v>52</v>
      </c>
      <c r="W731" t="s">
        <v>52</v>
      </c>
      <c r="X731">
        <v>2022</v>
      </c>
      <c r="Y731" t="s">
        <v>211</v>
      </c>
      <c r="Z731" t="s">
        <v>41</v>
      </c>
    </row>
    <row r="732" spans="1:26">
      <c r="A732" t="s">
        <v>1637</v>
      </c>
      <c r="B732" t="s">
        <v>66</v>
      </c>
      <c r="C732" t="s">
        <v>67</v>
      </c>
      <c r="D732" t="s">
        <v>29</v>
      </c>
      <c r="E732" t="s">
        <v>244</v>
      </c>
      <c r="F732" t="s">
        <v>46</v>
      </c>
      <c r="G732" t="s">
        <v>32</v>
      </c>
      <c r="H732">
        <v>9.3000000000000007</v>
      </c>
      <c r="I732">
        <v>30.5</v>
      </c>
      <c r="J732" t="s">
        <v>156</v>
      </c>
      <c r="K732" t="s">
        <v>793</v>
      </c>
      <c r="L732" t="s">
        <v>48</v>
      </c>
      <c r="M732" t="s">
        <v>299</v>
      </c>
      <c r="N732" t="s">
        <v>71</v>
      </c>
      <c r="O732">
        <v>177</v>
      </c>
      <c r="P732" t="s">
        <v>89</v>
      </c>
      <c r="Q732">
        <v>2075</v>
      </c>
      <c r="R732">
        <v>5000</v>
      </c>
      <c r="S732" t="s">
        <v>152</v>
      </c>
      <c r="T732" t="s">
        <v>136</v>
      </c>
      <c r="U732" t="s">
        <v>39</v>
      </c>
      <c r="V732" t="s">
        <v>52</v>
      </c>
      <c r="W732" t="s">
        <v>52</v>
      </c>
      <c r="X732">
        <v>2023</v>
      </c>
      <c r="Y732" t="s">
        <v>211</v>
      </c>
      <c r="Z732" t="s">
        <v>41</v>
      </c>
    </row>
    <row r="733" spans="1:26">
      <c r="A733" t="s">
        <v>1638</v>
      </c>
      <c r="B733" t="s">
        <v>108</v>
      </c>
      <c r="C733" t="s">
        <v>76</v>
      </c>
      <c r="D733" t="s">
        <v>122</v>
      </c>
      <c r="E733" t="s">
        <v>148</v>
      </c>
      <c r="F733" t="s">
        <v>109</v>
      </c>
      <c r="G733" t="s">
        <v>58</v>
      </c>
      <c r="H733">
        <v>7.7</v>
      </c>
      <c r="I733">
        <v>15.2</v>
      </c>
      <c r="J733" t="s">
        <v>20</v>
      </c>
      <c r="K733" t="s">
        <v>1319</v>
      </c>
      <c r="L733" t="s">
        <v>60</v>
      </c>
      <c r="M733" t="s">
        <v>793</v>
      </c>
      <c r="N733" t="s">
        <v>71</v>
      </c>
      <c r="O733">
        <v>66</v>
      </c>
      <c r="P733" t="s">
        <v>230</v>
      </c>
      <c r="Q733">
        <v>1074</v>
      </c>
      <c r="R733">
        <v>0</v>
      </c>
      <c r="S733" t="s">
        <v>90</v>
      </c>
      <c r="T733" t="s">
        <v>38</v>
      </c>
      <c r="U733" t="s">
        <v>39</v>
      </c>
      <c r="V733" t="s">
        <v>52</v>
      </c>
      <c r="W733" t="s">
        <v>52</v>
      </c>
      <c r="X733">
        <v>2023</v>
      </c>
      <c r="Y733" t="s">
        <v>153</v>
      </c>
      <c r="Z733" t="s">
        <v>54</v>
      </c>
    </row>
    <row r="734" spans="1:26">
      <c r="A734" t="s">
        <v>1639</v>
      </c>
      <c r="B734" t="s">
        <v>116</v>
      </c>
      <c r="C734" t="s">
        <v>164</v>
      </c>
      <c r="D734" t="s">
        <v>29</v>
      </c>
      <c r="E734" t="s">
        <v>244</v>
      </c>
      <c r="F734" t="s">
        <v>109</v>
      </c>
      <c r="G734" t="s">
        <v>58</v>
      </c>
      <c r="H734">
        <v>6.8</v>
      </c>
      <c r="I734">
        <v>34.1</v>
      </c>
      <c r="J734" t="s">
        <v>20</v>
      </c>
      <c r="K734" t="s">
        <v>1349</v>
      </c>
      <c r="L734" t="s">
        <v>126</v>
      </c>
      <c r="M734" t="s">
        <v>264</v>
      </c>
      <c r="N734" t="s">
        <v>71</v>
      </c>
      <c r="O734">
        <v>163</v>
      </c>
      <c r="P734" t="s">
        <v>105</v>
      </c>
      <c r="Q734">
        <v>4508</v>
      </c>
      <c r="R734">
        <v>0</v>
      </c>
      <c r="S734" t="s">
        <v>113</v>
      </c>
      <c r="T734" t="s">
        <v>38</v>
      </c>
      <c r="U734" t="s">
        <v>52</v>
      </c>
      <c r="V734" t="s">
        <v>52</v>
      </c>
      <c r="W734" t="s">
        <v>52</v>
      </c>
      <c r="X734">
        <v>2023</v>
      </c>
      <c r="Y734" t="s">
        <v>128</v>
      </c>
      <c r="Z734" t="s">
        <v>64</v>
      </c>
    </row>
    <row r="735" spans="1:26">
      <c r="A735" t="s">
        <v>1640</v>
      </c>
      <c r="B735" t="s">
        <v>66</v>
      </c>
      <c r="C735" t="s">
        <v>44</v>
      </c>
      <c r="D735" t="s">
        <v>77</v>
      </c>
      <c r="E735" t="s">
        <v>216</v>
      </c>
      <c r="F735" t="s">
        <v>238</v>
      </c>
      <c r="G735" t="s">
        <v>32</v>
      </c>
      <c r="H735">
        <v>5.5</v>
      </c>
      <c r="I735">
        <v>27.4</v>
      </c>
      <c r="J735" t="s">
        <v>20</v>
      </c>
      <c r="K735" t="s">
        <v>510</v>
      </c>
      <c r="L735" t="s">
        <v>60</v>
      </c>
      <c r="M735" t="s">
        <v>809</v>
      </c>
      <c r="N735" t="s">
        <v>71</v>
      </c>
      <c r="O735">
        <v>19</v>
      </c>
      <c r="P735" t="s">
        <v>230</v>
      </c>
      <c r="Q735">
        <v>7712</v>
      </c>
      <c r="R735">
        <v>0</v>
      </c>
      <c r="S735" t="s">
        <v>90</v>
      </c>
      <c r="T735" t="s">
        <v>38</v>
      </c>
      <c r="U735" t="s">
        <v>39</v>
      </c>
      <c r="V735" t="s">
        <v>39</v>
      </c>
      <c r="W735" t="s">
        <v>52</v>
      </c>
      <c r="X735">
        <v>2023</v>
      </c>
      <c r="Y735" t="s">
        <v>128</v>
      </c>
      <c r="Z735" t="s">
        <v>64</v>
      </c>
    </row>
    <row r="736" spans="1:26">
      <c r="A736" t="s">
        <v>1641</v>
      </c>
      <c r="B736" t="s">
        <v>43</v>
      </c>
      <c r="C736" t="s">
        <v>67</v>
      </c>
      <c r="D736" t="s">
        <v>85</v>
      </c>
      <c r="E736" t="s">
        <v>208</v>
      </c>
      <c r="F736" t="s">
        <v>31</v>
      </c>
      <c r="G736" t="s">
        <v>58</v>
      </c>
      <c r="H736">
        <v>6.4</v>
      </c>
      <c r="I736">
        <v>23</v>
      </c>
      <c r="J736" t="s">
        <v>33</v>
      </c>
      <c r="K736" t="s">
        <v>1319</v>
      </c>
      <c r="L736" t="s">
        <v>48</v>
      </c>
      <c r="M736" t="s">
        <v>962</v>
      </c>
      <c r="N736" t="s">
        <v>171</v>
      </c>
      <c r="O736">
        <v>58</v>
      </c>
      <c r="Q736">
        <v>0</v>
      </c>
      <c r="R736">
        <v>0</v>
      </c>
      <c r="T736" t="s">
        <v>81</v>
      </c>
      <c r="U736" t="s">
        <v>39</v>
      </c>
      <c r="V736" t="s">
        <v>39</v>
      </c>
      <c r="W736" t="s">
        <v>39</v>
      </c>
      <c r="X736">
        <v>2023</v>
      </c>
      <c r="Y736" t="s">
        <v>153</v>
      </c>
      <c r="Z736" t="s">
        <v>54</v>
      </c>
    </row>
    <row r="737" spans="1:26">
      <c r="A737" t="s">
        <v>1642</v>
      </c>
      <c r="B737" t="s">
        <v>93</v>
      </c>
      <c r="C737" t="s">
        <v>102</v>
      </c>
      <c r="D737" t="s">
        <v>77</v>
      </c>
      <c r="E737" t="s">
        <v>220</v>
      </c>
      <c r="F737" t="s">
        <v>124</v>
      </c>
      <c r="G737" t="s">
        <v>58</v>
      </c>
      <c r="H737">
        <v>11.5</v>
      </c>
      <c r="I737">
        <v>11.8</v>
      </c>
      <c r="J737" t="s">
        <v>33</v>
      </c>
      <c r="K737" t="s">
        <v>350</v>
      </c>
      <c r="L737" t="s">
        <v>48</v>
      </c>
      <c r="M737" t="s">
        <v>1368</v>
      </c>
      <c r="N737" t="s">
        <v>171</v>
      </c>
      <c r="O737">
        <v>139</v>
      </c>
      <c r="Q737">
        <v>0</v>
      </c>
      <c r="R737">
        <v>0</v>
      </c>
      <c r="T737" t="s">
        <v>136</v>
      </c>
      <c r="U737" t="s">
        <v>39</v>
      </c>
      <c r="V737" t="s">
        <v>39</v>
      </c>
      <c r="W737" t="s">
        <v>52</v>
      </c>
      <c r="X737">
        <v>2022</v>
      </c>
      <c r="Y737" t="s">
        <v>114</v>
      </c>
      <c r="Z737" t="s">
        <v>41</v>
      </c>
    </row>
    <row r="738" spans="1:26">
      <c r="A738" t="s">
        <v>1643</v>
      </c>
      <c r="B738" t="s">
        <v>66</v>
      </c>
      <c r="C738" t="s">
        <v>102</v>
      </c>
      <c r="D738" t="s">
        <v>122</v>
      </c>
      <c r="E738" t="s">
        <v>123</v>
      </c>
      <c r="F738" t="s">
        <v>57</v>
      </c>
      <c r="G738" t="s">
        <v>58</v>
      </c>
      <c r="H738">
        <v>5.4</v>
      </c>
      <c r="I738">
        <v>26.2</v>
      </c>
      <c r="J738" t="s">
        <v>144</v>
      </c>
      <c r="K738" t="s">
        <v>338</v>
      </c>
      <c r="L738" t="s">
        <v>126</v>
      </c>
      <c r="M738" t="s">
        <v>1156</v>
      </c>
      <c r="N738" t="s">
        <v>71</v>
      </c>
      <c r="O738">
        <v>113</v>
      </c>
      <c r="P738" t="s">
        <v>112</v>
      </c>
      <c r="Q738">
        <v>2036</v>
      </c>
      <c r="R738">
        <v>0</v>
      </c>
      <c r="S738" t="s">
        <v>113</v>
      </c>
      <c r="T738" t="s">
        <v>81</v>
      </c>
      <c r="U738" t="s">
        <v>52</v>
      </c>
      <c r="V738" t="s">
        <v>52</v>
      </c>
      <c r="W738" t="s">
        <v>39</v>
      </c>
      <c r="X738">
        <v>2022</v>
      </c>
      <c r="Y738" t="s">
        <v>91</v>
      </c>
      <c r="Z738" t="s">
        <v>64</v>
      </c>
    </row>
    <row r="739" spans="1:26">
      <c r="A739" t="s">
        <v>1644</v>
      </c>
      <c r="B739" t="s">
        <v>66</v>
      </c>
      <c r="C739" t="s">
        <v>67</v>
      </c>
      <c r="D739" t="s">
        <v>29</v>
      </c>
      <c r="E739" t="s">
        <v>45</v>
      </c>
      <c r="F739" t="s">
        <v>46</v>
      </c>
      <c r="G739" t="s">
        <v>32</v>
      </c>
      <c r="H739">
        <v>2.6</v>
      </c>
      <c r="I739">
        <v>33</v>
      </c>
      <c r="J739" t="s">
        <v>33</v>
      </c>
      <c r="K739" t="s">
        <v>1334</v>
      </c>
      <c r="L739" t="s">
        <v>48</v>
      </c>
      <c r="M739" t="s">
        <v>127</v>
      </c>
      <c r="N739" t="s">
        <v>71</v>
      </c>
      <c r="O739">
        <v>149</v>
      </c>
      <c r="P739" t="s">
        <v>230</v>
      </c>
      <c r="Q739">
        <v>2167</v>
      </c>
      <c r="R739">
        <v>5000</v>
      </c>
      <c r="S739" t="s">
        <v>152</v>
      </c>
      <c r="T739" t="s">
        <v>136</v>
      </c>
      <c r="U739" t="s">
        <v>39</v>
      </c>
      <c r="V739" t="s">
        <v>52</v>
      </c>
      <c r="W739" t="s">
        <v>39</v>
      </c>
      <c r="X739">
        <v>2024</v>
      </c>
      <c r="Y739" t="s">
        <v>128</v>
      </c>
      <c r="Z739" t="s">
        <v>64</v>
      </c>
    </row>
    <row r="740" spans="1:26">
      <c r="A740" t="s">
        <v>1645</v>
      </c>
      <c r="B740" t="s">
        <v>93</v>
      </c>
      <c r="C740" t="s">
        <v>67</v>
      </c>
      <c r="D740" t="s">
        <v>77</v>
      </c>
      <c r="E740" t="s">
        <v>220</v>
      </c>
      <c r="F740" t="s">
        <v>160</v>
      </c>
      <c r="G740" t="s">
        <v>58</v>
      </c>
      <c r="H740">
        <v>4.9000000000000004</v>
      </c>
      <c r="I740">
        <v>30.1</v>
      </c>
      <c r="J740" t="s">
        <v>144</v>
      </c>
      <c r="K740" t="s">
        <v>1608</v>
      </c>
      <c r="L740" t="s">
        <v>98</v>
      </c>
      <c r="M740" t="s">
        <v>1646</v>
      </c>
      <c r="N740" t="s">
        <v>100</v>
      </c>
      <c r="O740">
        <v>98</v>
      </c>
      <c r="Q740">
        <v>0</v>
      </c>
      <c r="R740">
        <v>0</v>
      </c>
      <c r="T740" t="s">
        <v>51</v>
      </c>
      <c r="U740" t="s">
        <v>39</v>
      </c>
      <c r="V740" t="s">
        <v>52</v>
      </c>
      <c r="W740" t="s">
        <v>39</v>
      </c>
      <c r="X740">
        <v>2022</v>
      </c>
      <c r="Y740" t="s">
        <v>106</v>
      </c>
      <c r="Z740" t="s">
        <v>83</v>
      </c>
    </row>
    <row r="741" spans="1:26">
      <c r="A741" t="s">
        <v>1647</v>
      </c>
      <c r="B741" t="s">
        <v>43</v>
      </c>
      <c r="C741" t="s">
        <v>76</v>
      </c>
      <c r="D741" t="s">
        <v>85</v>
      </c>
      <c r="E741" t="s">
        <v>86</v>
      </c>
      <c r="F741" t="s">
        <v>68</v>
      </c>
      <c r="G741" t="s">
        <v>58</v>
      </c>
      <c r="H741">
        <v>0.6</v>
      </c>
      <c r="I741">
        <v>29.7</v>
      </c>
      <c r="J741" t="s">
        <v>33</v>
      </c>
      <c r="K741" t="s">
        <v>1339</v>
      </c>
      <c r="L741" t="s">
        <v>98</v>
      </c>
      <c r="M741" t="s">
        <v>923</v>
      </c>
      <c r="N741" t="s">
        <v>171</v>
      </c>
      <c r="O741">
        <v>71</v>
      </c>
      <c r="Q741">
        <v>0</v>
      </c>
      <c r="R741">
        <v>0</v>
      </c>
      <c r="T741" t="s">
        <v>136</v>
      </c>
      <c r="U741" t="s">
        <v>39</v>
      </c>
      <c r="V741" t="s">
        <v>39</v>
      </c>
      <c r="W741" t="s">
        <v>52</v>
      </c>
      <c r="X741">
        <v>2022</v>
      </c>
      <c r="Y741" t="s">
        <v>82</v>
      </c>
      <c r="Z741" t="s">
        <v>83</v>
      </c>
    </row>
    <row r="742" spans="1:26">
      <c r="A742" t="s">
        <v>1648</v>
      </c>
      <c r="B742" t="s">
        <v>43</v>
      </c>
      <c r="C742" t="s">
        <v>164</v>
      </c>
      <c r="D742" t="s">
        <v>29</v>
      </c>
      <c r="E742" t="s">
        <v>56</v>
      </c>
      <c r="F742" t="s">
        <v>46</v>
      </c>
      <c r="G742" t="s">
        <v>58</v>
      </c>
      <c r="H742">
        <v>2.2000000000000002</v>
      </c>
      <c r="I742">
        <v>32.799999999999997</v>
      </c>
      <c r="J742" t="s">
        <v>96</v>
      </c>
      <c r="K742" t="s">
        <v>598</v>
      </c>
      <c r="L742" t="s">
        <v>48</v>
      </c>
      <c r="M742" t="s">
        <v>1484</v>
      </c>
      <c r="N742" t="s">
        <v>100</v>
      </c>
      <c r="O742">
        <v>41</v>
      </c>
      <c r="Q742">
        <v>0</v>
      </c>
      <c r="R742">
        <v>0</v>
      </c>
      <c r="T742" t="s">
        <v>38</v>
      </c>
      <c r="U742" t="s">
        <v>52</v>
      </c>
      <c r="V742" t="s">
        <v>39</v>
      </c>
      <c r="W742" t="s">
        <v>52</v>
      </c>
      <c r="X742">
        <v>2024</v>
      </c>
      <c r="Y742" t="s">
        <v>74</v>
      </c>
      <c r="Z742" t="s">
        <v>54</v>
      </c>
    </row>
    <row r="743" spans="1:26">
      <c r="A743" t="s">
        <v>1649</v>
      </c>
      <c r="B743" t="s">
        <v>116</v>
      </c>
      <c r="C743" t="s">
        <v>121</v>
      </c>
      <c r="D743" t="s">
        <v>85</v>
      </c>
      <c r="E743" t="s">
        <v>402</v>
      </c>
      <c r="F743" t="s">
        <v>238</v>
      </c>
      <c r="G743" t="s">
        <v>58</v>
      </c>
      <c r="H743">
        <v>0.4</v>
      </c>
      <c r="I743">
        <v>1.4</v>
      </c>
      <c r="J743" t="s">
        <v>144</v>
      </c>
      <c r="K743" t="s">
        <v>150</v>
      </c>
      <c r="L743" t="s">
        <v>35</v>
      </c>
      <c r="M743" t="s">
        <v>1650</v>
      </c>
      <c r="N743" t="s">
        <v>171</v>
      </c>
      <c r="O743">
        <v>160</v>
      </c>
      <c r="Q743">
        <v>0</v>
      </c>
      <c r="R743">
        <v>0</v>
      </c>
      <c r="T743" t="s">
        <v>62</v>
      </c>
      <c r="U743" t="s">
        <v>52</v>
      </c>
      <c r="V743" t="s">
        <v>52</v>
      </c>
      <c r="W743" t="s">
        <v>52</v>
      </c>
      <c r="X743">
        <v>2023</v>
      </c>
      <c r="Y743" t="s">
        <v>153</v>
      </c>
      <c r="Z743" t="s">
        <v>54</v>
      </c>
    </row>
    <row r="744" spans="1:26">
      <c r="A744" t="s">
        <v>1651</v>
      </c>
      <c r="B744" t="s">
        <v>108</v>
      </c>
      <c r="C744" t="s">
        <v>121</v>
      </c>
      <c r="D744" t="s">
        <v>77</v>
      </c>
      <c r="E744" t="s">
        <v>143</v>
      </c>
      <c r="F744" t="s">
        <v>57</v>
      </c>
      <c r="G744" t="s">
        <v>32</v>
      </c>
      <c r="H744">
        <v>5.0999999999999996</v>
      </c>
      <c r="I744">
        <v>2.8</v>
      </c>
      <c r="J744" t="s">
        <v>33</v>
      </c>
      <c r="K744" t="s">
        <v>884</v>
      </c>
      <c r="L744" t="s">
        <v>140</v>
      </c>
      <c r="M744" t="s">
        <v>1652</v>
      </c>
      <c r="N744" t="s">
        <v>37</v>
      </c>
      <c r="O744">
        <v>90</v>
      </c>
      <c r="Q744">
        <v>0</v>
      </c>
      <c r="R744">
        <v>0</v>
      </c>
      <c r="T744" t="s">
        <v>38</v>
      </c>
      <c r="U744" t="s">
        <v>39</v>
      </c>
      <c r="V744" t="s">
        <v>52</v>
      </c>
      <c r="W744" t="s">
        <v>52</v>
      </c>
      <c r="X744">
        <v>2022</v>
      </c>
      <c r="Y744" t="s">
        <v>106</v>
      </c>
      <c r="Z744" t="s">
        <v>83</v>
      </c>
    </row>
    <row r="745" spans="1:26">
      <c r="A745" t="s">
        <v>1653</v>
      </c>
      <c r="B745" t="s">
        <v>116</v>
      </c>
      <c r="C745" t="s">
        <v>121</v>
      </c>
      <c r="D745" t="s">
        <v>29</v>
      </c>
      <c r="E745" t="s">
        <v>45</v>
      </c>
      <c r="F745" t="s">
        <v>149</v>
      </c>
      <c r="G745" t="s">
        <v>58</v>
      </c>
      <c r="H745">
        <v>11.5</v>
      </c>
      <c r="I745">
        <v>23.6</v>
      </c>
      <c r="J745" t="s">
        <v>33</v>
      </c>
      <c r="K745" t="s">
        <v>1520</v>
      </c>
      <c r="L745" t="s">
        <v>48</v>
      </c>
      <c r="M745" t="s">
        <v>286</v>
      </c>
      <c r="N745" t="s">
        <v>171</v>
      </c>
      <c r="O745">
        <v>169</v>
      </c>
      <c r="Q745">
        <v>0</v>
      </c>
      <c r="R745">
        <v>0</v>
      </c>
      <c r="T745" t="s">
        <v>62</v>
      </c>
      <c r="U745" t="s">
        <v>39</v>
      </c>
      <c r="V745" t="s">
        <v>39</v>
      </c>
      <c r="W745" t="s">
        <v>52</v>
      </c>
      <c r="X745">
        <v>2023</v>
      </c>
      <c r="Y745" t="s">
        <v>91</v>
      </c>
      <c r="Z745" t="s">
        <v>64</v>
      </c>
    </row>
    <row r="746" spans="1:26">
      <c r="A746" t="s">
        <v>1654</v>
      </c>
      <c r="B746" t="s">
        <v>43</v>
      </c>
      <c r="C746" t="s">
        <v>173</v>
      </c>
      <c r="D746" t="s">
        <v>29</v>
      </c>
      <c r="E746" t="s">
        <v>94</v>
      </c>
      <c r="F746" t="s">
        <v>68</v>
      </c>
      <c r="G746" t="s">
        <v>32</v>
      </c>
      <c r="H746">
        <v>10.7</v>
      </c>
      <c r="I746">
        <v>4.0999999999999996</v>
      </c>
      <c r="J746" t="s">
        <v>33</v>
      </c>
      <c r="K746" t="s">
        <v>1655</v>
      </c>
      <c r="L746" t="s">
        <v>98</v>
      </c>
      <c r="M746" t="s">
        <v>1656</v>
      </c>
      <c r="N746" t="s">
        <v>61</v>
      </c>
      <c r="O746">
        <v>104</v>
      </c>
      <c r="Q746">
        <v>0</v>
      </c>
      <c r="R746">
        <v>0</v>
      </c>
      <c r="T746" t="s">
        <v>136</v>
      </c>
      <c r="U746" t="s">
        <v>39</v>
      </c>
      <c r="V746" t="s">
        <v>39</v>
      </c>
      <c r="W746" t="s">
        <v>52</v>
      </c>
      <c r="X746">
        <v>2022</v>
      </c>
      <c r="Y746" t="s">
        <v>40</v>
      </c>
      <c r="Z746" t="s">
        <v>41</v>
      </c>
    </row>
    <row r="747" spans="1:26">
      <c r="A747" t="s">
        <v>1657</v>
      </c>
      <c r="B747" t="s">
        <v>43</v>
      </c>
      <c r="C747" t="s">
        <v>76</v>
      </c>
      <c r="D747" t="s">
        <v>85</v>
      </c>
      <c r="E747" t="s">
        <v>402</v>
      </c>
      <c r="F747" t="s">
        <v>68</v>
      </c>
      <c r="G747" t="s">
        <v>58</v>
      </c>
      <c r="H747">
        <v>0.7</v>
      </c>
      <c r="I747">
        <v>7.3</v>
      </c>
      <c r="J747" t="s">
        <v>96</v>
      </c>
      <c r="K747" t="s">
        <v>236</v>
      </c>
      <c r="L747" t="s">
        <v>48</v>
      </c>
      <c r="M747" t="s">
        <v>624</v>
      </c>
      <c r="N747" t="s">
        <v>71</v>
      </c>
      <c r="O747">
        <v>149</v>
      </c>
      <c r="P747" t="s">
        <v>89</v>
      </c>
      <c r="Q747">
        <v>2077</v>
      </c>
      <c r="R747">
        <v>2000</v>
      </c>
      <c r="S747" t="s">
        <v>90</v>
      </c>
      <c r="T747" t="s">
        <v>51</v>
      </c>
      <c r="U747" t="s">
        <v>39</v>
      </c>
      <c r="V747" t="s">
        <v>52</v>
      </c>
      <c r="W747" t="s">
        <v>52</v>
      </c>
      <c r="X747">
        <v>2022</v>
      </c>
      <c r="Y747" t="s">
        <v>91</v>
      </c>
      <c r="Z747" t="s">
        <v>64</v>
      </c>
    </row>
    <row r="748" spans="1:26">
      <c r="A748" t="s">
        <v>1658</v>
      </c>
      <c r="B748" t="s">
        <v>27</v>
      </c>
      <c r="C748" t="s">
        <v>173</v>
      </c>
      <c r="D748" t="s">
        <v>77</v>
      </c>
      <c r="E748" t="s">
        <v>260</v>
      </c>
      <c r="F748" t="s">
        <v>109</v>
      </c>
      <c r="G748" t="s">
        <v>32</v>
      </c>
      <c r="H748">
        <v>5.5</v>
      </c>
      <c r="I748">
        <v>7.9</v>
      </c>
      <c r="J748" t="s">
        <v>33</v>
      </c>
      <c r="K748" t="s">
        <v>836</v>
      </c>
      <c r="L748" t="s">
        <v>98</v>
      </c>
      <c r="M748" t="s">
        <v>862</v>
      </c>
      <c r="N748" t="s">
        <v>100</v>
      </c>
      <c r="O748">
        <v>161</v>
      </c>
      <c r="Q748">
        <v>0</v>
      </c>
      <c r="R748">
        <v>0</v>
      </c>
      <c r="T748" t="s">
        <v>51</v>
      </c>
      <c r="U748" t="s">
        <v>39</v>
      </c>
      <c r="V748" t="s">
        <v>52</v>
      </c>
      <c r="W748" t="s">
        <v>52</v>
      </c>
      <c r="X748">
        <v>2023</v>
      </c>
      <c r="Y748" t="s">
        <v>106</v>
      </c>
      <c r="Z748" t="s">
        <v>83</v>
      </c>
    </row>
    <row r="749" spans="1:26">
      <c r="A749" t="s">
        <v>1659</v>
      </c>
      <c r="B749" t="s">
        <v>27</v>
      </c>
      <c r="C749" t="s">
        <v>173</v>
      </c>
      <c r="D749" t="s">
        <v>29</v>
      </c>
      <c r="E749" t="s">
        <v>56</v>
      </c>
      <c r="F749" t="s">
        <v>95</v>
      </c>
      <c r="G749" t="s">
        <v>32</v>
      </c>
      <c r="H749">
        <v>8</v>
      </c>
      <c r="I749">
        <v>12.3</v>
      </c>
      <c r="J749" t="s">
        <v>144</v>
      </c>
      <c r="K749" t="s">
        <v>849</v>
      </c>
      <c r="L749" t="s">
        <v>98</v>
      </c>
      <c r="M749" t="s">
        <v>127</v>
      </c>
      <c r="N749" t="s">
        <v>50</v>
      </c>
      <c r="O749">
        <v>141</v>
      </c>
      <c r="Q749">
        <v>0</v>
      </c>
      <c r="R749">
        <v>0</v>
      </c>
      <c r="T749" t="s">
        <v>38</v>
      </c>
      <c r="U749" t="s">
        <v>39</v>
      </c>
      <c r="V749" t="s">
        <v>39</v>
      </c>
      <c r="W749" t="s">
        <v>52</v>
      </c>
      <c r="X749">
        <v>2024</v>
      </c>
      <c r="Y749" t="s">
        <v>114</v>
      </c>
      <c r="Z749" t="s">
        <v>41</v>
      </c>
    </row>
    <row r="750" spans="1:26">
      <c r="A750" t="s">
        <v>1660</v>
      </c>
      <c r="B750" t="s">
        <v>108</v>
      </c>
      <c r="C750" t="s">
        <v>44</v>
      </c>
      <c r="D750" t="s">
        <v>77</v>
      </c>
      <c r="E750" t="s">
        <v>143</v>
      </c>
      <c r="F750" t="s">
        <v>109</v>
      </c>
      <c r="G750" t="s">
        <v>58</v>
      </c>
      <c r="H750">
        <v>1.6</v>
      </c>
      <c r="I750">
        <v>12.5</v>
      </c>
      <c r="J750" t="s">
        <v>96</v>
      </c>
      <c r="K750" t="s">
        <v>1661</v>
      </c>
      <c r="L750" t="s">
        <v>140</v>
      </c>
      <c r="M750" t="s">
        <v>1202</v>
      </c>
      <c r="N750" t="s">
        <v>61</v>
      </c>
      <c r="O750">
        <v>141</v>
      </c>
      <c r="Q750">
        <v>0</v>
      </c>
      <c r="R750">
        <v>0</v>
      </c>
      <c r="T750" t="s">
        <v>81</v>
      </c>
      <c r="U750" t="s">
        <v>52</v>
      </c>
      <c r="V750" t="s">
        <v>52</v>
      </c>
      <c r="W750" t="s">
        <v>52</v>
      </c>
      <c r="X750">
        <v>2022</v>
      </c>
      <c r="Y750" t="s">
        <v>114</v>
      </c>
      <c r="Z750" t="s">
        <v>41</v>
      </c>
    </row>
    <row r="751" spans="1:26">
      <c r="A751" t="s">
        <v>1662</v>
      </c>
      <c r="B751" t="s">
        <v>27</v>
      </c>
      <c r="C751" t="s">
        <v>76</v>
      </c>
      <c r="D751" t="s">
        <v>77</v>
      </c>
      <c r="E751" t="s">
        <v>363</v>
      </c>
      <c r="F751" t="s">
        <v>109</v>
      </c>
      <c r="G751" t="s">
        <v>32</v>
      </c>
      <c r="H751">
        <v>6.4</v>
      </c>
      <c r="I751">
        <v>27.4</v>
      </c>
      <c r="J751" t="s">
        <v>20</v>
      </c>
      <c r="K751" t="s">
        <v>1663</v>
      </c>
      <c r="L751" t="s">
        <v>48</v>
      </c>
      <c r="M751" t="s">
        <v>887</v>
      </c>
      <c r="N751" t="s">
        <v>171</v>
      </c>
      <c r="O751">
        <v>51</v>
      </c>
      <c r="Q751">
        <v>0</v>
      </c>
      <c r="R751">
        <v>0</v>
      </c>
      <c r="T751" t="s">
        <v>62</v>
      </c>
      <c r="U751" t="s">
        <v>39</v>
      </c>
      <c r="V751" t="s">
        <v>52</v>
      </c>
      <c r="W751" t="s">
        <v>52</v>
      </c>
      <c r="X751">
        <v>2022</v>
      </c>
      <c r="Y751" t="s">
        <v>82</v>
      </c>
      <c r="Z751" t="s">
        <v>83</v>
      </c>
    </row>
    <row r="752" spans="1:26">
      <c r="A752" t="s">
        <v>1664</v>
      </c>
      <c r="B752" t="s">
        <v>108</v>
      </c>
      <c r="C752" t="s">
        <v>102</v>
      </c>
      <c r="D752" t="s">
        <v>29</v>
      </c>
      <c r="E752" t="s">
        <v>94</v>
      </c>
      <c r="F752" t="s">
        <v>160</v>
      </c>
      <c r="G752" t="s">
        <v>58</v>
      </c>
      <c r="H752">
        <v>6.5</v>
      </c>
      <c r="I752">
        <v>33.5</v>
      </c>
      <c r="J752" t="s">
        <v>144</v>
      </c>
      <c r="K752" t="s">
        <v>553</v>
      </c>
      <c r="L752" t="s">
        <v>60</v>
      </c>
      <c r="M752" t="s">
        <v>1665</v>
      </c>
      <c r="N752" t="s">
        <v>37</v>
      </c>
      <c r="O752">
        <v>163</v>
      </c>
      <c r="Q752">
        <v>0</v>
      </c>
      <c r="R752">
        <v>0</v>
      </c>
      <c r="T752" t="s">
        <v>136</v>
      </c>
      <c r="U752" t="s">
        <v>52</v>
      </c>
      <c r="V752" t="s">
        <v>52</v>
      </c>
      <c r="W752" t="s">
        <v>52</v>
      </c>
      <c r="X752">
        <v>2022</v>
      </c>
      <c r="Y752" t="s">
        <v>63</v>
      </c>
      <c r="Z752" t="s">
        <v>64</v>
      </c>
    </row>
    <row r="753" spans="1:26">
      <c r="A753" t="s">
        <v>1666</v>
      </c>
      <c r="B753" t="s">
        <v>66</v>
      </c>
      <c r="C753" t="s">
        <v>28</v>
      </c>
      <c r="D753" t="s">
        <v>122</v>
      </c>
      <c r="E753" t="s">
        <v>148</v>
      </c>
      <c r="F753" t="s">
        <v>238</v>
      </c>
      <c r="G753" t="s">
        <v>32</v>
      </c>
      <c r="H753">
        <v>6.7</v>
      </c>
      <c r="I753">
        <v>11.3</v>
      </c>
      <c r="J753" t="s">
        <v>33</v>
      </c>
      <c r="K753" t="s">
        <v>482</v>
      </c>
      <c r="L753" t="s">
        <v>48</v>
      </c>
      <c r="M753" t="s">
        <v>1572</v>
      </c>
      <c r="N753" t="s">
        <v>71</v>
      </c>
      <c r="O753">
        <v>1</v>
      </c>
      <c r="P753" t="s">
        <v>112</v>
      </c>
      <c r="Q753">
        <v>1529</v>
      </c>
      <c r="R753">
        <v>2000</v>
      </c>
      <c r="S753" t="s">
        <v>113</v>
      </c>
      <c r="T753" t="s">
        <v>81</v>
      </c>
      <c r="U753" t="s">
        <v>52</v>
      </c>
      <c r="V753" t="s">
        <v>39</v>
      </c>
      <c r="W753" t="s">
        <v>52</v>
      </c>
      <c r="X753">
        <v>2023</v>
      </c>
      <c r="Y753" t="s">
        <v>114</v>
      </c>
      <c r="Z753" t="s">
        <v>41</v>
      </c>
    </row>
    <row r="754" spans="1:26">
      <c r="A754" t="s">
        <v>1667</v>
      </c>
      <c r="B754" t="s">
        <v>93</v>
      </c>
      <c r="C754" t="s">
        <v>164</v>
      </c>
      <c r="D754" t="s">
        <v>85</v>
      </c>
      <c r="E754" t="s">
        <v>138</v>
      </c>
      <c r="F754" t="s">
        <v>57</v>
      </c>
      <c r="G754" t="s">
        <v>58</v>
      </c>
      <c r="H754">
        <v>0.9</v>
      </c>
      <c r="I754">
        <v>33.700000000000003</v>
      </c>
      <c r="J754" t="s">
        <v>156</v>
      </c>
      <c r="K754" t="s">
        <v>1668</v>
      </c>
      <c r="L754" t="s">
        <v>98</v>
      </c>
      <c r="M754" t="s">
        <v>1669</v>
      </c>
      <c r="N754" t="s">
        <v>171</v>
      </c>
      <c r="O754">
        <v>64</v>
      </c>
      <c r="Q754">
        <v>0</v>
      </c>
      <c r="R754">
        <v>0</v>
      </c>
      <c r="T754" t="s">
        <v>62</v>
      </c>
      <c r="U754" t="s">
        <v>39</v>
      </c>
      <c r="V754" t="s">
        <v>39</v>
      </c>
      <c r="W754" t="s">
        <v>52</v>
      </c>
      <c r="X754">
        <v>2023</v>
      </c>
      <c r="Y754" t="s">
        <v>82</v>
      </c>
      <c r="Z754" t="s">
        <v>83</v>
      </c>
    </row>
    <row r="755" spans="1:26">
      <c r="A755" t="s">
        <v>1670</v>
      </c>
      <c r="B755" t="s">
        <v>27</v>
      </c>
      <c r="C755" t="s">
        <v>121</v>
      </c>
      <c r="D755" t="s">
        <v>77</v>
      </c>
      <c r="E755" t="s">
        <v>168</v>
      </c>
      <c r="F755" t="s">
        <v>124</v>
      </c>
      <c r="G755" t="s">
        <v>32</v>
      </c>
      <c r="H755">
        <v>6.3</v>
      </c>
      <c r="I755">
        <v>27.1</v>
      </c>
      <c r="J755" t="s">
        <v>33</v>
      </c>
      <c r="K755" t="s">
        <v>917</v>
      </c>
      <c r="L755" t="s">
        <v>35</v>
      </c>
      <c r="M755" t="s">
        <v>806</v>
      </c>
      <c r="N755" t="s">
        <v>71</v>
      </c>
      <c r="O755">
        <v>3</v>
      </c>
      <c r="P755" t="s">
        <v>105</v>
      </c>
      <c r="Q755">
        <v>7264</v>
      </c>
      <c r="R755">
        <v>0</v>
      </c>
      <c r="S755" t="s">
        <v>90</v>
      </c>
      <c r="T755" t="s">
        <v>81</v>
      </c>
      <c r="U755" t="s">
        <v>39</v>
      </c>
      <c r="V755" t="s">
        <v>52</v>
      </c>
      <c r="W755" t="s">
        <v>52</v>
      </c>
      <c r="X755">
        <v>2023</v>
      </c>
      <c r="Y755" t="s">
        <v>128</v>
      </c>
      <c r="Z755" t="s">
        <v>64</v>
      </c>
    </row>
    <row r="756" spans="1:26">
      <c r="A756" t="s">
        <v>1671</v>
      </c>
      <c r="B756" t="s">
        <v>66</v>
      </c>
      <c r="C756" t="s">
        <v>121</v>
      </c>
      <c r="D756" t="s">
        <v>29</v>
      </c>
      <c r="E756" t="s">
        <v>30</v>
      </c>
      <c r="F756" t="s">
        <v>160</v>
      </c>
      <c r="G756" t="s">
        <v>58</v>
      </c>
      <c r="H756">
        <v>5.2</v>
      </c>
      <c r="I756">
        <v>6.3</v>
      </c>
      <c r="J756" t="s">
        <v>20</v>
      </c>
      <c r="K756" t="s">
        <v>735</v>
      </c>
      <c r="L756" t="s">
        <v>35</v>
      </c>
      <c r="M756" t="s">
        <v>80</v>
      </c>
      <c r="N756" t="s">
        <v>71</v>
      </c>
      <c r="O756">
        <v>66</v>
      </c>
      <c r="P756" t="s">
        <v>230</v>
      </c>
      <c r="Q756">
        <v>4067</v>
      </c>
      <c r="R756">
        <v>500</v>
      </c>
      <c r="S756" t="s">
        <v>152</v>
      </c>
      <c r="T756" t="s">
        <v>81</v>
      </c>
      <c r="U756" t="s">
        <v>52</v>
      </c>
      <c r="V756" t="s">
        <v>52</v>
      </c>
      <c r="W756" t="s">
        <v>52</v>
      </c>
      <c r="X756">
        <v>2024</v>
      </c>
      <c r="Y756" t="s">
        <v>82</v>
      </c>
      <c r="Z756" t="s">
        <v>83</v>
      </c>
    </row>
    <row r="757" spans="1:26">
      <c r="A757" t="s">
        <v>1672</v>
      </c>
      <c r="B757" t="s">
        <v>93</v>
      </c>
      <c r="C757" t="s">
        <v>44</v>
      </c>
      <c r="D757" t="s">
        <v>85</v>
      </c>
      <c r="E757" t="s">
        <v>174</v>
      </c>
      <c r="F757" t="s">
        <v>160</v>
      </c>
      <c r="G757" t="s">
        <v>32</v>
      </c>
      <c r="H757">
        <v>10.9</v>
      </c>
      <c r="I757">
        <v>22.6</v>
      </c>
      <c r="J757" t="s">
        <v>33</v>
      </c>
      <c r="K757" t="s">
        <v>583</v>
      </c>
      <c r="L757" t="s">
        <v>35</v>
      </c>
      <c r="M757" t="s">
        <v>946</v>
      </c>
      <c r="N757" t="s">
        <v>61</v>
      </c>
      <c r="O757">
        <v>72</v>
      </c>
      <c r="Q757">
        <v>0</v>
      </c>
      <c r="R757">
        <v>0</v>
      </c>
      <c r="T757" t="s">
        <v>38</v>
      </c>
      <c r="U757" t="s">
        <v>52</v>
      </c>
      <c r="V757" t="s">
        <v>39</v>
      </c>
      <c r="W757" t="s">
        <v>52</v>
      </c>
      <c r="X757">
        <v>2022</v>
      </c>
      <c r="Y757" t="s">
        <v>211</v>
      </c>
      <c r="Z757" t="s">
        <v>41</v>
      </c>
    </row>
    <row r="758" spans="1:26">
      <c r="A758" t="s">
        <v>1673</v>
      </c>
      <c r="B758" t="s">
        <v>66</v>
      </c>
      <c r="C758" t="s">
        <v>44</v>
      </c>
      <c r="D758" t="s">
        <v>77</v>
      </c>
      <c r="E758" t="s">
        <v>94</v>
      </c>
      <c r="F758" t="s">
        <v>238</v>
      </c>
      <c r="G758" t="s">
        <v>58</v>
      </c>
      <c r="H758">
        <v>7.3</v>
      </c>
      <c r="I758">
        <v>30.5</v>
      </c>
      <c r="J758" t="s">
        <v>20</v>
      </c>
      <c r="K758" t="s">
        <v>842</v>
      </c>
      <c r="L758" t="s">
        <v>98</v>
      </c>
      <c r="M758" t="s">
        <v>1674</v>
      </c>
      <c r="N758" t="s">
        <v>50</v>
      </c>
      <c r="O758">
        <v>27</v>
      </c>
      <c r="Q758">
        <v>0</v>
      </c>
      <c r="R758">
        <v>1000</v>
      </c>
      <c r="T758" t="s">
        <v>38</v>
      </c>
      <c r="U758" t="s">
        <v>39</v>
      </c>
      <c r="V758" t="s">
        <v>39</v>
      </c>
      <c r="W758" t="s">
        <v>52</v>
      </c>
      <c r="X758">
        <v>2023</v>
      </c>
      <c r="Y758" t="s">
        <v>153</v>
      </c>
      <c r="Z758" t="s">
        <v>54</v>
      </c>
    </row>
    <row r="759" spans="1:26">
      <c r="A759" t="s">
        <v>1675</v>
      </c>
      <c r="B759" t="s">
        <v>27</v>
      </c>
      <c r="C759" t="s">
        <v>76</v>
      </c>
      <c r="D759" t="s">
        <v>122</v>
      </c>
      <c r="E759" t="s">
        <v>202</v>
      </c>
      <c r="F759" t="s">
        <v>57</v>
      </c>
      <c r="G759" t="s">
        <v>32</v>
      </c>
      <c r="H759">
        <v>9.5</v>
      </c>
      <c r="I759">
        <v>29.9</v>
      </c>
      <c r="J759" t="s">
        <v>156</v>
      </c>
      <c r="K759" t="s">
        <v>1676</v>
      </c>
      <c r="L759" t="s">
        <v>35</v>
      </c>
      <c r="M759" t="s">
        <v>461</v>
      </c>
      <c r="N759" t="s">
        <v>71</v>
      </c>
      <c r="O759">
        <v>101</v>
      </c>
      <c r="P759" t="s">
        <v>89</v>
      </c>
      <c r="Q759">
        <v>1922</v>
      </c>
      <c r="R759">
        <v>2000</v>
      </c>
      <c r="S759" t="s">
        <v>113</v>
      </c>
      <c r="T759" t="s">
        <v>38</v>
      </c>
      <c r="U759" t="s">
        <v>39</v>
      </c>
      <c r="V759" t="s">
        <v>39</v>
      </c>
      <c r="W759" t="s">
        <v>52</v>
      </c>
      <c r="X759">
        <v>2024</v>
      </c>
      <c r="Y759" t="s">
        <v>53</v>
      </c>
      <c r="Z759" t="s">
        <v>54</v>
      </c>
    </row>
    <row r="760" spans="1:26">
      <c r="A760" t="s">
        <v>1677</v>
      </c>
      <c r="B760" t="s">
        <v>43</v>
      </c>
      <c r="C760" t="s">
        <v>173</v>
      </c>
      <c r="D760" t="s">
        <v>85</v>
      </c>
      <c r="E760" t="s">
        <v>174</v>
      </c>
      <c r="F760" t="s">
        <v>149</v>
      </c>
      <c r="G760" t="s">
        <v>58</v>
      </c>
      <c r="H760">
        <v>9.8000000000000007</v>
      </c>
      <c r="I760">
        <v>12.4</v>
      </c>
      <c r="J760" t="s">
        <v>33</v>
      </c>
      <c r="K760" t="s">
        <v>279</v>
      </c>
      <c r="L760" t="s">
        <v>126</v>
      </c>
      <c r="M760" t="s">
        <v>1271</v>
      </c>
      <c r="N760" t="s">
        <v>171</v>
      </c>
      <c r="O760">
        <v>65</v>
      </c>
      <c r="Q760">
        <v>0</v>
      </c>
      <c r="R760">
        <v>0</v>
      </c>
      <c r="T760" t="s">
        <v>51</v>
      </c>
      <c r="U760" t="s">
        <v>39</v>
      </c>
      <c r="V760" t="s">
        <v>39</v>
      </c>
      <c r="W760" t="s">
        <v>52</v>
      </c>
      <c r="X760">
        <v>2024</v>
      </c>
      <c r="Y760" t="s">
        <v>40</v>
      </c>
      <c r="Z760" t="s">
        <v>41</v>
      </c>
    </row>
    <row r="761" spans="1:26">
      <c r="A761" t="s">
        <v>1678</v>
      </c>
      <c r="B761" t="s">
        <v>43</v>
      </c>
      <c r="C761" t="s">
        <v>67</v>
      </c>
      <c r="D761" t="s">
        <v>85</v>
      </c>
      <c r="E761" t="s">
        <v>402</v>
      </c>
      <c r="F761" t="s">
        <v>160</v>
      </c>
      <c r="G761" t="s">
        <v>58</v>
      </c>
      <c r="H761">
        <v>7.4</v>
      </c>
      <c r="I761">
        <v>26</v>
      </c>
      <c r="J761" t="s">
        <v>156</v>
      </c>
      <c r="K761" t="s">
        <v>1679</v>
      </c>
      <c r="L761" t="s">
        <v>35</v>
      </c>
      <c r="M761" t="s">
        <v>282</v>
      </c>
      <c r="N761" t="s">
        <v>71</v>
      </c>
      <c r="O761">
        <v>128</v>
      </c>
      <c r="P761" t="s">
        <v>112</v>
      </c>
      <c r="Q761">
        <v>1867</v>
      </c>
      <c r="R761">
        <v>0</v>
      </c>
      <c r="S761" t="s">
        <v>152</v>
      </c>
      <c r="T761" t="s">
        <v>62</v>
      </c>
      <c r="U761" t="s">
        <v>52</v>
      </c>
      <c r="V761" t="s">
        <v>52</v>
      </c>
      <c r="W761" t="s">
        <v>52</v>
      </c>
      <c r="X761">
        <v>2022</v>
      </c>
      <c r="Y761" t="s">
        <v>63</v>
      </c>
      <c r="Z761" t="s">
        <v>64</v>
      </c>
    </row>
    <row r="762" spans="1:26">
      <c r="A762" t="s">
        <v>1680</v>
      </c>
      <c r="B762" t="s">
        <v>93</v>
      </c>
      <c r="C762" t="s">
        <v>164</v>
      </c>
      <c r="D762" t="s">
        <v>85</v>
      </c>
      <c r="E762" t="s">
        <v>208</v>
      </c>
      <c r="F762" t="s">
        <v>68</v>
      </c>
      <c r="G762" t="s">
        <v>32</v>
      </c>
      <c r="H762">
        <v>4.0999999999999996</v>
      </c>
      <c r="I762">
        <v>15.6</v>
      </c>
      <c r="J762" t="s">
        <v>33</v>
      </c>
      <c r="K762" t="s">
        <v>961</v>
      </c>
      <c r="L762" t="s">
        <v>35</v>
      </c>
      <c r="M762" t="s">
        <v>1495</v>
      </c>
      <c r="N762" t="s">
        <v>171</v>
      </c>
      <c r="O762">
        <v>125</v>
      </c>
      <c r="Q762">
        <v>0</v>
      </c>
      <c r="R762">
        <v>0</v>
      </c>
      <c r="T762" t="s">
        <v>81</v>
      </c>
      <c r="U762" t="s">
        <v>39</v>
      </c>
      <c r="V762" t="s">
        <v>52</v>
      </c>
      <c r="W762" t="s">
        <v>52</v>
      </c>
      <c r="X762">
        <v>2023</v>
      </c>
      <c r="Y762" t="s">
        <v>153</v>
      </c>
      <c r="Z762" t="s">
        <v>54</v>
      </c>
    </row>
    <row r="763" spans="1:26">
      <c r="A763" t="s">
        <v>1681</v>
      </c>
      <c r="B763" t="s">
        <v>66</v>
      </c>
      <c r="C763" t="s">
        <v>44</v>
      </c>
      <c r="D763" t="s">
        <v>29</v>
      </c>
      <c r="E763" t="s">
        <v>244</v>
      </c>
      <c r="F763" t="s">
        <v>160</v>
      </c>
      <c r="G763" t="s">
        <v>58</v>
      </c>
      <c r="H763">
        <v>1.2</v>
      </c>
      <c r="I763">
        <v>21.1</v>
      </c>
      <c r="J763" t="s">
        <v>156</v>
      </c>
      <c r="K763" t="s">
        <v>355</v>
      </c>
      <c r="L763" t="s">
        <v>60</v>
      </c>
      <c r="M763" t="s">
        <v>69</v>
      </c>
      <c r="N763" t="s">
        <v>71</v>
      </c>
      <c r="O763">
        <v>102</v>
      </c>
      <c r="P763" t="s">
        <v>105</v>
      </c>
      <c r="Q763">
        <v>2313</v>
      </c>
      <c r="R763">
        <v>0</v>
      </c>
      <c r="S763" t="s">
        <v>152</v>
      </c>
      <c r="T763" t="s">
        <v>136</v>
      </c>
      <c r="U763" t="s">
        <v>39</v>
      </c>
      <c r="V763" t="s">
        <v>52</v>
      </c>
      <c r="W763" t="s">
        <v>39</v>
      </c>
      <c r="X763">
        <v>2022</v>
      </c>
      <c r="Y763" t="s">
        <v>63</v>
      </c>
      <c r="Z763" t="s">
        <v>64</v>
      </c>
    </row>
    <row r="764" spans="1:26">
      <c r="A764" t="s">
        <v>1682</v>
      </c>
      <c r="B764" t="s">
        <v>43</v>
      </c>
      <c r="C764" t="s">
        <v>173</v>
      </c>
      <c r="D764" t="s">
        <v>29</v>
      </c>
      <c r="E764" t="s">
        <v>244</v>
      </c>
      <c r="F764" t="s">
        <v>238</v>
      </c>
      <c r="G764" t="s">
        <v>32</v>
      </c>
      <c r="H764">
        <v>9.9</v>
      </c>
      <c r="I764">
        <v>9</v>
      </c>
      <c r="J764" t="s">
        <v>33</v>
      </c>
      <c r="K764" t="s">
        <v>512</v>
      </c>
      <c r="L764" t="s">
        <v>98</v>
      </c>
      <c r="M764" t="s">
        <v>1132</v>
      </c>
      <c r="N764" t="s">
        <v>37</v>
      </c>
      <c r="O764">
        <v>83</v>
      </c>
      <c r="Q764">
        <v>0</v>
      </c>
      <c r="R764">
        <v>1000</v>
      </c>
      <c r="T764" t="s">
        <v>81</v>
      </c>
      <c r="U764" t="s">
        <v>39</v>
      </c>
      <c r="V764" t="s">
        <v>39</v>
      </c>
      <c r="W764" t="s">
        <v>52</v>
      </c>
      <c r="X764">
        <v>2022</v>
      </c>
      <c r="Y764" t="s">
        <v>153</v>
      </c>
      <c r="Z764" t="s">
        <v>54</v>
      </c>
    </row>
    <row r="765" spans="1:26">
      <c r="A765" t="s">
        <v>1683</v>
      </c>
      <c r="B765" t="s">
        <v>108</v>
      </c>
      <c r="C765" t="s">
        <v>44</v>
      </c>
      <c r="D765" t="s">
        <v>77</v>
      </c>
      <c r="E765" t="s">
        <v>216</v>
      </c>
      <c r="F765" t="s">
        <v>109</v>
      </c>
      <c r="G765" t="s">
        <v>58</v>
      </c>
      <c r="H765">
        <v>10.3</v>
      </c>
      <c r="I765">
        <v>17.2</v>
      </c>
      <c r="J765" t="s">
        <v>144</v>
      </c>
      <c r="K765" t="s">
        <v>1361</v>
      </c>
      <c r="L765" t="s">
        <v>48</v>
      </c>
      <c r="M765" t="s">
        <v>820</v>
      </c>
      <c r="N765" t="s">
        <v>37</v>
      </c>
      <c r="O765">
        <v>76</v>
      </c>
      <c r="Q765">
        <v>0</v>
      </c>
      <c r="R765">
        <v>0</v>
      </c>
      <c r="T765" t="s">
        <v>62</v>
      </c>
      <c r="U765" t="s">
        <v>52</v>
      </c>
      <c r="V765" t="s">
        <v>52</v>
      </c>
      <c r="W765" t="s">
        <v>52</v>
      </c>
      <c r="X765">
        <v>2022</v>
      </c>
      <c r="Y765" t="s">
        <v>106</v>
      </c>
      <c r="Z765" t="s">
        <v>83</v>
      </c>
    </row>
    <row r="766" spans="1:26">
      <c r="A766" t="s">
        <v>1684</v>
      </c>
      <c r="B766" t="s">
        <v>43</v>
      </c>
      <c r="C766" t="s">
        <v>67</v>
      </c>
      <c r="D766" t="s">
        <v>29</v>
      </c>
      <c r="E766" t="s">
        <v>94</v>
      </c>
      <c r="F766" t="s">
        <v>109</v>
      </c>
      <c r="G766" t="s">
        <v>32</v>
      </c>
      <c r="H766">
        <v>4.5</v>
      </c>
      <c r="I766">
        <v>31.6</v>
      </c>
      <c r="J766" t="s">
        <v>33</v>
      </c>
      <c r="K766" t="s">
        <v>1221</v>
      </c>
      <c r="L766" t="s">
        <v>98</v>
      </c>
      <c r="M766" t="s">
        <v>1685</v>
      </c>
      <c r="N766" t="s">
        <v>100</v>
      </c>
      <c r="O766">
        <v>68</v>
      </c>
      <c r="Q766">
        <v>0</v>
      </c>
      <c r="R766">
        <v>0</v>
      </c>
      <c r="T766" t="s">
        <v>81</v>
      </c>
      <c r="U766" t="s">
        <v>39</v>
      </c>
      <c r="V766" t="s">
        <v>52</v>
      </c>
      <c r="W766" t="s">
        <v>52</v>
      </c>
      <c r="X766">
        <v>2024</v>
      </c>
      <c r="Y766" t="s">
        <v>106</v>
      </c>
      <c r="Z766" t="s">
        <v>83</v>
      </c>
    </row>
    <row r="767" spans="1:26">
      <c r="A767" t="s">
        <v>1686</v>
      </c>
      <c r="B767" t="s">
        <v>43</v>
      </c>
      <c r="C767" t="s">
        <v>67</v>
      </c>
      <c r="D767" t="s">
        <v>29</v>
      </c>
      <c r="E767" t="s">
        <v>244</v>
      </c>
      <c r="F767" t="s">
        <v>109</v>
      </c>
      <c r="G767" t="s">
        <v>58</v>
      </c>
      <c r="H767">
        <v>1.3</v>
      </c>
      <c r="I767">
        <v>29</v>
      </c>
      <c r="J767" t="s">
        <v>144</v>
      </c>
      <c r="K767" t="s">
        <v>430</v>
      </c>
      <c r="L767" t="s">
        <v>60</v>
      </c>
      <c r="M767" t="s">
        <v>423</v>
      </c>
      <c r="N767" t="s">
        <v>50</v>
      </c>
      <c r="O767">
        <v>25</v>
      </c>
      <c r="Q767">
        <v>0</v>
      </c>
      <c r="R767">
        <v>500</v>
      </c>
      <c r="T767" t="s">
        <v>62</v>
      </c>
      <c r="U767" t="s">
        <v>39</v>
      </c>
      <c r="V767" t="s">
        <v>52</v>
      </c>
      <c r="W767" t="s">
        <v>52</v>
      </c>
      <c r="X767">
        <v>2022</v>
      </c>
      <c r="Y767" t="s">
        <v>114</v>
      </c>
      <c r="Z767" t="s">
        <v>41</v>
      </c>
    </row>
    <row r="768" spans="1:26">
      <c r="A768" t="s">
        <v>1687</v>
      </c>
      <c r="B768" t="s">
        <v>93</v>
      </c>
      <c r="C768" t="s">
        <v>121</v>
      </c>
      <c r="D768" t="s">
        <v>77</v>
      </c>
      <c r="E768" t="s">
        <v>94</v>
      </c>
      <c r="F768" t="s">
        <v>68</v>
      </c>
      <c r="G768" t="s">
        <v>58</v>
      </c>
      <c r="H768">
        <v>6.8</v>
      </c>
      <c r="I768">
        <v>2.5</v>
      </c>
      <c r="J768" t="s">
        <v>156</v>
      </c>
      <c r="K768" t="s">
        <v>1688</v>
      </c>
      <c r="L768" t="s">
        <v>60</v>
      </c>
      <c r="M768" t="s">
        <v>1529</v>
      </c>
      <c r="N768" t="s">
        <v>71</v>
      </c>
      <c r="O768">
        <v>44</v>
      </c>
      <c r="P768" t="s">
        <v>230</v>
      </c>
      <c r="Q768">
        <v>7587</v>
      </c>
      <c r="R768">
        <v>500</v>
      </c>
      <c r="S768" t="s">
        <v>152</v>
      </c>
      <c r="T768" t="s">
        <v>62</v>
      </c>
      <c r="U768" t="s">
        <v>39</v>
      </c>
      <c r="V768" t="s">
        <v>52</v>
      </c>
      <c r="W768" t="s">
        <v>39</v>
      </c>
      <c r="X768">
        <v>2022</v>
      </c>
      <c r="Y768" t="s">
        <v>53</v>
      </c>
      <c r="Z768" t="s">
        <v>54</v>
      </c>
    </row>
    <row r="769" spans="1:26">
      <c r="A769" t="s">
        <v>1689</v>
      </c>
      <c r="B769" t="s">
        <v>27</v>
      </c>
      <c r="C769" t="s">
        <v>173</v>
      </c>
      <c r="D769" t="s">
        <v>77</v>
      </c>
      <c r="E769" t="s">
        <v>78</v>
      </c>
      <c r="F769" t="s">
        <v>46</v>
      </c>
      <c r="G769" t="s">
        <v>58</v>
      </c>
      <c r="H769">
        <v>2.7</v>
      </c>
      <c r="I769">
        <v>16.100000000000001</v>
      </c>
      <c r="J769" t="s">
        <v>20</v>
      </c>
      <c r="K769" t="s">
        <v>515</v>
      </c>
      <c r="L769" t="s">
        <v>140</v>
      </c>
      <c r="M769" t="s">
        <v>232</v>
      </c>
      <c r="N769" t="s">
        <v>100</v>
      </c>
      <c r="O769">
        <v>35</v>
      </c>
      <c r="Q769">
        <v>0</v>
      </c>
      <c r="R769">
        <v>0</v>
      </c>
      <c r="T769" t="s">
        <v>136</v>
      </c>
      <c r="U769" t="s">
        <v>39</v>
      </c>
      <c r="V769" t="s">
        <v>52</v>
      </c>
      <c r="W769" t="s">
        <v>52</v>
      </c>
      <c r="X769">
        <v>2024</v>
      </c>
      <c r="Y769" t="s">
        <v>153</v>
      </c>
      <c r="Z769" t="s">
        <v>54</v>
      </c>
    </row>
    <row r="770" spans="1:26">
      <c r="A770" t="s">
        <v>1690</v>
      </c>
      <c r="B770" t="s">
        <v>43</v>
      </c>
      <c r="C770" t="s">
        <v>102</v>
      </c>
      <c r="D770" t="s">
        <v>77</v>
      </c>
      <c r="E770" t="s">
        <v>220</v>
      </c>
      <c r="F770" t="s">
        <v>124</v>
      </c>
      <c r="G770" t="s">
        <v>58</v>
      </c>
      <c r="H770">
        <v>0.9</v>
      </c>
      <c r="I770">
        <v>14.8</v>
      </c>
      <c r="J770" t="s">
        <v>96</v>
      </c>
      <c r="K770" t="s">
        <v>1162</v>
      </c>
      <c r="L770" t="s">
        <v>48</v>
      </c>
      <c r="M770" t="s">
        <v>1691</v>
      </c>
      <c r="N770" t="s">
        <v>71</v>
      </c>
      <c r="O770">
        <v>151</v>
      </c>
      <c r="P770" t="s">
        <v>230</v>
      </c>
      <c r="Q770">
        <v>3581</v>
      </c>
      <c r="R770">
        <v>1000</v>
      </c>
      <c r="S770" t="s">
        <v>90</v>
      </c>
      <c r="T770" t="s">
        <v>38</v>
      </c>
      <c r="U770" t="s">
        <v>39</v>
      </c>
      <c r="V770" t="s">
        <v>39</v>
      </c>
      <c r="W770" t="s">
        <v>39</v>
      </c>
      <c r="X770">
        <v>2024</v>
      </c>
      <c r="Y770" t="s">
        <v>106</v>
      </c>
      <c r="Z770" t="s">
        <v>83</v>
      </c>
    </row>
    <row r="771" spans="1:26">
      <c r="A771" t="s">
        <v>1692</v>
      </c>
      <c r="B771" t="s">
        <v>93</v>
      </c>
      <c r="C771" t="s">
        <v>164</v>
      </c>
      <c r="D771" t="s">
        <v>85</v>
      </c>
      <c r="E771" t="s">
        <v>138</v>
      </c>
      <c r="F771" t="s">
        <v>95</v>
      </c>
      <c r="G771" t="s">
        <v>32</v>
      </c>
      <c r="H771">
        <v>8.4</v>
      </c>
      <c r="I771">
        <v>5.3</v>
      </c>
      <c r="J771" t="s">
        <v>33</v>
      </c>
      <c r="K771" t="s">
        <v>1109</v>
      </c>
      <c r="L771" t="s">
        <v>48</v>
      </c>
      <c r="M771" t="s">
        <v>1693</v>
      </c>
      <c r="N771" t="s">
        <v>100</v>
      </c>
      <c r="O771">
        <v>105</v>
      </c>
      <c r="Q771">
        <v>0</v>
      </c>
      <c r="R771">
        <v>0</v>
      </c>
      <c r="T771" t="s">
        <v>136</v>
      </c>
      <c r="U771" t="s">
        <v>39</v>
      </c>
      <c r="V771" t="s">
        <v>52</v>
      </c>
      <c r="W771" t="s">
        <v>39</v>
      </c>
      <c r="X771">
        <v>2024</v>
      </c>
      <c r="Y771" t="s">
        <v>312</v>
      </c>
      <c r="Z771" t="s">
        <v>83</v>
      </c>
    </row>
    <row r="772" spans="1:26">
      <c r="A772" t="s">
        <v>1694</v>
      </c>
      <c r="B772" t="s">
        <v>93</v>
      </c>
      <c r="C772" t="s">
        <v>121</v>
      </c>
      <c r="D772" t="s">
        <v>77</v>
      </c>
      <c r="E772" t="s">
        <v>168</v>
      </c>
      <c r="F772" t="s">
        <v>95</v>
      </c>
      <c r="G772" t="s">
        <v>32</v>
      </c>
      <c r="H772">
        <v>11.8</v>
      </c>
      <c r="I772">
        <v>22.3</v>
      </c>
      <c r="J772" t="s">
        <v>33</v>
      </c>
      <c r="K772" t="s">
        <v>1695</v>
      </c>
      <c r="L772" t="s">
        <v>140</v>
      </c>
      <c r="M772" t="s">
        <v>1257</v>
      </c>
      <c r="N772" t="s">
        <v>37</v>
      </c>
      <c r="O772">
        <v>52</v>
      </c>
      <c r="Q772">
        <v>0</v>
      </c>
      <c r="R772">
        <v>500</v>
      </c>
      <c r="T772" t="s">
        <v>38</v>
      </c>
      <c r="U772" t="s">
        <v>39</v>
      </c>
      <c r="V772" t="s">
        <v>52</v>
      </c>
      <c r="W772" t="s">
        <v>52</v>
      </c>
      <c r="X772">
        <v>2024</v>
      </c>
      <c r="Y772" t="s">
        <v>74</v>
      </c>
      <c r="Z772" t="s">
        <v>54</v>
      </c>
    </row>
    <row r="773" spans="1:26">
      <c r="A773" t="s">
        <v>1696</v>
      </c>
      <c r="B773" t="s">
        <v>27</v>
      </c>
      <c r="C773" t="s">
        <v>67</v>
      </c>
      <c r="D773" t="s">
        <v>29</v>
      </c>
      <c r="E773" t="s">
        <v>45</v>
      </c>
      <c r="F773" t="s">
        <v>95</v>
      </c>
      <c r="G773" t="s">
        <v>58</v>
      </c>
      <c r="H773">
        <v>4.7</v>
      </c>
      <c r="I773">
        <v>1.5</v>
      </c>
      <c r="J773" t="s">
        <v>33</v>
      </c>
      <c r="K773" t="s">
        <v>1278</v>
      </c>
      <c r="L773" t="s">
        <v>98</v>
      </c>
      <c r="M773" t="s">
        <v>145</v>
      </c>
      <c r="N773" t="s">
        <v>71</v>
      </c>
      <c r="O773">
        <v>136</v>
      </c>
      <c r="P773" t="s">
        <v>105</v>
      </c>
      <c r="Q773">
        <v>1519</v>
      </c>
      <c r="R773">
        <v>0</v>
      </c>
      <c r="S773" t="s">
        <v>90</v>
      </c>
      <c r="T773" t="s">
        <v>81</v>
      </c>
      <c r="U773" t="s">
        <v>39</v>
      </c>
      <c r="V773" t="s">
        <v>52</v>
      </c>
      <c r="W773" t="s">
        <v>39</v>
      </c>
      <c r="X773">
        <v>2022</v>
      </c>
      <c r="Y773" t="s">
        <v>106</v>
      </c>
      <c r="Z773" t="s">
        <v>83</v>
      </c>
    </row>
    <row r="774" spans="1:26">
      <c r="A774" t="s">
        <v>1697</v>
      </c>
      <c r="B774" t="s">
        <v>27</v>
      </c>
      <c r="C774" t="s">
        <v>76</v>
      </c>
      <c r="D774" t="s">
        <v>77</v>
      </c>
      <c r="E774" t="s">
        <v>260</v>
      </c>
      <c r="F774" t="s">
        <v>109</v>
      </c>
      <c r="G774" t="s">
        <v>58</v>
      </c>
      <c r="H774">
        <v>9.8000000000000007</v>
      </c>
      <c r="I774">
        <v>15.9</v>
      </c>
      <c r="J774" t="s">
        <v>96</v>
      </c>
      <c r="K774" t="s">
        <v>1698</v>
      </c>
      <c r="L774" t="s">
        <v>60</v>
      </c>
      <c r="M774" t="s">
        <v>881</v>
      </c>
      <c r="N774" t="s">
        <v>71</v>
      </c>
      <c r="O774">
        <v>113</v>
      </c>
      <c r="P774" t="s">
        <v>72</v>
      </c>
      <c r="Q774">
        <v>7156</v>
      </c>
      <c r="R774">
        <v>0</v>
      </c>
      <c r="S774" t="s">
        <v>73</v>
      </c>
      <c r="T774" t="s">
        <v>51</v>
      </c>
      <c r="U774" t="s">
        <v>39</v>
      </c>
      <c r="V774" t="s">
        <v>52</v>
      </c>
      <c r="W774" t="s">
        <v>52</v>
      </c>
      <c r="X774">
        <v>2022</v>
      </c>
      <c r="Y774" t="s">
        <v>63</v>
      </c>
      <c r="Z774" t="s">
        <v>64</v>
      </c>
    </row>
    <row r="775" spans="1:26">
      <c r="A775" t="s">
        <v>1699</v>
      </c>
      <c r="B775" t="s">
        <v>27</v>
      </c>
      <c r="C775" t="s">
        <v>44</v>
      </c>
      <c r="D775" t="s">
        <v>29</v>
      </c>
      <c r="E775" t="s">
        <v>117</v>
      </c>
      <c r="F775" t="s">
        <v>149</v>
      </c>
      <c r="G775" t="s">
        <v>58</v>
      </c>
      <c r="H775">
        <v>11.3</v>
      </c>
      <c r="I775">
        <v>32.5</v>
      </c>
      <c r="J775" t="s">
        <v>156</v>
      </c>
      <c r="K775" t="s">
        <v>1285</v>
      </c>
      <c r="L775" t="s">
        <v>140</v>
      </c>
      <c r="M775" t="s">
        <v>1700</v>
      </c>
      <c r="N775" t="s">
        <v>71</v>
      </c>
      <c r="O775">
        <v>155</v>
      </c>
      <c r="P775" t="s">
        <v>230</v>
      </c>
      <c r="Q775">
        <v>4011</v>
      </c>
      <c r="R775">
        <v>0</v>
      </c>
      <c r="S775" t="s">
        <v>152</v>
      </c>
      <c r="T775" t="s">
        <v>81</v>
      </c>
      <c r="U775" t="s">
        <v>39</v>
      </c>
      <c r="V775" t="s">
        <v>39</v>
      </c>
      <c r="W775" t="s">
        <v>52</v>
      </c>
      <c r="X775">
        <v>2023</v>
      </c>
      <c r="Y775" t="s">
        <v>106</v>
      </c>
      <c r="Z775" t="s">
        <v>83</v>
      </c>
    </row>
    <row r="776" spans="1:26">
      <c r="A776" t="s">
        <v>1701</v>
      </c>
      <c r="B776" t="s">
        <v>108</v>
      </c>
      <c r="C776" t="s">
        <v>28</v>
      </c>
      <c r="D776" t="s">
        <v>77</v>
      </c>
      <c r="E776" t="s">
        <v>363</v>
      </c>
      <c r="F776" t="s">
        <v>109</v>
      </c>
      <c r="G776" t="s">
        <v>58</v>
      </c>
      <c r="H776">
        <v>0.8</v>
      </c>
      <c r="I776">
        <v>34.4</v>
      </c>
      <c r="J776" t="s">
        <v>156</v>
      </c>
      <c r="K776" t="s">
        <v>1702</v>
      </c>
      <c r="L776" t="s">
        <v>98</v>
      </c>
      <c r="M776" t="s">
        <v>664</v>
      </c>
      <c r="N776" t="s">
        <v>171</v>
      </c>
      <c r="O776">
        <v>11</v>
      </c>
      <c r="Q776">
        <v>0</v>
      </c>
      <c r="R776">
        <v>0</v>
      </c>
      <c r="T776" t="s">
        <v>51</v>
      </c>
      <c r="U776" t="s">
        <v>52</v>
      </c>
      <c r="V776" t="s">
        <v>52</v>
      </c>
      <c r="W776" t="s">
        <v>52</v>
      </c>
      <c r="X776">
        <v>2024</v>
      </c>
      <c r="Y776" t="s">
        <v>74</v>
      </c>
      <c r="Z776" t="s">
        <v>54</v>
      </c>
    </row>
    <row r="777" spans="1:26">
      <c r="A777" t="s">
        <v>1703</v>
      </c>
      <c r="B777" t="s">
        <v>108</v>
      </c>
      <c r="C777" t="s">
        <v>44</v>
      </c>
      <c r="D777" t="s">
        <v>29</v>
      </c>
      <c r="E777" t="s">
        <v>56</v>
      </c>
      <c r="F777" t="s">
        <v>95</v>
      </c>
      <c r="G777" t="s">
        <v>32</v>
      </c>
      <c r="H777">
        <v>11.3</v>
      </c>
      <c r="I777">
        <v>15.2</v>
      </c>
      <c r="J777" t="s">
        <v>33</v>
      </c>
      <c r="K777" t="s">
        <v>304</v>
      </c>
      <c r="L777" t="s">
        <v>126</v>
      </c>
      <c r="M777" t="s">
        <v>186</v>
      </c>
      <c r="N777" t="s">
        <v>37</v>
      </c>
      <c r="O777">
        <v>115</v>
      </c>
      <c r="Q777">
        <v>0</v>
      </c>
      <c r="R777">
        <v>500</v>
      </c>
      <c r="T777" t="s">
        <v>38</v>
      </c>
      <c r="U777" t="s">
        <v>39</v>
      </c>
      <c r="V777" t="s">
        <v>52</v>
      </c>
      <c r="W777" t="s">
        <v>52</v>
      </c>
      <c r="X777">
        <v>2022</v>
      </c>
      <c r="Y777" t="s">
        <v>91</v>
      </c>
      <c r="Z777" t="s">
        <v>64</v>
      </c>
    </row>
    <row r="778" spans="1:26">
      <c r="A778" t="s">
        <v>1704</v>
      </c>
      <c r="B778" t="s">
        <v>27</v>
      </c>
      <c r="C778" t="s">
        <v>76</v>
      </c>
      <c r="D778" t="s">
        <v>77</v>
      </c>
      <c r="E778" t="s">
        <v>94</v>
      </c>
      <c r="F778" t="s">
        <v>124</v>
      </c>
      <c r="G778" t="s">
        <v>58</v>
      </c>
      <c r="H778">
        <v>9.3000000000000007</v>
      </c>
      <c r="I778">
        <v>24.6</v>
      </c>
      <c r="J778" t="s">
        <v>33</v>
      </c>
      <c r="K778" t="s">
        <v>36</v>
      </c>
      <c r="L778" t="s">
        <v>140</v>
      </c>
      <c r="M778" t="s">
        <v>943</v>
      </c>
      <c r="N778" t="s">
        <v>61</v>
      </c>
      <c r="O778">
        <v>128</v>
      </c>
      <c r="Q778">
        <v>0</v>
      </c>
      <c r="R778">
        <v>0</v>
      </c>
      <c r="T778" t="s">
        <v>62</v>
      </c>
      <c r="U778" t="s">
        <v>39</v>
      </c>
      <c r="V778" t="s">
        <v>52</v>
      </c>
      <c r="W778" t="s">
        <v>52</v>
      </c>
      <c r="X778">
        <v>2023</v>
      </c>
      <c r="Y778" t="s">
        <v>114</v>
      </c>
      <c r="Z778" t="s">
        <v>41</v>
      </c>
    </row>
    <row r="779" spans="1:26">
      <c r="A779" t="s">
        <v>1705</v>
      </c>
      <c r="B779" t="s">
        <v>116</v>
      </c>
      <c r="C779" t="s">
        <v>44</v>
      </c>
      <c r="D779" t="s">
        <v>77</v>
      </c>
      <c r="E779" t="s">
        <v>220</v>
      </c>
      <c r="F779" t="s">
        <v>109</v>
      </c>
      <c r="G779" t="s">
        <v>58</v>
      </c>
      <c r="H779">
        <v>2.2999999999999998</v>
      </c>
      <c r="I779">
        <v>33.799999999999997</v>
      </c>
      <c r="J779" t="s">
        <v>20</v>
      </c>
      <c r="K779" t="s">
        <v>1706</v>
      </c>
      <c r="L779" t="s">
        <v>60</v>
      </c>
      <c r="M779" t="s">
        <v>326</v>
      </c>
      <c r="N779" t="s">
        <v>100</v>
      </c>
      <c r="O779">
        <v>78</v>
      </c>
      <c r="Q779">
        <v>0</v>
      </c>
      <c r="R779">
        <v>0</v>
      </c>
      <c r="T779" t="s">
        <v>38</v>
      </c>
      <c r="U779" t="s">
        <v>39</v>
      </c>
      <c r="V779" t="s">
        <v>39</v>
      </c>
      <c r="W779" t="s">
        <v>52</v>
      </c>
      <c r="X779">
        <v>2022</v>
      </c>
      <c r="Y779" t="s">
        <v>74</v>
      </c>
      <c r="Z779" t="s">
        <v>54</v>
      </c>
    </row>
    <row r="780" spans="1:26">
      <c r="A780" t="s">
        <v>1707</v>
      </c>
      <c r="B780" t="s">
        <v>116</v>
      </c>
      <c r="C780" t="s">
        <v>76</v>
      </c>
      <c r="D780" t="s">
        <v>77</v>
      </c>
      <c r="E780" t="s">
        <v>363</v>
      </c>
      <c r="F780" t="s">
        <v>57</v>
      </c>
      <c r="G780" t="s">
        <v>58</v>
      </c>
      <c r="H780">
        <v>2.6</v>
      </c>
      <c r="I780">
        <v>22.6</v>
      </c>
      <c r="J780" t="s">
        <v>156</v>
      </c>
      <c r="K780" t="s">
        <v>1708</v>
      </c>
      <c r="L780" t="s">
        <v>35</v>
      </c>
      <c r="M780" t="s">
        <v>1614</v>
      </c>
      <c r="N780" t="s">
        <v>37</v>
      </c>
      <c r="O780">
        <v>19</v>
      </c>
      <c r="Q780">
        <v>0</v>
      </c>
      <c r="R780">
        <v>1000</v>
      </c>
      <c r="T780" t="s">
        <v>51</v>
      </c>
      <c r="U780" t="s">
        <v>39</v>
      </c>
      <c r="V780" t="s">
        <v>39</v>
      </c>
      <c r="W780" t="s">
        <v>52</v>
      </c>
      <c r="X780">
        <v>2023</v>
      </c>
      <c r="Y780" t="s">
        <v>91</v>
      </c>
      <c r="Z780" t="s">
        <v>64</v>
      </c>
    </row>
    <row r="781" spans="1:26">
      <c r="A781" t="s">
        <v>1709</v>
      </c>
      <c r="B781" t="s">
        <v>43</v>
      </c>
      <c r="C781" t="s">
        <v>173</v>
      </c>
      <c r="D781" t="s">
        <v>77</v>
      </c>
      <c r="E781" t="s">
        <v>94</v>
      </c>
      <c r="F781" t="s">
        <v>57</v>
      </c>
      <c r="G781" t="s">
        <v>32</v>
      </c>
      <c r="H781">
        <v>0.6</v>
      </c>
      <c r="I781">
        <v>5.4</v>
      </c>
      <c r="J781" t="s">
        <v>33</v>
      </c>
      <c r="K781" t="s">
        <v>323</v>
      </c>
      <c r="L781" t="s">
        <v>98</v>
      </c>
      <c r="M781" t="s">
        <v>34</v>
      </c>
      <c r="N781" t="s">
        <v>100</v>
      </c>
      <c r="O781">
        <v>96</v>
      </c>
      <c r="Q781">
        <v>0</v>
      </c>
      <c r="R781">
        <v>0</v>
      </c>
      <c r="T781" t="s">
        <v>51</v>
      </c>
      <c r="U781" t="s">
        <v>52</v>
      </c>
      <c r="V781" t="s">
        <v>52</v>
      </c>
      <c r="W781" t="s">
        <v>39</v>
      </c>
      <c r="X781">
        <v>2023</v>
      </c>
      <c r="Y781" t="s">
        <v>74</v>
      </c>
      <c r="Z781" t="s">
        <v>54</v>
      </c>
    </row>
    <row r="782" spans="1:26">
      <c r="A782" t="s">
        <v>1710</v>
      </c>
      <c r="B782" t="s">
        <v>66</v>
      </c>
      <c r="C782" t="s">
        <v>44</v>
      </c>
      <c r="D782" t="s">
        <v>85</v>
      </c>
      <c r="E782" t="s">
        <v>86</v>
      </c>
      <c r="F782" t="s">
        <v>238</v>
      </c>
      <c r="G782" t="s">
        <v>32</v>
      </c>
      <c r="H782">
        <v>3.1</v>
      </c>
      <c r="I782">
        <v>0.9</v>
      </c>
      <c r="J782" t="s">
        <v>33</v>
      </c>
      <c r="K782" t="s">
        <v>795</v>
      </c>
      <c r="L782" t="s">
        <v>98</v>
      </c>
      <c r="M782" t="s">
        <v>1459</v>
      </c>
      <c r="N782" t="s">
        <v>37</v>
      </c>
      <c r="O782">
        <v>72</v>
      </c>
      <c r="Q782">
        <v>0</v>
      </c>
      <c r="R782">
        <v>1000</v>
      </c>
      <c r="T782" t="s">
        <v>81</v>
      </c>
      <c r="U782" t="s">
        <v>39</v>
      </c>
      <c r="V782" t="s">
        <v>52</v>
      </c>
      <c r="W782" t="s">
        <v>39</v>
      </c>
      <c r="X782">
        <v>2024</v>
      </c>
      <c r="Y782" t="s">
        <v>82</v>
      </c>
      <c r="Z782" t="s">
        <v>83</v>
      </c>
    </row>
    <row r="783" spans="1:26">
      <c r="A783" t="s">
        <v>1711</v>
      </c>
      <c r="B783" t="s">
        <v>66</v>
      </c>
      <c r="C783" t="s">
        <v>44</v>
      </c>
      <c r="D783" t="s">
        <v>29</v>
      </c>
      <c r="E783" t="s">
        <v>45</v>
      </c>
      <c r="F783" t="s">
        <v>160</v>
      </c>
      <c r="G783" t="s">
        <v>32</v>
      </c>
      <c r="H783">
        <v>2.1</v>
      </c>
      <c r="I783">
        <v>26</v>
      </c>
      <c r="J783" t="s">
        <v>33</v>
      </c>
      <c r="K783" t="s">
        <v>1271</v>
      </c>
      <c r="L783" t="s">
        <v>140</v>
      </c>
      <c r="M783" t="s">
        <v>407</v>
      </c>
      <c r="N783" t="s">
        <v>71</v>
      </c>
      <c r="O783">
        <v>18</v>
      </c>
      <c r="P783" t="s">
        <v>72</v>
      </c>
      <c r="Q783">
        <v>3699</v>
      </c>
      <c r="R783">
        <v>0</v>
      </c>
      <c r="S783" t="s">
        <v>73</v>
      </c>
      <c r="T783" t="s">
        <v>38</v>
      </c>
      <c r="U783" t="s">
        <v>52</v>
      </c>
      <c r="V783" t="s">
        <v>39</v>
      </c>
      <c r="W783" t="s">
        <v>39</v>
      </c>
      <c r="X783">
        <v>2024</v>
      </c>
      <c r="Y783" t="s">
        <v>114</v>
      </c>
      <c r="Z783" t="s">
        <v>41</v>
      </c>
    </row>
    <row r="784" spans="1:26">
      <c r="A784" t="s">
        <v>1712</v>
      </c>
      <c r="B784" t="s">
        <v>43</v>
      </c>
      <c r="C784" t="s">
        <v>76</v>
      </c>
      <c r="D784" t="s">
        <v>29</v>
      </c>
      <c r="E784" t="s">
        <v>195</v>
      </c>
      <c r="F784" t="s">
        <v>57</v>
      </c>
      <c r="G784" t="s">
        <v>58</v>
      </c>
      <c r="H784">
        <v>5.7</v>
      </c>
      <c r="I784">
        <v>4.3</v>
      </c>
      <c r="J784" t="s">
        <v>33</v>
      </c>
      <c r="K784" t="s">
        <v>1713</v>
      </c>
      <c r="L784" t="s">
        <v>98</v>
      </c>
      <c r="M784" t="s">
        <v>696</v>
      </c>
      <c r="N784" t="s">
        <v>71</v>
      </c>
      <c r="O784">
        <v>52</v>
      </c>
      <c r="P784" t="s">
        <v>230</v>
      </c>
      <c r="Q784">
        <v>3622</v>
      </c>
      <c r="R784">
        <v>0</v>
      </c>
      <c r="S784" t="s">
        <v>113</v>
      </c>
      <c r="T784" t="s">
        <v>136</v>
      </c>
      <c r="U784" t="s">
        <v>39</v>
      </c>
      <c r="V784" t="s">
        <v>52</v>
      </c>
      <c r="W784" t="s">
        <v>52</v>
      </c>
      <c r="X784">
        <v>2024</v>
      </c>
      <c r="Y784" t="s">
        <v>91</v>
      </c>
      <c r="Z784" t="s">
        <v>64</v>
      </c>
    </row>
    <row r="785" spans="1:26">
      <c r="A785" t="s">
        <v>1714</v>
      </c>
      <c r="B785" t="s">
        <v>43</v>
      </c>
      <c r="C785" t="s">
        <v>67</v>
      </c>
      <c r="D785" t="s">
        <v>77</v>
      </c>
      <c r="E785" t="s">
        <v>220</v>
      </c>
      <c r="F785" t="s">
        <v>160</v>
      </c>
      <c r="G785" t="s">
        <v>58</v>
      </c>
      <c r="H785">
        <v>0.6</v>
      </c>
      <c r="I785">
        <v>1</v>
      </c>
      <c r="J785" t="s">
        <v>33</v>
      </c>
      <c r="K785" t="s">
        <v>1333</v>
      </c>
      <c r="L785" t="s">
        <v>126</v>
      </c>
      <c r="M785" t="s">
        <v>1715</v>
      </c>
      <c r="N785" t="s">
        <v>37</v>
      </c>
      <c r="O785">
        <v>49</v>
      </c>
      <c r="Q785">
        <v>0</v>
      </c>
      <c r="R785">
        <v>500</v>
      </c>
      <c r="T785" t="s">
        <v>81</v>
      </c>
      <c r="U785" t="s">
        <v>39</v>
      </c>
      <c r="V785" t="s">
        <v>52</v>
      </c>
      <c r="W785" t="s">
        <v>52</v>
      </c>
      <c r="X785">
        <v>2024</v>
      </c>
      <c r="Y785" t="s">
        <v>91</v>
      </c>
      <c r="Z785" t="s">
        <v>64</v>
      </c>
    </row>
    <row r="786" spans="1:26">
      <c r="A786" t="s">
        <v>1716</v>
      </c>
      <c r="B786" t="s">
        <v>66</v>
      </c>
      <c r="C786" t="s">
        <v>121</v>
      </c>
      <c r="D786" t="s">
        <v>77</v>
      </c>
      <c r="E786" t="s">
        <v>168</v>
      </c>
      <c r="F786" t="s">
        <v>238</v>
      </c>
      <c r="G786" t="s">
        <v>32</v>
      </c>
      <c r="H786">
        <v>7.6</v>
      </c>
      <c r="I786">
        <v>12.1</v>
      </c>
      <c r="J786" t="s">
        <v>33</v>
      </c>
      <c r="K786" t="s">
        <v>426</v>
      </c>
      <c r="L786" t="s">
        <v>48</v>
      </c>
      <c r="M786" t="s">
        <v>125</v>
      </c>
      <c r="N786" t="s">
        <v>37</v>
      </c>
      <c r="O786">
        <v>17</v>
      </c>
      <c r="Q786">
        <v>0</v>
      </c>
      <c r="R786">
        <v>0</v>
      </c>
      <c r="T786" t="s">
        <v>62</v>
      </c>
      <c r="U786" t="s">
        <v>39</v>
      </c>
      <c r="V786" t="s">
        <v>52</v>
      </c>
      <c r="W786" t="s">
        <v>52</v>
      </c>
      <c r="X786">
        <v>2024</v>
      </c>
      <c r="Y786" t="s">
        <v>128</v>
      </c>
      <c r="Z786" t="s">
        <v>64</v>
      </c>
    </row>
    <row r="787" spans="1:26">
      <c r="A787" t="s">
        <v>1717</v>
      </c>
      <c r="B787" t="s">
        <v>43</v>
      </c>
      <c r="C787" t="s">
        <v>67</v>
      </c>
      <c r="D787" t="s">
        <v>77</v>
      </c>
      <c r="E787" t="s">
        <v>260</v>
      </c>
      <c r="F787" t="s">
        <v>46</v>
      </c>
      <c r="G787" t="s">
        <v>58</v>
      </c>
      <c r="H787">
        <v>6.5</v>
      </c>
      <c r="I787">
        <v>21.8</v>
      </c>
      <c r="J787" t="s">
        <v>33</v>
      </c>
      <c r="K787" t="s">
        <v>1718</v>
      </c>
      <c r="L787" t="s">
        <v>35</v>
      </c>
      <c r="M787" t="s">
        <v>1466</v>
      </c>
      <c r="N787" t="s">
        <v>71</v>
      </c>
      <c r="O787">
        <v>29</v>
      </c>
      <c r="P787" t="s">
        <v>89</v>
      </c>
      <c r="Q787">
        <v>6358</v>
      </c>
      <c r="R787">
        <v>1000</v>
      </c>
      <c r="S787" t="s">
        <v>73</v>
      </c>
      <c r="T787" t="s">
        <v>136</v>
      </c>
      <c r="U787" t="s">
        <v>39</v>
      </c>
      <c r="V787" t="s">
        <v>52</v>
      </c>
      <c r="W787" t="s">
        <v>39</v>
      </c>
      <c r="X787">
        <v>2022</v>
      </c>
      <c r="Y787" t="s">
        <v>74</v>
      </c>
      <c r="Z787" t="s">
        <v>54</v>
      </c>
    </row>
    <row r="788" spans="1:26">
      <c r="A788" t="s">
        <v>1719</v>
      </c>
      <c r="B788" t="s">
        <v>108</v>
      </c>
      <c r="C788" t="s">
        <v>44</v>
      </c>
      <c r="D788" t="s">
        <v>85</v>
      </c>
      <c r="E788" t="s">
        <v>138</v>
      </c>
      <c r="F788" t="s">
        <v>160</v>
      </c>
      <c r="G788" t="s">
        <v>32</v>
      </c>
      <c r="H788">
        <v>1</v>
      </c>
      <c r="I788">
        <v>22.9</v>
      </c>
      <c r="J788" t="s">
        <v>144</v>
      </c>
      <c r="K788" t="s">
        <v>605</v>
      </c>
      <c r="L788" t="s">
        <v>98</v>
      </c>
      <c r="M788" t="s">
        <v>1096</v>
      </c>
      <c r="N788" t="s">
        <v>71</v>
      </c>
      <c r="O788">
        <v>58</v>
      </c>
      <c r="P788" t="s">
        <v>89</v>
      </c>
      <c r="Q788">
        <v>2808</v>
      </c>
      <c r="R788">
        <v>1000</v>
      </c>
      <c r="S788" t="s">
        <v>90</v>
      </c>
      <c r="T788" t="s">
        <v>62</v>
      </c>
      <c r="U788" t="s">
        <v>39</v>
      </c>
      <c r="V788" t="s">
        <v>52</v>
      </c>
      <c r="W788" t="s">
        <v>52</v>
      </c>
      <c r="X788">
        <v>2022</v>
      </c>
      <c r="Y788" t="s">
        <v>114</v>
      </c>
      <c r="Z788" t="s">
        <v>41</v>
      </c>
    </row>
    <row r="789" spans="1:26">
      <c r="A789" t="s">
        <v>1720</v>
      </c>
      <c r="B789" t="s">
        <v>66</v>
      </c>
      <c r="C789" t="s">
        <v>164</v>
      </c>
      <c r="D789" t="s">
        <v>77</v>
      </c>
      <c r="E789" t="s">
        <v>216</v>
      </c>
      <c r="F789" t="s">
        <v>57</v>
      </c>
      <c r="G789" t="s">
        <v>32</v>
      </c>
      <c r="H789">
        <v>2.8</v>
      </c>
      <c r="I789">
        <v>10.4</v>
      </c>
      <c r="J789" t="s">
        <v>33</v>
      </c>
      <c r="K789" t="s">
        <v>1415</v>
      </c>
      <c r="L789" t="s">
        <v>60</v>
      </c>
      <c r="M789" t="s">
        <v>1261</v>
      </c>
      <c r="N789" t="s">
        <v>171</v>
      </c>
      <c r="O789">
        <v>138</v>
      </c>
      <c r="Q789">
        <v>0</v>
      </c>
      <c r="R789">
        <v>0</v>
      </c>
      <c r="T789" t="s">
        <v>38</v>
      </c>
      <c r="U789" t="s">
        <v>52</v>
      </c>
      <c r="V789" t="s">
        <v>52</v>
      </c>
      <c r="W789" t="s">
        <v>52</v>
      </c>
      <c r="X789">
        <v>2024</v>
      </c>
      <c r="Y789" t="s">
        <v>40</v>
      </c>
      <c r="Z789" t="s">
        <v>41</v>
      </c>
    </row>
    <row r="790" spans="1:26">
      <c r="A790" t="s">
        <v>1721</v>
      </c>
      <c r="B790" t="s">
        <v>43</v>
      </c>
      <c r="C790" t="s">
        <v>44</v>
      </c>
      <c r="D790" t="s">
        <v>77</v>
      </c>
      <c r="E790" t="s">
        <v>78</v>
      </c>
      <c r="F790" t="s">
        <v>57</v>
      </c>
      <c r="G790" t="s">
        <v>32</v>
      </c>
      <c r="H790">
        <v>1.6</v>
      </c>
      <c r="I790">
        <v>22.1</v>
      </c>
      <c r="J790" t="s">
        <v>144</v>
      </c>
      <c r="K790" t="s">
        <v>1722</v>
      </c>
      <c r="L790" t="s">
        <v>98</v>
      </c>
      <c r="M790" t="s">
        <v>1723</v>
      </c>
      <c r="N790" t="s">
        <v>37</v>
      </c>
      <c r="O790">
        <v>139</v>
      </c>
      <c r="Q790">
        <v>0</v>
      </c>
      <c r="R790">
        <v>1000</v>
      </c>
      <c r="T790" t="s">
        <v>136</v>
      </c>
      <c r="U790" t="s">
        <v>52</v>
      </c>
      <c r="V790" t="s">
        <v>52</v>
      </c>
      <c r="W790" t="s">
        <v>52</v>
      </c>
      <c r="X790">
        <v>2024</v>
      </c>
      <c r="Y790" t="s">
        <v>74</v>
      </c>
      <c r="Z790" t="s">
        <v>54</v>
      </c>
    </row>
    <row r="791" spans="1:26">
      <c r="A791" t="s">
        <v>1724</v>
      </c>
      <c r="B791" t="s">
        <v>43</v>
      </c>
      <c r="C791" t="s">
        <v>102</v>
      </c>
      <c r="D791" t="s">
        <v>122</v>
      </c>
      <c r="E791" t="s">
        <v>155</v>
      </c>
      <c r="F791" t="s">
        <v>124</v>
      </c>
      <c r="G791" t="s">
        <v>58</v>
      </c>
      <c r="H791">
        <v>1.7</v>
      </c>
      <c r="I791">
        <v>18.8</v>
      </c>
      <c r="J791" t="s">
        <v>96</v>
      </c>
      <c r="K791" t="s">
        <v>1495</v>
      </c>
      <c r="L791" t="s">
        <v>98</v>
      </c>
      <c r="M791" t="s">
        <v>664</v>
      </c>
      <c r="N791" t="s">
        <v>100</v>
      </c>
      <c r="O791">
        <v>171</v>
      </c>
      <c r="Q791">
        <v>0</v>
      </c>
      <c r="R791">
        <v>0</v>
      </c>
      <c r="T791" t="s">
        <v>62</v>
      </c>
      <c r="U791" t="s">
        <v>39</v>
      </c>
      <c r="V791" t="s">
        <v>52</v>
      </c>
      <c r="W791" t="s">
        <v>52</v>
      </c>
      <c r="X791">
        <v>2023</v>
      </c>
      <c r="Y791" t="s">
        <v>91</v>
      </c>
      <c r="Z791" t="s">
        <v>64</v>
      </c>
    </row>
    <row r="792" spans="1:26">
      <c r="A792" t="s">
        <v>1725</v>
      </c>
      <c r="B792" t="s">
        <v>27</v>
      </c>
      <c r="C792" t="s">
        <v>44</v>
      </c>
      <c r="D792" t="s">
        <v>122</v>
      </c>
      <c r="E792" t="s">
        <v>155</v>
      </c>
      <c r="F792" t="s">
        <v>238</v>
      </c>
      <c r="G792" t="s">
        <v>58</v>
      </c>
      <c r="H792">
        <v>6.6</v>
      </c>
      <c r="I792">
        <v>16.100000000000001</v>
      </c>
      <c r="J792" t="s">
        <v>33</v>
      </c>
      <c r="K792" t="s">
        <v>570</v>
      </c>
      <c r="L792" t="s">
        <v>60</v>
      </c>
      <c r="M792" t="s">
        <v>587</v>
      </c>
      <c r="N792" t="s">
        <v>71</v>
      </c>
      <c r="O792">
        <v>101</v>
      </c>
      <c r="P792" t="s">
        <v>105</v>
      </c>
      <c r="Q792">
        <v>2426</v>
      </c>
      <c r="R792">
        <v>0</v>
      </c>
      <c r="S792" t="s">
        <v>113</v>
      </c>
      <c r="T792" t="s">
        <v>136</v>
      </c>
      <c r="U792" t="s">
        <v>52</v>
      </c>
      <c r="V792" t="s">
        <v>39</v>
      </c>
      <c r="W792" t="s">
        <v>52</v>
      </c>
      <c r="X792">
        <v>2023</v>
      </c>
      <c r="Y792" t="s">
        <v>312</v>
      </c>
      <c r="Z792" t="s">
        <v>83</v>
      </c>
    </row>
    <row r="793" spans="1:26">
      <c r="A793" t="s">
        <v>1726</v>
      </c>
      <c r="B793" t="s">
        <v>66</v>
      </c>
      <c r="C793" t="s">
        <v>44</v>
      </c>
      <c r="D793" t="s">
        <v>77</v>
      </c>
      <c r="E793" t="s">
        <v>363</v>
      </c>
      <c r="F793" t="s">
        <v>31</v>
      </c>
      <c r="G793" t="s">
        <v>58</v>
      </c>
      <c r="H793">
        <v>8.1999999999999993</v>
      </c>
      <c r="I793">
        <v>27</v>
      </c>
      <c r="J793" t="s">
        <v>33</v>
      </c>
      <c r="K793" t="s">
        <v>1442</v>
      </c>
      <c r="L793" t="s">
        <v>126</v>
      </c>
      <c r="M793" t="s">
        <v>478</v>
      </c>
      <c r="N793" t="s">
        <v>71</v>
      </c>
      <c r="O793">
        <v>146</v>
      </c>
      <c r="P793" t="s">
        <v>72</v>
      </c>
      <c r="Q793">
        <v>5239</v>
      </c>
      <c r="R793">
        <v>2000</v>
      </c>
      <c r="S793" t="s">
        <v>90</v>
      </c>
      <c r="T793" t="s">
        <v>81</v>
      </c>
      <c r="U793" t="s">
        <v>39</v>
      </c>
      <c r="V793" t="s">
        <v>52</v>
      </c>
      <c r="W793" t="s">
        <v>52</v>
      </c>
      <c r="X793">
        <v>2024</v>
      </c>
      <c r="Y793" t="s">
        <v>312</v>
      </c>
      <c r="Z793" t="s">
        <v>83</v>
      </c>
    </row>
    <row r="794" spans="1:26">
      <c r="A794" t="s">
        <v>1727</v>
      </c>
      <c r="B794" t="s">
        <v>93</v>
      </c>
      <c r="C794" t="s">
        <v>28</v>
      </c>
      <c r="D794" t="s">
        <v>77</v>
      </c>
      <c r="E794" t="s">
        <v>220</v>
      </c>
      <c r="F794" t="s">
        <v>46</v>
      </c>
      <c r="G794" t="s">
        <v>32</v>
      </c>
      <c r="H794">
        <v>11.1</v>
      </c>
      <c r="I794">
        <v>30.5</v>
      </c>
      <c r="J794" t="s">
        <v>33</v>
      </c>
      <c r="K794" t="s">
        <v>327</v>
      </c>
      <c r="L794" t="s">
        <v>98</v>
      </c>
      <c r="M794" t="s">
        <v>583</v>
      </c>
      <c r="N794" t="s">
        <v>71</v>
      </c>
      <c r="O794">
        <v>17</v>
      </c>
      <c r="P794" t="s">
        <v>89</v>
      </c>
      <c r="Q794">
        <v>3175</v>
      </c>
      <c r="R794">
        <v>0</v>
      </c>
      <c r="S794" t="s">
        <v>113</v>
      </c>
      <c r="T794" t="s">
        <v>51</v>
      </c>
      <c r="U794" t="s">
        <v>39</v>
      </c>
      <c r="V794" t="s">
        <v>52</v>
      </c>
      <c r="W794" t="s">
        <v>52</v>
      </c>
      <c r="X794">
        <v>2022</v>
      </c>
      <c r="Y794" t="s">
        <v>40</v>
      </c>
      <c r="Z794" t="s">
        <v>41</v>
      </c>
    </row>
    <row r="795" spans="1:26">
      <c r="A795" t="s">
        <v>1728</v>
      </c>
      <c r="B795" t="s">
        <v>43</v>
      </c>
      <c r="C795" t="s">
        <v>164</v>
      </c>
      <c r="D795" t="s">
        <v>77</v>
      </c>
      <c r="E795" t="s">
        <v>78</v>
      </c>
      <c r="F795" t="s">
        <v>57</v>
      </c>
      <c r="G795" t="s">
        <v>58</v>
      </c>
      <c r="H795">
        <v>1.3</v>
      </c>
      <c r="I795">
        <v>19.899999999999999</v>
      </c>
      <c r="J795" t="s">
        <v>20</v>
      </c>
      <c r="K795" t="s">
        <v>434</v>
      </c>
      <c r="L795" t="s">
        <v>140</v>
      </c>
      <c r="M795" t="s">
        <v>1001</v>
      </c>
      <c r="N795" t="s">
        <v>71</v>
      </c>
      <c r="O795">
        <v>87</v>
      </c>
      <c r="P795" t="s">
        <v>112</v>
      </c>
      <c r="Q795">
        <v>5373</v>
      </c>
      <c r="R795">
        <v>0</v>
      </c>
      <c r="S795" t="s">
        <v>113</v>
      </c>
      <c r="T795" t="s">
        <v>62</v>
      </c>
      <c r="U795" t="s">
        <v>52</v>
      </c>
      <c r="V795" t="s">
        <v>52</v>
      </c>
      <c r="W795" t="s">
        <v>52</v>
      </c>
      <c r="X795">
        <v>2024</v>
      </c>
      <c r="Y795" t="s">
        <v>211</v>
      </c>
      <c r="Z795" t="s">
        <v>41</v>
      </c>
    </row>
    <row r="796" spans="1:26">
      <c r="A796" t="s">
        <v>1729</v>
      </c>
      <c r="B796" t="s">
        <v>108</v>
      </c>
      <c r="C796" t="s">
        <v>164</v>
      </c>
      <c r="D796" t="s">
        <v>77</v>
      </c>
      <c r="E796" t="s">
        <v>143</v>
      </c>
      <c r="F796" t="s">
        <v>238</v>
      </c>
      <c r="G796" t="s">
        <v>32</v>
      </c>
      <c r="H796">
        <v>10.6</v>
      </c>
      <c r="I796">
        <v>16.8</v>
      </c>
      <c r="J796" t="s">
        <v>144</v>
      </c>
      <c r="K796" t="s">
        <v>1137</v>
      </c>
      <c r="L796" t="s">
        <v>140</v>
      </c>
      <c r="M796" t="s">
        <v>413</v>
      </c>
      <c r="N796" t="s">
        <v>71</v>
      </c>
      <c r="O796">
        <v>114</v>
      </c>
      <c r="P796" t="s">
        <v>105</v>
      </c>
      <c r="Q796">
        <v>3322</v>
      </c>
      <c r="R796">
        <v>0</v>
      </c>
      <c r="S796" t="s">
        <v>113</v>
      </c>
      <c r="T796" t="s">
        <v>136</v>
      </c>
      <c r="U796" t="s">
        <v>39</v>
      </c>
      <c r="V796" t="s">
        <v>52</v>
      </c>
      <c r="W796" t="s">
        <v>52</v>
      </c>
      <c r="X796">
        <v>2022</v>
      </c>
      <c r="Y796" t="s">
        <v>91</v>
      </c>
      <c r="Z796" t="s">
        <v>64</v>
      </c>
    </row>
    <row r="797" spans="1:26">
      <c r="A797" t="s">
        <v>1730</v>
      </c>
      <c r="B797" t="s">
        <v>43</v>
      </c>
      <c r="C797" t="s">
        <v>28</v>
      </c>
      <c r="D797" t="s">
        <v>122</v>
      </c>
      <c r="E797" t="s">
        <v>123</v>
      </c>
      <c r="F797" t="s">
        <v>124</v>
      </c>
      <c r="G797" t="s">
        <v>32</v>
      </c>
      <c r="H797">
        <v>3.7</v>
      </c>
      <c r="I797">
        <v>14.1</v>
      </c>
      <c r="J797" t="s">
        <v>33</v>
      </c>
      <c r="K797" t="s">
        <v>170</v>
      </c>
      <c r="L797" t="s">
        <v>98</v>
      </c>
      <c r="M797" t="s">
        <v>1731</v>
      </c>
      <c r="N797" t="s">
        <v>71</v>
      </c>
      <c r="O797">
        <v>18</v>
      </c>
      <c r="P797" t="s">
        <v>230</v>
      </c>
      <c r="Q797">
        <v>1052</v>
      </c>
      <c r="R797">
        <v>1000</v>
      </c>
      <c r="S797" t="s">
        <v>152</v>
      </c>
      <c r="T797" t="s">
        <v>62</v>
      </c>
      <c r="U797" t="s">
        <v>52</v>
      </c>
      <c r="V797" t="s">
        <v>39</v>
      </c>
      <c r="W797" t="s">
        <v>52</v>
      </c>
      <c r="X797">
        <v>2024</v>
      </c>
      <c r="Y797" t="s">
        <v>106</v>
      </c>
      <c r="Z797" t="s">
        <v>83</v>
      </c>
    </row>
    <row r="798" spans="1:26">
      <c r="A798" t="s">
        <v>1732</v>
      </c>
      <c r="B798" t="s">
        <v>116</v>
      </c>
      <c r="C798" t="s">
        <v>121</v>
      </c>
      <c r="D798" t="s">
        <v>77</v>
      </c>
      <c r="E798" t="s">
        <v>260</v>
      </c>
      <c r="F798" t="s">
        <v>46</v>
      </c>
      <c r="G798" t="s">
        <v>58</v>
      </c>
      <c r="H798">
        <v>11.8</v>
      </c>
      <c r="I798">
        <v>31.7</v>
      </c>
      <c r="J798" t="s">
        <v>33</v>
      </c>
      <c r="K798" t="s">
        <v>673</v>
      </c>
      <c r="L798" t="s">
        <v>98</v>
      </c>
      <c r="M798" t="s">
        <v>1733</v>
      </c>
      <c r="N798" t="s">
        <v>61</v>
      </c>
      <c r="O798">
        <v>50</v>
      </c>
      <c r="Q798">
        <v>0</v>
      </c>
      <c r="R798">
        <v>0</v>
      </c>
      <c r="T798" t="s">
        <v>81</v>
      </c>
      <c r="U798" t="s">
        <v>39</v>
      </c>
      <c r="V798" t="s">
        <v>52</v>
      </c>
      <c r="W798" t="s">
        <v>52</v>
      </c>
      <c r="X798">
        <v>2023</v>
      </c>
      <c r="Y798" t="s">
        <v>153</v>
      </c>
      <c r="Z798" t="s">
        <v>54</v>
      </c>
    </row>
    <row r="799" spans="1:26">
      <c r="A799" t="s">
        <v>1734</v>
      </c>
      <c r="B799" t="s">
        <v>27</v>
      </c>
      <c r="C799" t="s">
        <v>76</v>
      </c>
      <c r="D799" t="s">
        <v>85</v>
      </c>
      <c r="E799" t="s">
        <v>402</v>
      </c>
      <c r="F799" t="s">
        <v>31</v>
      </c>
      <c r="G799" t="s">
        <v>58</v>
      </c>
      <c r="H799">
        <v>4.0999999999999996</v>
      </c>
      <c r="I799">
        <v>1.6</v>
      </c>
      <c r="J799" t="s">
        <v>33</v>
      </c>
      <c r="K799" t="s">
        <v>1735</v>
      </c>
      <c r="L799" t="s">
        <v>126</v>
      </c>
      <c r="M799" t="s">
        <v>602</v>
      </c>
      <c r="N799" t="s">
        <v>50</v>
      </c>
      <c r="O799">
        <v>70</v>
      </c>
      <c r="Q799">
        <v>0</v>
      </c>
      <c r="R799">
        <v>0</v>
      </c>
      <c r="T799" t="s">
        <v>81</v>
      </c>
      <c r="U799" t="s">
        <v>52</v>
      </c>
      <c r="V799" t="s">
        <v>52</v>
      </c>
      <c r="W799" t="s">
        <v>52</v>
      </c>
      <c r="X799">
        <v>2022</v>
      </c>
      <c r="Y799" t="s">
        <v>312</v>
      </c>
      <c r="Z799" t="s">
        <v>83</v>
      </c>
    </row>
    <row r="800" spans="1:26">
      <c r="A800" t="s">
        <v>1736</v>
      </c>
      <c r="B800" t="s">
        <v>108</v>
      </c>
      <c r="C800" t="s">
        <v>44</v>
      </c>
      <c r="D800" t="s">
        <v>77</v>
      </c>
      <c r="E800" t="s">
        <v>168</v>
      </c>
      <c r="F800" t="s">
        <v>46</v>
      </c>
      <c r="G800" t="s">
        <v>58</v>
      </c>
      <c r="H800">
        <v>9.6999999999999993</v>
      </c>
      <c r="I800">
        <v>30</v>
      </c>
      <c r="J800" t="s">
        <v>33</v>
      </c>
      <c r="K800" t="s">
        <v>1573</v>
      </c>
      <c r="L800" t="s">
        <v>98</v>
      </c>
      <c r="M800" t="s">
        <v>1737</v>
      </c>
      <c r="N800" t="s">
        <v>171</v>
      </c>
      <c r="O800">
        <v>86</v>
      </c>
      <c r="Q800">
        <v>0</v>
      </c>
      <c r="R800">
        <v>0</v>
      </c>
      <c r="T800" t="s">
        <v>51</v>
      </c>
      <c r="U800" t="s">
        <v>39</v>
      </c>
      <c r="V800" t="s">
        <v>52</v>
      </c>
      <c r="W800" t="s">
        <v>52</v>
      </c>
      <c r="X800">
        <v>2024</v>
      </c>
      <c r="Y800" t="s">
        <v>82</v>
      </c>
      <c r="Z800" t="s">
        <v>83</v>
      </c>
    </row>
    <row r="801" spans="1:26">
      <c r="A801" t="s">
        <v>1738</v>
      </c>
      <c r="B801" t="s">
        <v>116</v>
      </c>
      <c r="C801" t="s">
        <v>76</v>
      </c>
      <c r="D801" t="s">
        <v>29</v>
      </c>
      <c r="E801" t="s">
        <v>30</v>
      </c>
      <c r="F801" t="s">
        <v>68</v>
      </c>
      <c r="G801" t="s">
        <v>58</v>
      </c>
      <c r="H801">
        <v>11</v>
      </c>
      <c r="I801">
        <v>30.2</v>
      </c>
      <c r="J801" t="s">
        <v>33</v>
      </c>
      <c r="K801" t="s">
        <v>199</v>
      </c>
      <c r="L801" t="s">
        <v>35</v>
      </c>
      <c r="M801" t="s">
        <v>1168</v>
      </c>
      <c r="N801" t="s">
        <v>71</v>
      </c>
      <c r="O801">
        <v>172</v>
      </c>
      <c r="P801" t="s">
        <v>89</v>
      </c>
      <c r="Q801">
        <v>4799</v>
      </c>
      <c r="R801">
        <v>2000</v>
      </c>
      <c r="S801" t="s">
        <v>152</v>
      </c>
      <c r="T801" t="s">
        <v>38</v>
      </c>
      <c r="U801" t="s">
        <v>39</v>
      </c>
      <c r="V801" t="s">
        <v>52</v>
      </c>
      <c r="W801" t="s">
        <v>52</v>
      </c>
      <c r="X801">
        <v>2024</v>
      </c>
      <c r="Y801" t="s">
        <v>40</v>
      </c>
      <c r="Z801" t="s">
        <v>41</v>
      </c>
    </row>
    <row r="802" spans="1:26">
      <c r="A802" t="s">
        <v>1739</v>
      </c>
      <c r="B802" t="s">
        <v>116</v>
      </c>
      <c r="C802" t="s">
        <v>164</v>
      </c>
      <c r="D802" t="s">
        <v>29</v>
      </c>
      <c r="E802" t="s">
        <v>195</v>
      </c>
      <c r="F802" t="s">
        <v>31</v>
      </c>
      <c r="G802" t="s">
        <v>32</v>
      </c>
      <c r="H802">
        <v>4.2</v>
      </c>
      <c r="I802">
        <v>31.9</v>
      </c>
      <c r="J802" t="s">
        <v>156</v>
      </c>
      <c r="K802" t="s">
        <v>1740</v>
      </c>
      <c r="L802" t="s">
        <v>60</v>
      </c>
      <c r="M802" t="s">
        <v>381</v>
      </c>
      <c r="N802" t="s">
        <v>71</v>
      </c>
      <c r="O802">
        <v>3</v>
      </c>
      <c r="P802" t="s">
        <v>230</v>
      </c>
      <c r="Q802">
        <v>4516</v>
      </c>
      <c r="R802">
        <v>5000</v>
      </c>
      <c r="S802" t="s">
        <v>73</v>
      </c>
      <c r="T802" t="s">
        <v>38</v>
      </c>
      <c r="U802" t="s">
        <v>39</v>
      </c>
      <c r="V802" t="s">
        <v>39</v>
      </c>
      <c r="W802" t="s">
        <v>39</v>
      </c>
      <c r="X802">
        <v>2022</v>
      </c>
      <c r="Y802" t="s">
        <v>153</v>
      </c>
      <c r="Z802" t="s">
        <v>54</v>
      </c>
    </row>
    <row r="803" spans="1:26">
      <c r="A803" t="s">
        <v>1741</v>
      </c>
      <c r="B803" t="s">
        <v>116</v>
      </c>
      <c r="C803" t="s">
        <v>28</v>
      </c>
      <c r="D803" t="s">
        <v>77</v>
      </c>
      <c r="E803" t="s">
        <v>143</v>
      </c>
      <c r="F803" t="s">
        <v>57</v>
      </c>
      <c r="G803" t="s">
        <v>32</v>
      </c>
      <c r="H803">
        <v>9.5</v>
      </c>
      <c r="I803">
        <v>8.5</v>
      </c>
      <c r="J803" t="s">
        <v>156</v>
      </c>
      <c r="K803" t="s">
        <v>1742</v>
      </c>
      <c r="L803" t="s">
        <v>140</v>
      </c>
      <c r="M803" t="s">
        <v>956</v>
      </c>
      <c r="N803" t="s">
        <v>100</v>
      </c>
      <c r="O803">
        <v>1</v>
      </c>
      <c r="Q803">
        <v>0</v>
      </c>
      <c r="R803">
        <v>0</v>
      </c>
      <c r="T803" t="s">
        <v>81</v>
      </c>
      <c r="U803" t="s">
        <v>52</v>
      </c>
      <c r="V803" t="s">
        <v>39</v>
      </c>
      <c r="W803" t="s">
        <v>52</v>
      </c>
      <c r="X803">
        <v>2022</v>
      </c>
      <c r="Y803" t="s">
        <v>40</v>
      </c>
      <c r="Z803" t="s">
        <v>41</v>
      </c>
    </row>
    <row r="804" spans="1:26">
      <c r="A804" t="s">
        <v>1743</v>
      </c>
      <c r="B804" t="s">
        <v>43</v>
      </c>
      <c r="C804" t="s">
        <v>173</v>
      </c>
      <c r="D804" t="s">
        <v>77</v>
      </c>
      <c r="E804" t="s">
        <v>216</v>
      </c>
      <c r="F804" t="s">
        <v>68</v>
      </c>
      <c r="G804" t="s">
        <v>58</v>
      </c>
      <c r="H804">
        <v>6.1</v>
      </c>
      <c r="I804">
        <v>3.2</v>
      </c>
      <c r="J804" t="s">
        <v>156</v>
      </c>
      <c r="K804" t="s">
        <v>999</v>
      </c>
      <c r="L804" t="s">
        <v>35</v>
      </c>
      <c r="M804" t="s">
        <v>778</v>
      </c>
      <c r="N804" t="s">
        <v>71</v>
      </c>
      <c r="O804">
        <v>74</v>
      </c>
      <c r="P804" t="s">
        <v>230</v>
      </c>
      <c r="Q804">
        <v>6625</v>
      </c>
      <c r="R804">
        <v>0</v>
      </c>
      <c r="S804" t="s">
        <v>113</v>
      </c>
      <c r="T804" t="s">
        <v>81</v>
      </c>
      <c r="U804" t="s">
        <v>39</v>
      </c>
      <c r="V804" t="s">
        <v>39</v>
      </c>
      <c r="W804" t="s">
        <v>52</v>
      </c>
      <c r="X804">
        <v>2024</v>
      </c>
      <c r="Y804" t="s">
        <v>211</v>
      </c>
      <c r="Z804" t="s">
        <v>41</v>
      </c>
    </row>
    <row r="805" spans="1:26">
      <c r="A805" t="s">
        <v>1744</v>
      </c>
      <c r="B805" t="s">
        <v>108</v>
      </c>
      <c r="C805" t="s">
        <v>173</v>
      </c>
      <c r="D805" t="s">
        <v>85</v>
      </c>
      <c r="E805" t="s">
        <v>138</v>
      </c>
      <c r="F805" t="s">
        <v>46</v>
      </c>
      <c r="G805" t="s">
        <v>58</v>
      </c>
      <c r="H805">
        <v>6.1</v>
      </c>
      <c r="I805">
        <v>10.3</v>
      </c>
      <c r="J805" t="s">
        <v>20</v>
      </c>
      <c r="K805" t="s">
        <v>1241</v>
      </c>
      <c r="L805" t="s">
        <v>35</v>
      </c>
      <c r="M805" t="s">
        <v>1407</v>
      </c>
      <c r="N805" t="s">
        <v>100</v>
      </c>
      <c r="O805">
        <v>154</v>
      </c>
      <c r="Q805">
        <v>0</v>
      </c>
      <c r="R805">
        <v>0</v>
      </c>
      <c r="T805" t="s">
        <v>51</v>
      </c>
      <c r="U805" t="s">
        <v>39</v>
      </c>
      <c r="V805" t="s">
        <v>39</v>
      </c>
      <c r="W805" t="s">
        <v>39</v>
      </c>
      <c r="X805">
        <v>2023</v>
      </c>
      <c r="Y805" t="s">
        <v>211</v>
      </c>
      <c r="Z805" t="s">
        <v>41</v>
      </c>
    </row>
    <row r="806" spans="1:26">
      <c r="A806" t="s">
        <v>1745</v>
      </c>
      <c r="B806" t="s">
        <v>108</v>
      </c>
      <c r="C806" t="s">
        <v>76</v>
      </c>
      <c r="D806" t="s">
        <v>77</v>
      </c>
      <c r="E806" t="s">
        <v>143</v>
      </c>
      <c r="F806" t="s">
        <v>95</v>
      </c>
      <c r="G806" t="s">
        <v>32</v>
      </c>
      <c r="H806">
        <v>8.1</v>
      </c>
      <c r="I806">
        <v>31.5</v>
      </c>
      <c r="J806" t="s">
        <v>20</v>
      </c>
      <c r="K806" t="s">
        <v>406</v>
      </c>
      <c r="L806" t="s">
        <v>60</v>
      </c>
      <c r="M806" t="s">
        <v>127</v>
      </c>
      <c r="N806" t="s">
        <v>71</v>
      </c>
      <c r="O806">
        <v>89</v>
      </c>
      <c r="P806" t="s">
        <v>105</v>
      </c>
      <c r="Q806">
        <v>6523</v>
      </c>
      <c r="R806">
        <v>0</v>
      </c>
      <c r="S806" t="s">
        <v>73</v>
      </c>
      <c r="T806" t="s">
        <v>62</v>
      </c>
      <c r="U806" t="s">
        <v>39</v>
      </c>
      <c r="V806" t="s">
        <v>52</v>
      </c>
      <c r="W806" t="s">
        <v>52</v>
      </c>
      <c r="X806">
        <v>2024</v>
      </c>
      <c r="Y806" t="s">
        <v>91</v>
      </c>
      <c r="Z806" t="s">
        <v>64</v>
      </c>
    </row>
    <row r="807" spans="1:26">
      <c r="A807" t="s">
        <v>1746</v>
      </c>
      <c r="B807" t="s">
        <v>66</v>
      </c>
      <c r="C807" t="s">
        <v>102</v>
      </c>
      <c r="D807" t="s">
        <v>77</v>
      </c>
      <c r="E807" t="s">
        <v>260</v>
      </c>
      <c r="F807" t="s">
        <v>124</v>
      </c>
      <c r="G807" t="s">
        <v>58</v>
      </c>
      <c r="H807">
        <v>9.1999999999999993</v>
      </c>
      <c r="I807">
        <v>11.3</v>
      </c>
      <c r="J807" t="s">
        <v>33</v>
      </c>
      <c r="K807" t="s">
        <v>1234</v>
      </c>
      <c r="L807" t="s">
        <v>98</v>
      </c>
      <c r="M807" t="s">
        <v>190</v>
      </c>
      <c r="N807" t="s">
        <v>50</v>
      </c>
      <c r="O807">
        <v>95</v>
      </c>
      <c r="Q807">
        <v>0</v>
      </c>
      <c r="R807">
        <v>500</v>
      </c>
      <c r="T807" t="s">
        <v>51</v>
      </c>
      <c r="U807" t="s">
        <v>52</v>
      </c>
      <c r="V807" t="s">
        <v>52</v>
      </c>
      <c r="W807" t="s">
        <v>52</v>
      </c>
      <c r="X807">
        <v>2024</v>
      </c>
      <c r="Y807" t="s">
        <v>114</v>
      </c>
      <c r="Z807" t="s">
        <v>41</v>
      </c>
    </row>
    <row r="808" spans="1:26">
      <c r="A808" t="s">
        <v>1747</v>
      </c>
      <c r="B808" t="s">
        <v>108</v>
      </c>
      <c r="C808" t="s">
        <v>76</v>
      </c>
      <c r="D808" t="s">
        <v>122</v>
      </c>
      <c r="E808" t="s">
        <v>130</v>
      </c>
      <c r="F808" t="s">
        <v>68</v>
      </c>
      <c r="G808" t="s">
        <v>32</v>
      </c>
      <c r="H808">
        <v>1.8</v>
      </c>
      <c r="I808">
        <v>26.4</v>
      </c>
      <c r="J808" t="s">
        <v>144</v>
      </c>
      <c r="K808" t="s">
        <v>675</v>
      </c>
      <c r="L808" t="s">
        <v>98</v>
      </c>
      <c r="M808" t="s">
        <v>1261</v>
      </c>
      <c r="N808" t="s">
        <v>50</v>
      </c>
      <c r="O808">
        <v>119</v>
      </c>
      <c r="Q808">
        <v>0</v>
      </c>
      <c r="R808">
        <v>0</v>
      </c>
      <c r="T808" t="s">
        <v>81</v>
      </c>
      <c r="U808" t="s">
        <v>52</v>
      </c>
      <c r="V808" t="s">
        <v>52</v>
      </c>
      <c r="W808" t="s">
        <v>39</v>
      </c>
      <c r="X808">
        <v>2024</v>
      </c>
      <c r="Y808" t="s">
        <v>211</v>
      </c>
      <c r="Z808" t="s">
        <v>41</v>
      </c>
    </row>
    <row r="809" spans="1:26">
      <c r="A809" t="s">
        <v>1748</v>
      </c>
      <c r="B809" t="s">
        <v>93</v>
      </c>
      <c r="C809" t="s">
        <v>67</v>
      </c>
      <c r="D809" t="s">
        <v>85</v>
      </c>
      <c r="E809" t="s">
        <v>208</v>
      </c>
      <c r="F809" t="s">
        <v>124</v>
      </c>
      <c r="G809" t="s">
        <v>58</v>
      </c>
      <c r="H809">
        <v>0.3</v>
      </c>
      <c r="I809">
        <v>16.8</v>
      </c>
      <c r="J809" t="s">
        <v>144</v>
      </c>
      <c r="K809" t="s">
        <v>687</v>
      </c>
      <c r="L809" t="s">
        <v>126</v>
      </c>
      <c r="M809" t="s">
        <v>585</v>
      </c>
      <c r="N809" t="s">
        <v>71</v>
      </c>
      <c r="O809">
        <v>152</v>
      </c>
      <c r="P809" t="s">
        <v>89</v>
      </c>
      <c r="Q809">
        <v>1388</v>
      </c>
      <c r="R809">
        <v>0</v>
      </c>
      <c r="S809" t="s">
        <v>152</v>
      </c>
      <c r="T809" t="s">
        <v>62</v>
      </c>
      <c r="U809" t="s">
        <v>39</v>
      </c>
      <c r="V809" t="s">
        <v>39</v>
      </c>
      <c r="W809" t="s">
        <v>52</v>
      </c>
      <c r="X809">
        <v>2022</v>
      </c>
      <c r="Y809" t="s">
        <v>128</v>
      </c>
      <c r="Z809" t="s">
        <v>64</v>
      </c>
    </row>
    <row r="810" spans="1:26">
      <c r="A810" t="s">
        <v>1749</v>
      </c>
      <c r="B810" t="s">
        <v>116</v>
      </c>
      <c r="C810" t="s">
        <v>67</v>
      </c>
      <c r="D810" t="s">
        <v>77</v>
      </c>
      <c r="E810" t="s">
        <v>78</v>
      </c>
      <c r="F810" t="s">
        <v>149</v>
      </c>
      <c r="G810" t="s">
        <v>32</v>
      </c>
      <c r="H810">
        <v>0.8</v>
      </c>
      <c r="I810">
        <v>33.700000000000003</v>
      </c>
      <c r="J810" t="s">
        <v>33</v>
      </c>
      <c r="K810" t="s">
        <v>1750</v>
      </c>
      <c r="L810" t="s">
        <v>48</v>
      </c>
      <c r="M810" t="s">
        <v>849</v>
      </c>
      <c r="N810" t="s">
        <v>71</v>
      </c>
      <c r="O810">
        <v>112</v>
      </c>
      <c r="P810" t="s">
        <v>105</v>
      </c>
      <c r="Q810">
        <v>6992</v>
      </c>
      <c r="R810">
        <v>2000</v>
      </c>
      <c r="S810" t="s">
        <v>90</v>
      </c>
      <c r="T810" t="s">
        <v>81</v>
      </c>
      <c r="U810" t="s">
        <v>52</v>
      </c>
      <c r="V810" t="s">
        <v>52</v>
      </c>
      <c r="W810" t="s">
        <v>39</v>
      </c>
      <c r="X810">
        <v>2024</v>
      </c>
      <c r="Y810" t="s">
        <v>153</v>
      </c>
      <c r="Z810" t="s">
        <v>54</v>
      </c>
    </row>
    <row r="811" spans="1:26">
      <c r="A811" t="s">
        <v>1751</v>
      </c>
      <c r="B811" t="s">
        <v>116</v>
      </c>
      <c r="C811" t="s">
        <v>164</v>
      </c>
      <c r="D811" t="s">
        <v>29</v>
      </c>
      <c r="E811" t="s">
        <v>94</v>
      </c>
      <c r="F811" t="s">
        <v>109</v>
      </c>
      <c r="G811" t="s">
        <v>32</v>
      </c>
      <c r="H811">
        <v>8.1999999999999993</v>
      </c>
      <c r="I811">
        <v>15.3</v>
      </c>
      <c r="J811" t="s">
        <v>33</v>
      </c>
      <c r="K811" t="s">
        <v>1215</v>
      </c>
      <c r="L811" t="s">
        <v>98</v>
      </c>
      <c r="M811" t="s">
        <v>523</v>
      </c>
      <c r="N811" t="s">
        <v>61</v>
      </c>
      <c r="O811">
        <v>87</v>
      </c>
      <c r="Q811">
        <v>0</v>
      </c>
      <c r="R811">
        <v>0</v>
      </c>
      <c r="T811" t="s">
        <v>51</v>
      </c>
      <c r="U811" t="s">
        <v>39</v>
      </c>
      <c r="V811" t="s">
        <v>52</v>
      </c>
      <c r="W811" t="s">
        <v>52</v>
      </c>
      <c r="X811">
        <v>2022</v>
      </c>
      <c r="Y811" t="s">
        <v>128</v>
      </c>
      <c r="Z811" t="s">
        <v>64</v>
      </c>
    </row>
    <row r="812" spans="1:26">
      <c r="A812" t="s">
        <v>1752</v>
      </c>
      <c r="B812" t="s">
        <v>66</v>
      </c>
      <c r="C812" t="s">
        <v>102</v>
      </c>
      <c r="D812" t="s">
        <v>29</v>
      </c>
      <c r="E812" t="s">
        <v>30</v>
      </c>
      <c r="F812" t="s">
        <v>46</v>
      </c>
      <c r="G812" t="s">
        <v>32</v>
      </c>
      <c r="H812">
        <v>3</v>
      </c>
      <c r="I812">
        <v>33.1</v>
      </c>
      <c r="J812" t="s">
        <v>96</v>
      </c>
      <c r="K812" t="s">
        <v>1753</v>
      </c>
      <c r="L812" t="s">
        <v>60</v>
      </c>
      <c r="M812" t="s">
        <v>1373</v>
      </c>
      <c r="N812" t="s">
        <v>100</v>
      </c>
      <c r="O812">
        <v>95</v>
      </c>
      <c r="Q812">
        <v>0</v>
      </c>
      <c r="R812">
        <v>0</v>
      </c>
      <c r="T812" t="s">
        <v>62</v>
      </c>
      <c r="U812" t="s">
        <v>39</v>
      </c>
      <c r="V812" t="s">
        <v>52</v>
      </c>
      <c r="W812" t="s">
        <v>52</v>
      </c>
      <c r="X812">
        <v>2024</v>
      </c>
      <c r="Y812" t="s">
        <v>40</v>
      </c>
      <c r="Z812" t="s">
        <v>41</v>
      </c>
    </row>
    <row r="813" spans="1:26">
      <c r="A813" t="s">
        <v>1754</v>
      </c>
      <c r="B813" t="s">
        <v>27</v>
      </c>
      <c r="C813" t="s">
        <v>121</v>
      </c>
      <c r="D813" t="s">
        <v>77</v>
      </c>
      <c r="E813" t="s">
        <v>216</v>
      </c>
      <c r="F813" t="s">
        <v>238</v>
      </c>
      <c r="G813" t="s">
        <v>32</v>
      </c>
      <c r="H813">
        <v>9.8000000000000007</v>
      </c>
      <c r="I813">
        <v>9.1</v>
      </c>
      <c r="J813" t="s">
        <v>20</v>
      </c>
      <c r="K813" t="s">
        <v>320</v>
      </c>
      <c r="L813" t="s">
        <v>35</v>
      </c>
      <c r="M813" t="s">
        <v>1755</v>
      </c>
      <c r="N813" t="s">
        <v>37</v>
      </c>
      <c r="O813">
        <v>162</v>
      </c>
      <c r="Q813">
        <v>0</v>
      </c>
      <c r="R813">
        <v>0</v>
      </c>
      <c r="T813" t="s">
        <v>136</v>
      </c>
      <c r="U813" t="s">
        <v>39</v>
      </c>
      <c r="V813" t="s">
        <v>52</v>
      </c>
      <c r="W813" t="s">
        <v>52</v>
      </c>
      <c r="X813">
        <v>2023</v>
      </c>
      <c r="Y813" t="s">
        <v>91</v>
      </c>
      <c r="Z813" t="s">
        <v>64</v>
      </c>
    </row>
    <row r="814" spans="1:26">
      <c r="A814" t="s">
        <v>1756</v>
      </c>
      <c r="B814" t="s">
        <v>43</v>
      </c>
      <c r="C814" t="s">
        <v>173</v>
      </c>
      <c r="D814" t="s">
        <v>29</v>
      </c>
      <c r="E814" t="s">
        <v>244</v>
      </c>
      <c r="F814" t="s">
        <v>68</v>
      </c>
      <c r="G814" t="s">
        <v>32</v>
      </c>
      <c r="H814">
        <v>0.9</v>
      </c>
      <c r="I814">
        <v>13.9</v>
      </c>
      <c r="J814" t="s">
        <v>96</v>
      </c>
      <c r="K814" t="s">
        <v>1104</v>
      </c>
      <c r="L814" t="s">
        <v>35</v>
      </c>
      <c r="M814" t="s">
        <v>127</v>
      </c>
      <c r="N814" t="s">
        <v>61</v>
      </c>
      <c r="O814">
        <v>119</v>
      </c>
      <c r="Q814">
        <v>0</v>
      </c>
      <c r="R814">
        <v>0</v>
      </c>
      <c r="T814" t="s">
        <v>136</v>
      </c>
      <c r="U814" t="s">
        <v>39</v>
      </c>
      <c r="V814" t="s">
        <v>39</v>
      </c>
      <c r="W814" t="s">
        <v>39</v>
      </c>
      <c r="X814">
        <v>2024</v>
      </c>
      <c r="Y814" t="s">
        <v>91</v>
      </c>
      <c r="Z814" t="s">
        <v>64</v>
      </c>
    </row>
    <row r="815" spans="1:26">
      <c r="A815" t="s">
        <v>1757</v>
      </c>
      <c r="B815" t="s">
        <v>27</v>
      </c>
      <c r="C815" t="s">
        <v>102</v>
      </c>
      <c r="D815" t="s">
        <v>122</v>
      </c>
      <c r="E815" t="s">
        <v>155</v>
      </c>
      <c r="F815" t="s">
        <v>124</v>
      </c>
      <c r="G815" t="s">
        <v>58</v>
      </c>
      <c r="H815">
        <v>5.9</v>
      </c>
      <c r="I815">
        <v>11.3</v>
      </c>
      <c r="J815" t="s">
        <v>33</v>
      </c>
      <c r="K815" t="s">
        <v>200</v>
      </c>
      <c r="L815" t="s">
        <v>98</v>
      </c>
      <c r="M815" t="s">
        <v>127</v>
      </c>
      <c r="N815" t="s">
        <v>71</v>
      </c>
      <c r="O815">
        <v>144</v>
      </c>
      <c r="P815" t="s">
        <v>230</v>
      </c>
      <c r="Q815">
        <v>1617</v>
      </c>
      <c r="R815">
        <v>0</v>
      </c>
      <c r="S815" t="s">
        <v>113</v>
      </c>
      <c r="T815" t="s">
        <v>62</v>
      </c>
      <c r="U815" t="s">
        <v>39</v>
      </c>
      <c r="V815" t="s">
        <v>39</v>
      </c>
      <c r="W815" t="s">
        <v>52</v>
      </c>
      <c r="X815">
        <v>2024</v>
      </c>
      <c r="Y815" t="s">
        <v>114</v>
      </c>
      <c r="Z815" t="s">
        <v>41</v>
      </c>
    </row>
    <row r="816" spans="1:26">
      <c r="A816" t="s">
        <v>1758</v>
      </c>
      <c r="B816" t="s">
        <v>66</v>
      </c>
      <c r="C816" t="s">
        <v>44</v>
      </c>
      <c r="D816" t="s">
        <v>85</v>
      </c>
      <c r="E816" t="s">
        <v>174</v>
      </c>
      <c r="F816" t="s">
        <v>95</v>
      </c>
      <c r="G816" t="s">
        <v>32</v>
      </c>
      <c r="H816">
        <v>3.6</v>
      </c>
      <c r="I816">
        <v>1.5</v>
      </c>
      <c r="J816" t="s">
        <v>144</v>
      </c>
      <c r="K816" t="s">
        <v>754</v>
      </c>
      <c r="L816" t="s">
        <v>48</v>
      </c>
      <c r="M816" t="s">
        <v>214</v>
      </c>
      <c r="N816" t="s">
        <v>37</v>
      </c>
      <c r="O816">
        <v>67</v>
      </c>
      <c r="Q816">
        <v>0</v>
      </c>
      <c r="R816">
        <v>0</v>
      </c>
      <c r="T816" t="s">
        <v>136</v>
      </c>
      <c r="U816" t="s">
        <v>52</v>
      </c>
      <c r="V816" t="s">
        <v>52</v>
      </c>
      <c r="W816" t="s">
        <v>52</v>
      </c>
      <c r="X816">
        <v>2023</v>
      </c>
      <c r="Y816" t="s">
        <v>114</v>
      </c>
      <c r="Z816" t="s">
        <v>41</v>
      </c>
    </row>
    <row r="817" spans="1:26">
      <c r="A817" t="s">
        <v>1759</v>
      </c>
      <c r="B817" t="s">
        <v>27</v>
      </c>
      <c r="C817" t="s">
        <v>121</v>
      </c>
      <c r="D817" t="s">
        <v>77</v>
      </c>
      <c r="E817" t="s">
        <v>78</v>
      </c>
      <c r="F817" t="s">
        <v>160</v>
      </c>
      <c r="G817" t="s">
        <v>58</v>
      </c>
      <c r="H817">
        <v>5.5</v>
      </c>
      <c r="I817">
        <v>7.3</v>
      </c>
      <c r="J817" t="s">
        <v>20</v>
      </c>
      <c r="K817" t="s">
        <v>1164</v>
      </c>
      <c r="L817" t="s">
        <v>48</v>
      </c>
      <c r="M817" t="s">
        <v>301</v>
      </c>
      <c r="N817" t="s">
        <v>61</v>
      </c>
      <c r="O817">
        <v>28</v>
      </c>
      <c r="Q817">
        <v>0</v>
      </c>
      <c r="R817">
        <v>0</v>
      </c>
      <c r="T817" t="s">
        <v>51</v>
      </c>
      <c r="U817" t="s">
        <v>39</v>
      </c>
      <c r="V817" t="s">
        <v>39</v>
      </c>
      <c r="W817" t="s">
        <v>39</v>
      </c>
      <c r="X817">
        <v>2023</v>
      </c>
      <c r="Y817" t="s">
        <v>91</v>
      </c>
      <c r="Z817" t="s">
        <v>64</v>
      </c>
    </row>
    <row r="818" spans="1:26">
      <c r="A818" t="s">
        <v>1760</v>
      </c>
      <c r="B818" t="s">
        <v>66</v>
      </c>
      <c r="C818" t="s">
        <v>44</v>
      </c>
      <c r="D818" t="s">
        <v>122</v>
      </c>
      <c r="E818" t="s">
        <v>202</v>
      </c>
      <c r="F818" t="s">
        <v>46</v>
      </c>
      <c r="G818" t="s">
        <v>32</v>
      </c>
      <c r="H818">
        <v>8.6999999999999993</v>
      </c>
      <c r="I818">
        <v>19.5</v>
      </c>
      <c r="J818" t="s">
        <v>33</v>
      </c>
      <c r="K818" t="s">
        <v>435</v>
      </c>
      <c r="L818" t="s">
        <v>60</v>
      </c>
      <c r="M818" t="s">
        <v>383</v>
      </c>
      <c r="N818" t="s">
        <v>71</v>
      </c>
      <c r="O818">
        <v>95</v>
      </c>
      <c r="P818" t="s">
        <v>105</v>
      </c>
      <c r="Q818">
        <v>1791</v>
      </c>
      <c r="R818">
        <v>5000</v>
      </c>
      <c r="S818" t="s">
        <v>73</v>
      </c>
      <c r="T818" t="s">
        <v>51</v>
      </c>
      <c r="U818" t="s">
        <v>39</v>
      </c>
      <c r="V818" t="s">
        <v>52</v>
      </c>
      <c r="W818" t="s">
        <v>39</v>
      </c>
      <c r="X818">
        <v>2024</v>
      </c>
      <c r="Y818" t="s">
        <v>114</v>
      </c>
      <c r="Z818" t="s">
        <v>41</v>
      </c>
    </row>
    <row r="819" spans="1:26">
      <c r="A819" t="s">
        <v>1761</v>
      </c>
      <c r="B819" t="s">
        <v>66</v>
      </c>
      <c r="C819" t="s">
        <v>102</v>
      </c>
      <c r="D819" t="s">
        <v>29</v>
      </c>
      <c r="E819" t="s">
        <v>30</v>
      </c>
      <c r="F819" t="s">
        <v>95</v>
      </c>
      <c r="G819" t="s">
        <v>32</v>
      </c>
      <c r="H819">
        <v>1.9</v>
      </c>
      <c r="I819">
        <v>18.5</v>
      </c>
      <c r="J819" t="s">
        <v>33</v>
      </c>
      <c r="K819" t="s">
        <v>577</v>
      </c>
      <c r="L819" t="s">
        <v>60</v>
      </c>
      <c r="M819" t="s">
        <v>373</v>
      </c>
      <c r="N819" t="s">
        <v>71</v>
      </c>
      <c r="O819">
        <v>128</v>
      </c>
      <c r="P819" t="s">
        <v>230</v>
      </c>
      <c r="Q819">
        <v>1778</v>
      </c>
      <c r="R819">
        <v>0</v>
      </c>
      <c r="S819" t="s">
        <v>90</v>
      </c>
      <c r="T819" t="s">
        <v>51</v>
      </c>
      <c r="U819" t="s">
        <v>39</v>
      </c>
      <c r="V819" t="s">
        <v>52</v>
      </c>
      <c r="W819" t="s">
        <v>52</v>
      </c>
      <c r="X819">
        <v>2022</v>
      </c>
      <c r="Y819" t="s">
        <v>114</v>
      </c>
      <c r="Z819" t="s">
        <v>41</v>
      </c>
    </row>
    <row r="820" spans="1:26">
      <c r="A820" t="s">
        <v>1762</v>
      </c>
      <c r="B820" t="s">
        <v>116</v>
      </c>
      <c r="C820" t="s">
        <v>102</v>
      </c>
      <c r="D820" t="s">
        <v>29</v>
      </c>
      <c r="E820" t="s">
        <v>30</v>
      </c>
      <c r="F820" t="s">
        <v>149</v>
      </c>
      <c r="G820" t="s">
        <v>58</v>
      </c>
      <c r="H820">
        <v>8.4</v>
      </c>
      <c r="I820">
        <v>19.399999999999999</v>
      </c>
      <c r="J820" t="s">
        <v>33</v>
      </c>
      <c r="K820" t="s">
        <v>1113</v>
      </c>
      <c r="L820" t="s">
        <v>60</v>
      </c>
      <c r="M820" t="s">
        <v>127</v>
      </c>
      <c r="N820" t="s">
        <v>100</v>
      </c>
      <c r="O820">
        <v>107</v>
      </c>
      <c r="Q820">
        <v>0</v>
      </c>
      <c r="R820">
        <v>0</v>
      </c>
      <c r="T820" t="s">
        <v>81</v>
      </c>
      <c r="U820" t="s">
        <v>39</v>
      </c>
      <c r="V820" t="s">
        <v>39</v>
      </c>
      <c r="W820" t="s">
        <v>39</v>
      </c>
      <c r="X820">
        <v>2024</v>
      </c>
      <c r="Y820" t="s">
        <v>63</v>
      </c>
      <c r="Z820" t="s">
        <v>64</v>
      </c>
    </row>
    <row r="821" spans="1:26">
      <c r="A821" t="s">
        <v>1763</v>
      </c>
      <c r="B821" t="s">
        <v>43</v>
      </c>
      <c r="C821" t="s">
        <v>67</v>
      </c>
      <c r="D821" t="s">
        <v>77</v>
      </c>
      <c r="E821" t="s">
        <v>363</v>
      </c>
      <c r="F821" t="s">
        <v>46</v>
      </c>
      <c r="G821" t="s">
        <v>32</v>
      </c>
      <c r="H821">
        <v>2.9</v>
      </c>
      <c r="I821">
        <v>5.8</v>
      </c>
      <c r="J821" t="s">
        <v>96</v>
      </c>
      <c r="K821" t="s">
        <v>676</v>
      </c>
      <c r="L821" t="s">
        <v>98</v>
      </c>
      <c r="M821" t="s">
        <v>1764</v>
      </c>
      <c r="N821" t="s">
        <v>71</v>
      </c>
      <c r="O821">
        <v>11</v>
      </c>
      <c r="P821" t="s">
        <v>112</v>
      </c>
      <c r="Q821">
        <v>4794</v>
      </c>
      <c r="R821">
        <v>5000</v>
      </c>
      <c r="S821" t="s">
        <v>73</v>
      </c>
      <c r="T821" t="s">
        <v>62</v>
      </c>
      <c r="U821" t="s">
        <v>39</v>
      </c>
      <c r="V821" t="s">
        <v>52</v>
      </c>
      <c r="W821" t="s">
        <v>39</v>
      </c>
      <c r="X821">
        <v>2024</v>
      </c>
      <c r="Y821" t="s">
        <v>114</v>
      </c>
      <c r="Z821" t="s">
        <v>41</v>
      </c>
    </row>
    <row r="822" spans="1:26">
      <c r="A822" t="s">
        <v>1765</v>
      </c>
      <c r="B822" t="s">
        <v>116</v>
      </c>
      <c r="C822" t="s">
        <v>67</v>
      </c>
      <c r="D822" t="s">
        <v>85</v>
      </c>
      <c r="E822" t="s">
        <v>138</v>
      </c>
      <c r="F822" t="s">
        <v>95</v>
      </c>
      <c r="G822" t="s">
        <v>32</v>
      </c>
      <c r="H822">
        <v>2.6</v>
      </c>
      <c r="I822">
        <v>20.6</v>
      </c>
      <c r="J822" t="s">
        <v>20</v>
      </c>
      <c r="K822" t="s">
        <v>145</v>
      </c>
      <c r="L822" t="s">
        <v>48</v>
      </c>
      <c r="M822" t="s">
        <v>739</v>
      </c>
      <c r="N822" t="s">
        <v>37</v>
      </c>
      <c r="O822">
        <v>11</v>
      </c>
      <c r="Q822">
        <v>0</v>
      </c>
      <c r="R822">
        <v>0</v>
      </c>
      <c r="T822" t="s">
        <v>136</v>
      </c>
      <c r="U822" t="s">
        <v>39</v>
      </c>
      <c r="V822" t="s">
        <v>39</v>
      </c>
      <c r="W822" t="s">
        <v>39</v>
      </c>
      <c r="X822">
        <v>2022</v>
      </c>
      <c r="Y822" t="s">
        <v>53</v>
      </c>
      <c r="Z822" t="s">
        <v>54</v>
      </c>
    </row>
    <row r="823" spans="1:26">
      <c r="A823" t="s">
        <v>1766</v>
      </c>
      <c r="B823" t="s">
        <v>43</v>
      </c>
      <c r="C823" t="s">
        <v>173</v>
      </c>
      <c r="D823" t="s">
        <v>77</v>
      </c>
      <c r="E823" t="s">
        <v>168</v>
      </c>
      <c r="F823" t="s">
        <v>46</v>
      </c>
      <c r="G823" t="s">
        <v>58</v>
      </c>
      <c r="H823">
        <v>6.2</v>
      </c>
      <c r="I823">
        <v>6</v>
      </c>
      <c r="J823" t="s">
        <v>33</v>
      </c>
      <c r="K823" t="s">
        <v>842</v>
      </c>
      <c r="L823" t="s">
        <v>60</v>
      </c>
      <c r="M823" t="s">
        <v>630</v>
      </c>
      <c r="N823" t="s">
        <v>171</v>
      </c>
      <c r="O823">
        <v>143</v>
      </c>
      <c r="Q823">
        <v>0</v>
      </c>
      <c r="R823">
        <v>0</v>
      </c>
      <c r="T823" t="s">
        <v>136</v>
      </c>
      <c r="U823" t="s">
        <v>39</v>
      </c>
      <c r="V823" t="s">
        <v>52</v>
      </c>
      <c r="W823" t="s">
        <v>52</v>
      </c>
      <c r="X823">
        <v>2023</v>
      </c>
      <c r="Y823" t="s">
        <v>153</v>
      </c>
      <c r="Z823" t="s">
        <v>54</v>
      </c>
    </row>
    <row r="824" spans="1:26">
      <c r="A824" t="s">
        <v>1767</v>
      </c>
      <c r="B824" t="s">
        <v>108</v>
      </c>
      <c r="C824" t="s">
        <v>28</v>
      </c>
      <c r="D824" t="s">
        <v>77</v>
      </c>
      <c r="E824" t="s">
        <v>220</v>
      </c>
      <c r="F824" t="s">
        <v>124</v>
      </c>
      <c r="G824" t="s">
        <v>58</v>
      </c>
      <c r="H824">
        <v>2.5</v>
      </c>
      <c r="I824">
        <v>4.4000000000000004</v>
      </c>
      <c r="J824" t="s">
        <v>96</v>
      </c>
      <c r="K824" t="s">
        <v>1768</v>
      </c>
      <c r="L824" t="s">
        <v>140</v>
      </c>
      <c r="M824" t="s">
        <v>537</v>
      </c>
      <c r="N824" t="s">
        <v>100</v>
      </c>
      <c r="O824">
        <v>155</v>
      </c>
      <c r="Q824">
        <v>0</v>
      </c>
      <c r="R824">
        <v>0</v>
      </c>
      <c r="T824" t="s">
        <v>51</v>
      </c>
      <c r="U824" t="s">
        <v>39</v>
      </c>
      <c r="V824" t="s">
        <v>52</v>
      </c>
      <c r="W824" t="s">
        <v>52</v>
      </c>
      <c r="X824">
        <v>2024</v>
      </c>
      <c r="Y824" t="s">
        <v>40</v>
      </c>
      <c r="Z824" t="s">
        <v>41</v>
      </c>
    </row>
    <row r="825" spans="1:26">
      <c r="A825" t="s">
        <v>1769</v>
      </c>
      <c r="B825" t="s">
        <v>116</v>
      </c>
      <c r="C825" t="s">
        <v>102</v>
      </c>
      <c r="D825" t="s">
        <v>122</v>
      </c>
      <c r="E825" t="s">
        <v>130</v>
      </c>
      <c r="F825" t="s">
        <v>68</v>
      </c>
      <c r="G825" t="s">
        <v>32</v>
      </c>
      <c r="H825">
        <v>2.7</v>
      </c>
      <c r="I825">
        <v>1.3</v>
      </c>
      <c r="J825" t="s">
        <v>33</v>
      </c>
      <c r="K825" t="s">
        <v>865</v>
      </c>
      <c r="L825" t="s">
        <v>126</v>
      </c>
      <c r="M825" t="s">
        <v>304</v>
      </c>
      <c r="N825" t="s">
        <v>37</v>
      </c>
      <c r="O825">
        <v>166</v>
      </c>
      <c r="Q825">
        <v>0</v>
      </c>
      <c r="R825">
        <v>500</v>
      </c>
      <c r="T825" t="s">
        <v>136</v>
      </c>
      <c r="U825" t="s">
        <v>39</v>
      </c>
      <c r="V825" t="s">
        <v>52</v>
      </c>
      <c r="W825" t="s">
        <v>52</v>
      </c>
      <c r="X825">
        <v>2022</v>
      </c>
      <c r="Y825" t="s">
        <v>74</v>
      </c>
      <c r="Z825" t="s">
        <v>54</v>
      </c>
    </row>
    <row r="826" spans="1:26">
      <c r="A826" t="s">
        <v>1770</v>
      </c>
      <c r="B826" t="s">
        <v>43</v>
      </c>
      <c r="C826" t="s">
        <v>28</v>
      </c>
      <c r="D826" t="s">
        <v>77</v>
      </c>
      <c r="E826" t="s">
        <v>216</v>
      </c>
      <c r="F826" t="s">
        <v>31</v>
      </c>
      <c r="G826" t="s">
        <v>58</v>
      </c>
      <c r="H826">
        <v>9.6</v>
      </c>
      <c r="I826">
        <v>23.5</v>
      </c>
      <c r="J826" t="s">
        <v>33</v>
      </c>
      <c r="K826" t="s">
        <v>709</v>
      </c>
      <c r="L826" t="s">
        <v>35</v>
      </c>
      <c r="M826" t="s">
        <v>127</v>
      </c>
      <c r="N826" t="s">
        <v>61</v>
      </c>
      <c r="O826">
        <v>123</v>
      </c>
      <c r="Q826">
        <v>0</v>
      </c>
      <c r="R826">
        <v>0</v>
      </c>
      <c r="T826" t="s">
        <v>62</v>
      </c>
      <c r="U826" t="s">
        <v>39</v>
      </c>
      <c r="V826" t="s">
        <v>39</v>
      </c>
      <c r="W826" t="s">
        <v>52</v>
      </c>
      <c r="X826">
        <v>2024</v>
      </c>
      <c r="Y826" t="s">
        <v>91</v>
      </c>
      <c r="Z826" t="s">
        <v>64</v>
      </c>
    </row>
    <row r="827" spans="1:26">
      <c r="A827" t="s">
        <v>1771</v>
      </c>
      <c r="B827" t="s">
        <v>108</v>
      </c>
      <c r="C827" t="s">
        <v>67</v>
      </c>
      <c r="D827" t="s">
        <v>77</v>
      </c>
      <c r="E827" t="s">
        <v>168</v>
      </c>
      <c r="F827" t="s">
        <v>95</v>
      </c>
      <c r="G827" t="s">
        <v>32</v>
      </c>
      <c r="H827">
        <v>4.5</v>
      </c>
      <c r="I827">
        <v>22.8</v>
      </c>
      <c r="J827" t="s">
        <v>144</v>
      </c>
      <c r="K827" t="s">
        <v>370</v>
      </c>
      <c r="L827" t="s">
        <v>98</v>
      </c>
      <c r="M827" t="s">
        <v>1772</v>
      </c>
      <c r="N827" t="s">
        <v>71</v>
      </c>
      <c r="O827">
        <v>98</v>
      </c>
      <c r="P827" t="s">
        <v>230</v>
      </c>
      <c r="Q827">
        <v>3796</v>
      </c>
      <c r="R827">
        <v>0</v>
      </c>
      <c r="S827" t="s">
        <v>152</v>
      </c>
      <c r="T827" t="s">
        <v>38</v>
      </c>
      <c r="U827" t="s">
        <v>39</v>
      </c>
      <c r="V827" t="s">
        <v>52</v>
      </c>
      <c r="W827" t="s">
        <v>52</v>
      </c>
      <c r="X827">
        <v>2024</v>
      </c>
      <c r="Y827" t="s">
        <v>153</v>
      </c>
      <c r="Z827" t="s">
        <v>54</v>
      </c>
    </row>
    <row r="828" spans="1:26">
      <c r="A828" t="s">
        <v>1773</v>
      </c>
      <c r="B828" t="s">
        <v>43</v>
      </c>
      <c r="C828" t="s">
        <v>121</v>
      </c>
      <c r="D828" t="s">
        <v>29</v>
      </c>
      <c r="E828" t="s">
        <v>117</v>
      </c>
      <c r="F828" t="s">
        <v>31</v>
      </c>
      <c r="G828" t="s">
        <v>32</v>
      </c>
      <c r="H828">
        <v>0.3</v>
      </c>
      <c r="I828">
        <v>3.5</v>
      </c>
      <c r="J828" t="s">
        <v>33</v>
      </c>
      <c r="K828" t="s">
        <v>1359</v>
      </c>
      <c r="L828" t="s">
        <v>35</v>
      </c>
      <c r="M828" t="s">
        <v>877</v>
      </c>
      <c r="N828" t="s">
        <v>71</v>
      </c>
      <c r="O828">
        <v>31</v>
      </c>
      <c r="P828" t="s">
        <v>105</v>
      </c>
      <c r="Q828">
        <v>3451</v>
      </c>
      <c r="R828">
        <v>0</v>
      </c>
      <c r="S828" t="s">
        <v>90</v>
      </c>
      <c r="T828" t="s">
        <v>38</v>
      </c>
      <c r="U828" t="s">
        <v>39</v>
      </c>
      <c r="V828" t="s">
        <v>39</v>
      </c>
      <c r="W828" t="s">
        <v>39</v>
      </c>
      <c r="X828">
        <v>2023</v>
      </c>
      <c r="Y828" t="s">
        <v>82</v>
      </c>
      <c r="Z828" t="s">
        <v>83</v>
      </c>
    </row>
    <row r="829" spans="1:26">
      <c r="A829" t="s">
        <v>1774</v>
      </c>
      <c r="B829" t="s">
        <v>116</v>
      </c>
      <c r="C829" t="s">
        <v>76</v>
      </c>
      <c r="D829" t="s">
        <v>85</v>
      </c>
      <c r="E829" t="s">
        <v>86</v>
      </c>
      <c r="F829" t="s">
        <v>95</v>
      </c>
      <c r="G829" t="s">
        <v>32</v>
      </c>
      <c r="H829">
        <v>10</v>
      </c>
      <c r="I829">
        <v>14.7</v>
      </c>
      <c r="J829" t="s">
        <v>156</v>
      </c>
      <c r="K829" t="s">
        <v>1775</v>
      </c>
      <c r="L829" t="s">
        <v>60</v>
      </c>
      <c r="M829" t="s">
        <v>1776</v>
      </c>
      <c r="N829" t="s">
        <v>50</v>
      </c>
      <c r="O829">
        <v>10</v>
      </c>
      <c r="Q829">
        <v>0</v>
      </c>
      <c r="R829">
        <v>1000</v>
      </c>
      <c r="T829" t="s">
        <v>136</v>
      </c>
      <c r="U829" t="s">
        <v>39</v>
      </c>
      <c r="V829" t="s">
        <v>52</v>
      </c>
      <c r="W829" t="s">
        <v>39</v>
      </c>
      <c r="X829">
        <v>2022</v>
      </c>
      <c r="Y829" t="s">
        <v>312</v>
      </c>
      <c r="Z829" t="s">
        <v>83</v>
      </c>
    </row>
    <row r="830" spans="1:26">
      <c r="A830" t="s">
        <v>1777</v>
      </c>
      <c r="B830" t="s">
        <v>27</v>
      </c>
      <c r="C830" t="s">
        <v>44</v>
      </c>
      <c r="D830" t="s">
        <v>29</v>
      </c>
      <c r="E830" t="s">
        <v>195</v>
      </c>
      <c r="F830" t="s">
        <v>109</v>
      </c>
      <c r="G830" t="s">
        <v>32</v>
      </c>
      <c r="H830">
        <v>12</v>
      </c>
      <c r="I830">
        <v>2</v>
      </c>
      <c r="J830" t="s">
        <v>96</v>
      </c>
      <c r="K830" t="s">
        <v>621</v>
      </c>
      <c r="L830" t="s">
        <v>48</v>
      </c>
      <c r="M830" t="s">
        <v>624</v>
      </c>
      <c r="N830" t="s">
        <v>50</v>
      </c>
      <c r="O830">
        <v>61</v>
      </c>
      <c r="Q830">
        <v>0</v>
      </c>
      <c r="R830">
        <v>0</v>
      </c>
      <c r="T830" t="s">
        <v>38</v>
      </c>
      <c r="U830" t="s">
        <v>39</v>
      </c>
      <c r="V830" t="s">
        <v>52</v>
      </c>
      <c r="W830" t="s">
        <v>39</v>
      </c>
      <c r="X830">
        <v>2023</v>
      </c>
      <c r="Y830" t="s">
        <v>106</v>
      </c>
      <c r="Z830" t="s">
        <v>83</v>
      </c>
    </row>
    <row r="831" spans="1:26">
      <c r="A831" t="s">
        <v>1778</v>
      </c>
      <c r="B831" t="s">
        <v>27</v>
      </c>
      <c r="C831" t="s">
        <v>164</v>
      </c>
      <c r="D831" t="s">
        <v>77</v>
      </c>
      <c r="E831" t="s">
        <v>260</v>
      </c>
      <c r="F831" t="s">
        <v>46</v>
      </c>
      <c r="G831" t="s">
        <v>32</v>
      </c>
      <c r="H831">
        <v>10.8</v>
      </c>
      <c r="I831">
        <v>25.6</v>
      </c>
      <c r="J831" t="s">
        <v>144</v>
      </c>
      <c r="K831" t="s">
        <v>1299</v>
      </c>
      <c r="L831" t="s">
        <v>48</v>
      </c>
      <c r="M831" t="s">
        <v>1064</v>
      </c>
      <c r="N831" t="s">
        <v>71</v>
      </c>
      <c r="O831">
        <v>121</v>
      </c>
      <c r="P831" t="s">
        <v>105</v>
      </c>
      <c r="Q831">
        <v>6057</v>
      </c>
      <c r="R831">
        <v>2000</v>
      </c>
      <c r="S831" t="s">
        <v>90</v>
      </c>
      <c r="T831" t="s">
        <v>51</v>
      </c>
      <c r="U831" t="s">
        <v>52</v>
      </c>
      <c r="V831" t="s">
        <v>52</v>
      </c>
      <c r="W831" t="s">
        <v>52</v>
      </c>
      <c r="X831">
        <v>2024</v>
      </c>
      <c r="Y831" t="s">
        <v>40</v>
      </c>
      <c r="Z831" t="s">
        <v>41</v>
      </c>
    </row>
    <row r="832" spans="1:26">
      <c r="A832" t="s">
        <v>1779</v>
      </c>
      <c r="B832" t="s">
        <v>43</v>
      </c>
      <c r="C832" t="s">
        <v>67</v>
      </c>
      <c r="D832" t="s">
        <v>77</v>
      </c>
      <c r="E832" t="s">
        <v>78</v>
      </c>
      <c r="F832" t="s">
        <v>46</v>
      </c>
      <c r="G832" t="s">
        <v>32</v>
      </c>
      <c r="H832">
        <v>1.1000000000000001</v>
      </c>
      <c r="I832">
        <v>9.1999999999999993</v>
      </c>
      <c r="J832" t="s">
        <v>144</v>
      </c>
      <c r="K832" t="s">
        <v>1464</v>
      </c>
      <c r="L832" t="s">
        <v>140</v>
      </c>
      <c r="M832" t="s">
        <v>502</v>
      </c>
      <c r="N832" t="s">
        <v>100</v>
      </c>
      <c r="O832">
        <v>93</v>
      </c>
      <c r="Q832">
        <v>0</v>
      </c>
      <c r="R832">
        <v>0</v>
      </c>
      <c r="T832" t="s">
        <v>81</v>
      </c>
      <c r="U832" t="s">
        <v>39</v>
      </c>
      <c r="V832" t="s">
        <v>52</v>
      </c>
      <c r="W832" t="s">
        <v>52</v>
      </c>
      <c r="X832">
        <v>2024</v>
      </c>
      <c r="Y832" t="s">
        <v>74</v>
      </c>
      <c r="Z832" t="s">
        <v>54</v>
      </c>
    </row>
    <row r="833" spans="1:26">
      <c r="A833" t="s">
        <v>1780</v>
      </c>
      <c r="B833" t="s">
        <v>108</v>
      </c>
      <c r="C833" t="s">
        <v>28</v>
      </c>
      <c r="D833" t="s">
        <v>77</v>
      </c>
      <c r="E833" t="s">
        <v>260</v>
      </c>
      <c r="F833" t="s">
        <v>109</v>
      </c>
      <c r="G833" t="s">
        <v>58</v>
      </c>
      <c r="H833">
        <v>8.3000000000000007</v>
      </c>
      <c r="I833">
        <v>3.3</v>
      </c>
      <c r="J833" t="s">
        <v>20</v>
      </c>
      <c r="K833" t="s">
        <v>1060</v>
      </c>
      <c r="L833" t="s">
        <v>35</v>
      </c>
      <c r="M833" t="s">
        <v>1781</v>
      </c>
      <c r="N833" t="s">
        <v>71</v>
      </c>
      <c r="O833">
        <v>147</v>
      </c>
      <c r="P833" t="s">
        <v>105</v>
      </c>
      <c r="Q833">
        <v>4686</v>
      </c>
      <c r="R833">
        <v>5000</v>
      </c>
      <c r="S833" t="s">
        <v>73</v>
      </c>
      <c r="T833" t="s">
        <v>51</v>
      </c>
      <c r="U833" t="s">
        <v>39</v>
      </c>
      <c r="V833" t="s">
        <v>52</v>
      </c>
      <c r="W833" t="s">
        <v>52</v>
      </c>
      <c r="X833">
        <v>2022</v>
      </c>
      <c r="Y833" t="s">
        <v>128</v>
      </c>
      <c r="Z833" t="s">
        <v>64</v>
      </c>
    </row>
    <row r="834" spans="1:26">
      <c r="A834" t="s">
        <v>1782</v>
      </c>
      <c r="B834" t="s">
        <v>66</v>
      </c>
      <c r="C834" t="s">
        <v>44</v>
      </c>
      <c r="D834" t="s">
        <v>122</v>
      </c>
      <c r="E834" t="s">
        <v>130</v>
      </c>
      <c r="F834" t="s">
        <v>124</v>
      </c>
      <c r="G834" t="s">
        <v>32</v>
      </c>
      <c r="H834">
        <v>6.6</v>
      </c>
      <c r="I834">
        <v>14.1</v>
      </c>
      <c r="J834" t="s">
        <v>156</v>
      </c>
      <c r="K834" t="s">
        <v>1783</v>
      </c>
      <c r="L834" t="s">
        <v>126</v>
      </c>
      <c r="M834" t="s">
        <v>157</v>
      </c>
      <c r="N834" t="s">
        <v>171</v>
      </c>
      <c r="O834">
        <v>84</v>
      </c>
      <c r="Q834">
        <v>0</v>
      </c>
      <c r="R834">
        <v>0</v>
      </c>
      <c r="T834" t="s">
        <v>38</v>
      </c>
      <c r="U834" t="s">
        <v>39</v>
      </c>
      <c r="V834" t="s">
        <v>52</v>
      </c>
      <c r="W834" t="s">
        <v>52</v>
      </c>
      <c r="X834">
        <v>2022</v>
      </c>
      <c r="Y834" t="s">
        <v>211</v>
      </c>
      <c r="Z834" t="s">
        <v>41</v>
      </c>
    </row>
    <row r="835" spans="1:26">
      <c r="A835" t="s">
        <v>1784</v>
      </c>
      <c r="B835" t="s">
        <v>93</v>
      </c>
      <c r="C835" t="s">
        <v>102</v>
      </c>
      <c r="D835" t="s">
        <v>77</v>
      </c>
      <c r="E835" t="s">
        <v>363</v>
      </c>
      <c r="F835" t="s">
        <v>57</v>
      </c>
      <c r="G835" t="s">
        <v>32</v>
      </c>
      <c r="H835">
        <v>11</v>
      </c>
      <c r="I835">
        <v>24.5</v>
      </c>
      <c r="J835" t="s">
        <v>96</v>
      </c>
      <c r="K835" t="s">
        <v>1785</v>
      </c>
      <c r="L835" t="s">
        <v>48</v>
      </c>
      <c r="M835" t="s">
        <v>924</v>
      </c>
      <c r="N835" t="s">
        <v>71</v>
      </c>
      <c r="O835">
        <v>130</v>
      </c>
      <c r="P835" t="s">
        <v>105</v>
      </c>
      <c r="Q835">
        <v>7056</v>
      </c>
      <c r="R835">
        <v>0</v>
      </c>
      <c r="S835" t="s">
        <v>73</v>
      </c>
      <c r="T835" t="s">
        <v>81</v>
      </c>
      <c r="U835" t="s">
        <v>39</v>
      </c>
      <c r="V835" t="s">
        <v>39</v>
      </c>
      <c r="W835" t="s">
        <v>39</v>
      </c>
      <c r="X835">
        <v>2022</v>
      </c>
      <c r="Y835" t="s">
        <v>106</v>
      </c>
      <c r="Z835" t="s">
        <v>83</v>
      </c>
    </row>
    <row r="836" spans="1:26">
      <c r="A836" t="s">
        <v>1786</v>
      </c>
      <c r="B836" t="s">
        <v>93</v>
      </c>
      <c r="C836" t="s">
        <v>44</v>
      </c>
      <c r="D836" t="s">
        <v>29</v>
      </c>
      <c r="E836" t="s">
        <v>30</v>
      </c>
      <c r="F836" t="s">
        <v>238</v>
      </c>
      <c r="G836" t="s">
        <v>32</v>
      </c>
      <c r="H836">
        <v>5.5</v>
      </c>
      <c r="I836">
        <v>4.5999999999999996</v>
      </c>
      <c r="J836" t="s">
        <v>33</v>
      </c>
      <c r="K836" t="s">
        <v>389</v>
      </c>
      <c r="L836" t="s">
        <v>126</v>
      </c>
      <c r="M836" t="s">
        <v>1787</v>
      </c>
      <c r="N836" t="s">
        <v>71</v>
      </c>
      <c r="O836">
        <v>48</v>
      </c>
      <c r="P836" t="s">
        <v>72</v>
      </c>
      <c r="Q836">
        <v>1774</v>
      </c>
      <c r="R836">
        <v>0</v>
      </c>
      <c r="S836" t="s">
        <v>113</v>
      </c>
      <c r="T836" t="s">
        <v>51</v>
      </c>
      <c r="U836" t="s">
        <v>52</v>
      </c>
      <c r="V836" t="s">
        <v>52</v>
      </c>
      <c r="W836" t="s">
        <v>52</v>
      </c>
      <c r="X836">
        <v>2023</v>
      </c>
      <c r="Y836" t="s">
        <v>312</v>
      </c>
      <c r="Z836" t="s">
        <v>83</v>
      </c>
    </row>
    <row r="837" spans="1:26">
      <c r="A837" t="s">
        <v>1788</v>
      </c>
      <c r="B837" t="s">
        <v>108</v>
      </c>
      <c r="C837" t="s">
        <v>44</v>
      </c>
      <c r="D837" t="s">
        <v>77</v>
      </c>
      <c r="E837" t="s">
        <v>220</v>
      </c>
      <c r="F837" t="s">
        <v>109</v>
      </c>
      <c r="G837" t="s">
        <v>58</v>
      </c>
      <c r="H837">
        <v>4.3</v>
      </c>
      <c r="I837">
        <v>9.3000000000000007</v>
      </c>
      <c r="J837" t="s">
        <v>144</v>
      </c>
      <c r="K837" t="s">
        <v>709</v>
      </c>
      <c r="L837" t="s">
        <v>98</v>
      </c>
      <c r="M837" t="s">
        <v>521</v>
      </c>
      <c r="N837" t="s">
        <v>50</v>
      </c>
      <c r="O837">
        <v>9</v>
      </c>
      <c r="Q837">
        <v>0</v>
      </c>
      <c r="R837">
        <v>500</v>
      </c>
      <c r="T837" t="s">
        <v>62</v>
      </c>
      <c r="U837" t="s">
        <v>39</v>
      </c>
      <c r="V837" t="s">
        <v>52</v>
      </c>
      <c r="W837" t="s">
        <v>52</v>
      </c>
      <c r="X837">
        <v>2024</v>
      </c>
      <c r="Y837" t="s">
        <v>91</v>
      </c>
      <c r="Z837" t="s">
        <v>64</v>
      </c>
    </row>
    <row r="838" spans="1:26">
      <c r="A838" t="s">
        <v>1789</v>
      </c>
      <c r="B838" t="s">
        <v>66</v>
      </c>
      <c r="C838" t="s">
        <v>28</v>
      </c>
      <c r="D838" t="s">
        <v>77</v>
      </c>
      <c r="E838" t="s">
        <v>94</v>
      </c>
      <c r="F838" t="s">
        <v>149</v>
      </c>
      <c r="G838" t="s">
        <v>32</v>
      </c>
      <c r="H838">
        <v>6.6</v>
      </c>
      <c r="I838">
        <v>3.4</v>
      </c>
      <c r="J838" t="s">
        <v>156</v>
      </c>
      <c r="K838" t="s">
        <v>1790</v>
      </c>
      <c r="L838" t="s">
        <v>60</v>
      </c>
      <c r="M838" t="s">
        <v>603</v>
      </c>
      <c r="N838" t="s">
        <v>71</v>
      </c>
      <c r="O838">
        <v>125</v>
      </c>
      <c r="P838" t="s">
        <v>89</v>
      </c>
      <c r="Q838">
        <v>6890</v>
      </c>
      <c r="R838">
        <v>0</v>
      </c>
      <c r="S838" t="s">
        <v>90</v>
      </c>
      <c r="T838" t="s">
        <v>38</v>
      </c>
      <c r="U838" t="s">
        <v>39</v>
      </c>
      <c r="V838" t="s">
        <v>52</v>
      </c>
      <c r="W838" t="s">
        <v>52</v>
      </c>
      <c r="X838">
        <v>2022</v>
      </c>
      <c r="Y838" t="s">
        <v>312</v>
      </c>
      <c r="Z838" t="s">
        <v>83</v>
      </c>
    </row>
    <row r="839" spans="1:26">
      <c r="A839" t="s">
        <v>1791</v>
      </c>
      <c r="B839" t="s">
        <v>27</v>
      </c>
      <c r="C839" t="s">
        <v>121</v>
      </c>
      <c r="D839" t="s">
        <v>77</v>
      </c>
      <c r="E839" t="s">
        <v>94</v>
      </c>
      <c r="F839" t="s">
        <v>95</v>
      </c>
      <c r="G839" t="s">
        <v>58</v>
      </c>
      <c r="H839">
        <v>8.1</v>
      </c>
      <c r="I839">
        <v>1.5</v>
      </c>
      <c r="J839" t="s">
        <v>144</v>
      </c>
      <c r="K839" t="s">
        <v>1655</v>
      </c>
      <c r="L839" t="s">
        <v>60</v>
      </c>
      <c r="M839" t="s">
        <v>1051</v>
      </c>
      <c r="N839" t="s">
        <v>71</v>
      </c>
      <c r="O839">
        <v>3</v>
      </c>
      <c r="P839" t="s">
        <v>105</v>
      </c>
      <c r="Q839">
        <v>7861</v>
      </c>
      <c r="R839">
        <v>5000</v>
      </c>
      <c r="S839" t="s">
        <v>90</v>
      </c>
      <c r="T839" t="s">
        <v>62</v>
      </c>
      <c r="U839" t="s">
        <v>39</v>
      </c>
      <c r="V839" t="s">
        <v>52</v>
      </c>
      <c r="W839" t="s">
        <v>39</v>
      </c>
      <c r="X839">
        <v>2022</v>
      </c>
      <c r="Y839" t="s">
        <v>40</v>
      </c>
      <c r="Z839" t="s">
        <v>41</v>
      </c>
    </row>
    <row r="840" spans="1:26">
      <c r="A840" t="s">
        <v>1792</v>
      </c>
      <c r="B840" t="s">
        <v>27</v>
      </c>
      <c r="C840" t="s">
        <v>67</v>
      </c>
      <c r="D840" t="s">
        <v>29</v>
      </c>
      <c r="E840" t="s">
        <v>117</v>
      </c>
      <c r="F840" t="s">
        <v>57</v>
      </c>
      <c r="G840" t="s">
        <v>58</v>
      </c>
      <c r="H840">
        <v>10.3</v>
      </c>
      <c r="I840">
        <v>1.9</v>
      </c>
      <c r="J840" t="s">
        <v>156</v>
      </c>
      <c r="K840" t="s">
        <v>608</v>
      </c>
      <c r="L840" t="s">
        <v>48</v>
      </c>
      <c r="M840" t="s">
        <v>1787</v>
      </c>
      <c r="N840" t="s">
        <v>61</v>
      </c>
      <c r="O840">
        <v>116</v>
      </c>
      <c r="Q840">
        <v>0</v>
      </c>
      <c r="R840">
        <v>0</v>
      </c>
      <c r="T840" t="s">
        <v>38</v>
      </c>
      <c r="U840" t="s">
        <v>39</v>
      </c>
      <c r="V840" t="s">
        <v>52</v>
      </c>
      <c r="W840" t="s">
        <v>52</v>
      </c>
      <c r="X840">
        <v>2022</v>
      </c>
      <c r="Y840" t="s">
        <v>63</v>
      </c>
      <c r="Z840" t="s">
        <v>64</v>
      </c>
    </row>
    <row r="841" spans="1:26">
      <c r="A841" t="s">
        <v>1793</v>
      </c>
      <c r="B841" t="s">
        <v>66</v>
      </c>
      <c r="C841" t="s">
        <v>121</v>
      </c>
      <c r="D841" t="s">
        <v>77</v>
      </c>
      <c r="E841" t="s">
        <v>220</v>
      </c>
      <c r="F841" t="s">
        <v>124</v>
      </c>
      <c r="G841" t="s">
        <v>32</v>
      </c>
      <c r="H841">
        <v>3.7</v>
      </c>
      <c r="I841">
        <v>8.1999999999999993</v>
      </c>
      <c r="J841" t="s">
        <v>96</v>
      </c>
      <c r="K841" t="s">
        <v>1109</v>
      </c>
      <c r="L841" t="s">
        <v>98</v>
      </c>
      <c r="M841" t="s">
        <v>132</v>
      </c>
      <c r="N841" t="s">
        <v>71</v>
      </c>
      <c r="O841">
        <v>168</v>
      </c>
      <c r="P841" t="s">
        <v>230</v>
      </c>
      <c r="Q841">
        <v>6086</v>
      </c>
      <c r="R841">
        <v>0</v>
      </c>
      <c r="S841" t="s">
        <v>73</v>
      </c>
      <c r="T841" t="s">
        <v>81</v>
      </c>
      <c r="U841" t="s">
        <v>39</v>
      </c>
      <c r="V841" t="s">
        <v>39</v>
      </c>
      <c r="W841" t="s">
        <v>39</v>
      </c>
      <c r="X841">
        <v>2024</v>
      </c>
      <c r="Y841" t="s">
        <v>312</v>
      </c>
      <c r="Z841" t="s">
        <v>83</v>
      </c>
    </row>
    <row r="842" spans="1:26">
      <c r="A842" t="s">
        <v>1794</v>
      </c>
      <c r="B842" t="s">
        <v>66</v>
      </c>
      <c r="C842" t="s">
        <v>67</v>
      </c>
      <c r="D842" t="s">
        <v>77</v>
      </c>
      <c r="E842" t="s">
        <v>78</v>
      </c>
      <c r="F842" t="s">
        <v>109</v>
      </c>
      <c r="G842" t="s">
        <v>58</v>
      </c>
      <c r="H842">
        <v>0.3</v>
      </c>
      <c r="I842">
        <v>18.600000000000001</v>
      </c>
      <c r="J842" t="s">
        <v>144</v>
      </c>
      <c r="K842" t="s">
        <v>449</v>
      </c>
      <c r="L842" t="s">
        <v>126</v>
      </c>
      <c r="M842" t="s">
        <v>333</v>
      </c>
      <c r="N842" t="s">
        <v>100</v>
      </c>
      <c r="O842">
        <v>179</v>
      </c>
      <c r="Q842">
        <v>0</v>
      </c>
      <c r="R842">
        <v>0</v>
      </c>
      <c r="T842" t="s">
        <v>38</v>
      </c>
      <c r="U842" t="s">
        <v>39</v>
      </c>
      <c r="V842" t="s">
        <v>52</v>
      </c>
      <c r="W842" t="s">
        <v>52</v>
      </c>
      <c r="X842">
        <v>2024</v>
      </c>
      <c r="Y842" t="s">
        <v>106</v>
      </c>
      <c r="Z842" t="s">
        <v>83</v>
      </c>
    </row>
    <row r="843" spans="1:26">
      <c r="A843" t="s">
        <v>1795</v>
      </c>
      <c r="B843" t="s">
        <v>43</v>
      </c>
      <c r="C843" t="s">
        <v>164</v>
      </c>
      <c r="D843" t="s">
        <v>29</v>
      </c>
      <c r="E843" t="s">
        <v>30</v>
      </c>
      <c r="F843" t="s">
        <v>95</v>
      </c>
      <c r="G843" t="s">
        <v>58</v>
      </c>
      <c r="H843">
        <v>5.7</v>
      </c>
      <c r="I843">
        <v>18</v>
      </c>
      <c r="J843" t="s">
        <v>33</v>
      </c>
      <c r="K843" t="s">
        <v>1796</v>
      </c>
      <c r="L843" t="s">
        <v>35</v>
      </c>
      <c r="M843" t="s">
        <v>1661</v>
      </c>
      <c r="N843" t="s">
        <v>171</v>
      </c>
      <c r="O843">
        <v>68</v>
      </c>
      <c r="Q843">
        <v>0</v>
      </c>
      <c r="R843">
        <v>0</v>
      </c>
      <c r="T843" t="s">
        <v>62</v>
      </c>
      <c r="U843" t="s">
        <v>39</v>
      </c>
      <c r="V843" t="s">
        <v>52</v>
      </c>
      <c r="W843" t="s">
        <v>52</v>
      </c>
      <c r="X843">
        <v>2022</v>
      </c>
      <c r="Y843" t="s">
        <v>153</v>
      </c>
      <c r="Z843" t="s">
        <v>54</v>
      </c>
    </row>
    <row r="844" spans="1:26">
      <c r="A844" t="s">
        <v>1797</v>
      </c>
      <c r="B844" t="s">
        <v>43</v>
      </c>
      <c r="C844" t="s">
        <v>102</v>
      </c>
      <c r="D844" t="s">
        <v>77</v>
      </c>
      <c r="E844" t="s">
        <v>260</v>
      </c>
      <c r="F844" t="s">
        <v>68</v>
      </c>
      <c r="G844" t="s">
        <v>32</v>
      </c>
      <c r="H844">
        <v>5</v>
      </c>
      <c r="I844">
        <v>19.8</v>
      </c>
      <c r="J844" t="s">
        <v>33</v>
      </c>
      <c r="K844" t="s">
        <v>587</v>
      </c>
      <c r="L844" t="s">
        <v>98</v>
      </c>
      <c r="M844" t="s">
        <v>1520</v>
      </c>
      <c r="N844" t="s">
        <v>71</v>
      </c>
      <c r="O844">
        <v>123</v>
      </c>
      <c r="P844" t="s">
        <v>112</v>
      </c>
      <c r="Q844">
        <v>4519</v>
      </c>
      <c r="R844">
        <v>1000</v>
      </c>
      <c r="S844" t="s">
        <v>73</v>
      </c>
      <c r="T844" t="s">
        <v>51</v>
      </c>
      <c r="U844" t="s">
        <v>39</v>
      </c>
      <c r="V844" t="s">
        <v>52</v>
      </c>
      <c r="W844" t="s">
        <v>39</v>
      </c>
      <c r="X844">
        <v>2023</v>
      </c>
      <c r="Y844" t="s">
        <v>153</v>
      </c>
      <c r="Z844" t="s">
        <v>54</v>
      </c>
    </row>
    <row r="845" spans="1:26">
      <c r="A845" t="s">
        <v>1798</v>
      </c>
      <c r="B845" t="s">
        <v>108</v>
      </c>
      <c r="C845" t="s">
        <v>102</v>
      </c>
      <c r="D845" t="s">
        <v>29</v>
      </c>
      <c r="E845" t="s">
        <v>244</v>
      </c>
      <c r="F845" t="s">
        <v>124</v>
      </c>
      <c r="G845" t="s">
        <v>32</v>
      </c>
      <c r="H845">
        <v>1.7</v>
      </c>
      <c r="I845">
        <v>32.299999999999997</v>
      </c>
      <c r="J845" t="s">
        <v>144</v>
      </c>
      <c r="K845" t="s">
        <v>842</v>
      </c>
      <c r="L845" t="s">
        <v>126</v>
      </c>
      <c r="M845" t="s">
        <v>1799</v>
      </c>
      <c r="N845" t="s">
        <v>71</v>
      </c>
      <c r="O845">
        <v>150</v>
      </c>
      <c r="P845" t="s">
        <v>89</v>
      </c>
      <c r="Q845">
        <v>2742</v>
      </c>
      <c r="R845">
        <v>5000</v>
      </c>
      <c r="S845" t="s">
        <v>73</v>
      </c>
      <c r="T845" t="s">
        <v>81</v>
      </c>
      <c r="U845" t="s">
        <v>52</v>
      </c>
      <c r="V845" t="s">
        <v>52</v>
      </c>
      <c r="W845" t="s">
        <v>39</v>
      </c>
      <c r="X845">
        <v>2023</v>
      </c>
      <c r="Y845" t="s">
        <v>153</v>
      </c>
      <c r="Z845" t="s">
        <v>54</v>
      </c>
    </row>
    <row r="846" spans="1:26">
      <c r="A846" t="s">
        <v>1800</v>
      </c>
      <c r="B846" t="s">
        <v>43</v>
      </c>
      <c r="C846" t="s">
        <v>102</v>
      </c>
      <c r="D846" t="s">
        <v>77</v>
      </c>
      <c r="E846" t="s">
        <v>216</v>
      </c>
      <c r="F846" t="s">
        <v>57</v>
      </c>
      <c r="G846" t="s">
        <v>32</v>
      </c>
      <c r="H846">
        <v>11.9</v>
      </c>
      <c r="I846">
        <v>3</v>
      </c>
      <c r="J846" t="s">
        <v>33</v>
      </c>
      <c r="K846" t="s">
        <v>716</v>
      </c>
      <c r="L846" t="s">
        <v>60</v>
      </c>
      <c r="M846" t="s">
        <v>1801</v>
      </c>
      <c r="N846" t="s">
        <v>71</v>
      </c>
      <c r="O846">
        <v>38</v>
      </c>
      <c r="P846" t="s">
        <v>112</v>
      </c>
      <c r="Q846">
        <v>6913</v>
      </c>
      <c r="R846">
        <v>1000</v>
      </c>
      <c r="S846" t="s">
        <v>73</v>
      </c>
      <c r="T846" t="s">
        <v>136</v>
      </c>
      <c r="U846" t="s">
        <v>39</v>
      </c>
      <c r="V846" t="s">
        <v>52</v>
      </c>
      <c r="W846" t="s">
        <v>52</v>
      </c>
      <c r="X846">
        <v>2024</v>
      </c>
      <c r="Y846" t="s">
        <v>128</v>
      </c>
      <c r="Z846" t="s">
        <v>64</v>
      </c>
    </row>
    <row r="847" spans="1:26">
      <c r="A847" t="s">
        <v>1802</v>
      </c>
      <c r="B847" t="s">
        <v>27</v>
      </c>
      <c r="C847" t="s">
        <v>44</v>
      </c>
      <c r="D847" t="s">
        <v>77</v>
      </c>
      <c r="E847" t="s">
        <v>363</v>
      </c>
      <c r="F847" t="s">
        <v>68</v>
      </c>
      <c r="G847" t="s">
        <v>58</v>
      </c>
      <c r="H847">
        <v>9</v>
      </c>
      <c r="I847">
        <v>4.9000000000000004</v>
      </c>
      <c r="J847" t="s">
        <v>20</v>
      </c>
      <c r="K847" t="s">
        <v>1219</v>
      </c>
      <c r="L847" t="s">
        <v>140</v>
      </c>
      <c r="M847" t="s">
        <v>1803</v>
      </c>
      <c r="N847" t="s">
        <v>50</v>
      </c>
      <c r="O847">
        <v>101</v>
      </c>
      <c r="Q847">
        <v>0</v>
      </c>
      <c r="R847">
        <v>0</v>
      </c>
      <c r="T847" t="s">
        <v>51</v>
      </c>
      <c r="U847" t="s">
        <v>52</v>
      </c>
      <c r="V847" t="s">
        <v>39</v>
      </c>
      <c r="W847" t="s">
        <v>52</v>
      </c>
      <c r="X847">
        <v>2024</v>
      </c>
      <c r="Y847" t="s">
        <v>82</v>
      </c>
      <c r="Z847" t="s">
        <v>83</v>
      </c>
    </row>
    <row r="848" spans="1:26">
      <c r="A848" t="s">
        <v>1804</v>
      </c>
      <c r="B848" t="s">
        <v>108</v>
      </c>
      <c r="C848" t="s">
        <v>173</v>
      </c>
      <c r="D848" t="s">
        <v>77</v>
      </c>
      <c r="E848" t="s">
        <v>220</v>
      </c>
      <c r="F848" t="s">
        <v>149</v>
      </c>
      <c r="G848" t="s">
        <v>32</v>
      </c>
      <c r="H848">
        <v>7.7</v>
      </c>
      <c r="I848">
        <v>13.2</v>
      </c>
      <c r="J848" t="s">
        <v>33</v>
      </c>
      <c r="K848" t="s">
        <v>1737</v>
      </c>
      <c r="L848" t="s">
        <v>140</v>
      </c>
      <c r="M848" t="s">
        <v>1147</v>
      </c>
      <c r="N848" t="s">
        <v>71</v>
      </c>
      <c r="O848">
        <v>17</v>
      </c>
      <c r="P848" t="s">
        <v>105</v>
      </c>
      <c r="Q848">
        <v>4192</v>
      </c>
      <c r="R848">
        <v>5000</v>
      </c>
      <c r="S848" t="s">
        <v>152</v>
      </c>
      <c r="T848" t="s">
        <v>51</v>
      </c>
      <c r="U848" t="s">
        <v>52</v>
      </c>
      <c r="V848" t="s">
        <v>52</v>
      </c>
      <c r="W848" t="s">
        <v>52</v>
      </c>
      <c r="X848">
        <v>2024</v>
      </c>
      <c r="Y848" t="s">
        <v>53</v>
      </c>
      <c r="Z848" t="s">
        <v>54</v>
      </c>
    </row>
    <row r="849" spans="1:26">
      <c r="A849" t="s">
        <v>1805</v>
      </c>
      <c r="B849" t="s">
        <v>93</v>
      </c>
      <c r="C849" t="s">
        <v>28</v>
      </c>
      <c r="D849" t="s">
        <v>85</v>
      </c>
      <c r="E849" t="s">
        <v>138</v>
      </c>
      <c r="F849" t="s">
        <v>160</v>
      </c>
      <c r="G849" t="s">
        <v>32</v>
      </c>
      <c r="H849">
        <v>1.2</v>
      </c>
      <c r="I849">
        <v>17.399999999999999</v>
      </c>
      <c r="J849" t="s">
        <v>33</v>
      </c>
      <c r="K849" t="s">
        <v>338</v>
      </c>
      <c r="L849" t="s">
        <v>60</v>
      </c>
      <c r="M849" t="s">
        <v>1342</v>
      </c>
      <c r="N849" t="s">
        <v>171</v>
      </c>
      <c r="O849">
        <v>121</v>
      </c>
      <c r="Q849">
        <v>0</v>
      </c>
      <c r="R849">
        <v>0</v>
      </c>
      <c r="T849" t="s">
        <v>62</v>
      </c>
      <c r="U849" t="s">
        <v>39</v>
      </c>
      <c r="V849" t="s">
        <v>52</v>
      </c>
      <c r="W849" t="s">
        <v>52</v>
      </c>
      <c r="X849">
        <v>2022</v>
      </c>
      <c r="Y849" t="s">
        <v>91</v>
      </c>
      <c r="Z849" t="s">
        <v>64</v>
      </c>
    </row>
    <row r="850" spans="1:26">
      <c r="A850" t="s">
        <v>1806</v>
      </c>
      <c r="B850" t="s">
        <v>93</v>
      </c>
      <c r="C850" t="s">
        <v>44</v>
      </c>
      <c r="D850" t="s">
        <v>77</v>
      </c>
      <c r="E850" t="s">
        <v>363</v>
      </c>
      <c r="F850" t="s">
        <v>124</v>
      </c>
      <c r="G850" t="s">
        <v>58</v>
      </c>
      <c r="H850">
        <v>6.3</v>
      </c>
      <c r="I850">
        <v>14.7</v>
      </c>
      <c r="J850" t="s">
        <v>96</v>
      </c>
      <c r="K850" t="s">
        <v>1375</v>
      </c>
      <c r="L850" t="s">
        <v>98</v>
      </c>
      <c r="M850" t="s">
        <v>666</v>
      </c>
      <c r="N850" t="s">
        <v>37</v>
      </c>
      <c r="O850">
        <v>79</v>
      </c>
      <c r="Q850">
        <v>0</v>
      </c>
      <c r="R850">
        <v>500</v>
      </c>
      <c r="T850" t="s">
        <v>51</v>
      </c>
      <c r="U850" t="s">
        <v>39</v>
      </c>
      <c r="V850" t="s">
        <v>52</v>
      </c>
      <c r="W850" t="s">
        <v>52</v>
      </c>
      <c r="X850">
        <v>2023</v>
      </c>
      <c r="Y850" t="s">
        <v>63</v>
      </c>
      <c r="Z850" t="s">
        <v>64</v>
      </c>
    </row>
    <row r="851" spans="1:26">
      <c r="A851" t="s">
        <v>1807</v>
      </c>
      <c r="B851" t="s">
        <v>93</v>
      </c>
      <c r="C851" t="s">
        <v>102</v>
      </c>
      <c r="D851" t="s">
        <v>29</v>
      </c>
      <c r="E851" t="s">
        <v>244</v>
      </c>
      <c r="F851" t="s">
        <v>124</v>
      </c>
      <c r="G851" t="s">
        <v>32</v>
      </c>
      <c r="H851">
        <v>1.5</v>
      </c>
      <c r="I851">
        <v>25.4</v>
      </c>
      <c r="J851" t="s">
        <v>33</v>
      </c>
      <c r="K851" t="s">
        <v>1808</v>
      </c>
      <c r="L851" t="s">
        <v>98</v>
      </c>
      <c r="M851" t="s">
        <v>1809</v>
      </c>
      <c r="N851" t="s">
        <v>50</v>
      </c>
      <c r="O851">
        <v>53</v>
      </c>
      <c r="Q851">
        <v>0</v>
      </c>
      <c r="R851">
        <v>0</v>
      </c>
      <c r="T851" t="s">
        <v>136</v>
      </c>
      <c r="U851" t="s">
        <v>39</v>
      </c>
      <c r="V851" t="s">
        <v>39</v>
      </c>
      <c r="W851" t="s">
        <v>52</v>
      </c>
      <c r="X851">
        <v>2023</v>
      </c>
      <c r="Y851" t="s">
        <v>91</v>
      </c>
      <c r="Z851" t="s">
        <v>64</v>
      </c>
    </row>
    <row r="852" spans="1:26">
      <c r="A852" t="s">
        <v>1810</v>
      </c>
      <c r="B852" t="s">
        <v>93</v>
      </c>
      <c r="C852" t="s">
        <v>28</v>
      </c>
      <c r="D852" t="s">
        <v>77</v>
      </c>
      <c r="E852" t="s">
        <v>168</v>
      </c>
      <c r="F852" t="s">
        <v>57</v>
      </c>
      <c r="G852" t="s">
        <v>32</v>
      </c>
      <c r="H852">
        <v>1.8</v>
      </c>
      <c r="I852">
        <v>21.4</v>
      </c>
      <c r="J852" t="s">
        <v>33</v>
      </c>
      <c r="K852" t="s">
        <v>1622</v>
      </c>
      <c r="L852" t="s">
        <v>35</v>
      </c>
      <c r="M852" t="s">
        <v>190</v>
      </c>
      <c r="N852" t="s">
        <v>171</v>
      </c>
      <c r="O852">
        <v>138</v>
      </c>
      <c r="Q852">
        <v>0</v>
      </c>
      <c r="R852">
        <v>0</v>
      </c>
      <c r="T852" t="s">
        <v>81</v>
      </c>
      <c r="U852" t="s">
        <v>39</v>
      </c>
      <c r="V852" t="s">
        <v>52</v>
      </c>
      <c r="W852" t="s">
        <v>52</v>
      </c>
      <c r="X852">
        <v>2024</v>
      </c>
      <c r="Y852" t="s">
        <v>40</v>
      </c>
      <c r="Z852" t="s">
        <v>41</v>
      </c>
    </row>
    <row r="853" spans="1:26">
      <c r="A853" t="s">
        <v>1811</v>
      </c>
      <c r="B853" t="s">
        <v>108</v>
      </c>
      <c r="C853" t="s">
        <v>121</v>
      </c>
      <c r="D853" t="s">
        <v>29</v>
      </c>
      <c r="E853" t="s">
        <v>244</v>
      </c>
      <c r="F853" t="s">
        <v>31</v>
      </c>
      <c r="G853" t="s">
        <v>58</v>
      </c>
      <c r="H853">
        <v>2.5</v>
      </c>
      <c r="I853">
        <v>2.2999999999999998</v>
      </c>
      <c r="J853" t="s">
        <v>144</v>
      </c>
      <c r="K853" t="s">
        <v>1733</v>
      </c>
      <c r="L853" t="s">
        <v>126</v>
      </c>
      <c r="M853" t="s">
        <v>1274</v>
      </c>
      <c r="N853" t="s">
        <v>100</v>
      </c>
      <c r="O853">
        <v>131</v>
      </c>
      <c r="Q853">
        <v>0</v>
      </c>
      <c r="R853">
        <v>0</v>
      </c>
      <c r="T853" t="s">
        <v>136</v>
      </c>
      <c r="U853" t="s">
        <v>39</v>
      </c>
      <c r="V853" t="s">
        <v>39</v>
      </c>
      <c r="W853" t="s">
        <v>52</v>
      </c>
      <c r="X853">
        <v>2023</v>
      </c>
      <c r="Y853" t="s">
        <v>40</v>
      </c>
      <c r="Z853" t="s">
        <v>41</v>
      </c>
    </row>
    <row r="854" spans="1:26">
      <c r="A854" t="s">
        <v>1812</v>
      </c>
      <c r="B854" t="s">
        <v>43</v>
      </c>
      <c r="C854" t="s">
        <v>28</v>
      </c>
      <c r="D854" t="s">
        <v>77</v>
      </c>
      <c r="E854" t="s">
        <v>143</v>
      </c>
      <c r="F854" t="s">
        <v>57</v>
      </c>
      <c r="G854" t="s">
        <v>58</v>
      </c>
      <c r="H854">
        <v>1.4</v>
      </c>
      <c r="I854">
        <v>19</v>
      </c>
      <c r="J854" t="s">
        <v>33</v>
      </c>
      <c r="K854" t="s">
        <v>1011</v>
      </c>
      <c r="L854" t="s">
        <v>98</v>
      </c>
      <c r="M854" t="s">
        <v>943</v>
      </c>
      <c r="N854" t="s">
        <v>71</v>
      </c>
      <c r="O854">
        <v>14</v>
      </c>
      <c r="P854" t="s">
        <v>105</v>
      </c>
      <c r="Q854">
        <v>3575</v>
      </c>
      <c r="R854">
        <v>0</v>
      </c>
      <c r="S854" t="s">
        <v>73</v>
      </c>
      <c r="T854" t="s">
        <v>38</v>
      </c>
      <c r="U854" t="s">
        <v>39</v>
      </c>
      <c r="V854" t="s">
        <v>52</v>
      </c>
      <c r="W854" t="s">
        <v>52</v>
      </c>
      <c r="X854">
        <v>2024</v>
      </c>
      <c r="Y854" t="s">
        <v>106</v>
      </c>
      <c r="Z854" t="s">
        <v>83</v>
      </c>
    </row>
    <row r="855" spans="1:26">
      <c r="A855" t="s">
        <v>1813</v>
      </c>
      <c r="B855" t="s">
        <v>43</v>
      </c>
      <c r="C855" t="s">
        <v>164</v>
      </c>
      <c r="D855" t="s">
        <v>29</v>
      </c>
      <c r="E855" t="s">
        <v>117</v>
      </c>
      <c r="F855" t="s">
        <v>238</v>
      </c>
      <c r="G855" t="s">
        <v>32</v>
      </c>
      <c r="H855">
        <v>11.1</v>
      </c>
      <c r="I855">
        <v>12.7</v>
      </c>
      <c r="J855" t="s">
        <v>96</v>
      </c>
      <c r="K855" t="s">
        <v>817</v>
      </c>
      <c r="L855" t="s">
        <v>48</v>
      </c>
      <c r="M855" t="s">
        <v>1116</v>
      </c>
      <c r="N855" t="s">
        <v>37</v>
      </c>
      <c r="O855">
        <v>60</v>
      </c>
      <c r="Q855">
        <v>0</v>
      </c>
      <c r="R855">
        <v>500</v>
      </c>
      <c r="T855" t="s">
        <v>81</v>
      </c>
      <c r="U855" t="s">
        <v>52</v>
      </c>
      <c r="V855" t="s">
        <v>39</v>
      </c>
      <c r="W855" t="s">
        <v>39</v>
      </c>
      <c r="X855">
        <v>2023</v>
      </c>
      <c r="Y855" t="s">
        <v>53</v>
      </c>
      <c r="Z855" t="s">
        <v>54</v>
      </c>
    </row>
    <row r="856" spans="1:26">
      <c r="A856" t="s">
        <v>1814</v>
      </c>
      <c r="B856" t="s">
        <v>108</v>
      </c>
      <c r="C856" t="s">
        <v>164</v>
      </c>
      <c r="D856" t="s">
        <v>77</v>
      </c>
      <c r="E856" t="s">
        <v>143</v>
      </c>
      <c r="F856" t="s">
        <v>68</v>
      </c>
      <c r="G856" t="s">
        <v>58</v>
      </c>
      <c r="H856">
        <v>10.199999999999999</v>
      </c>
      <c r="I856">
        <v>8.1</v>
      </c>
      <c r="J856" t="s">
        <v>33</v>
      </c>
      <c r="K856" t="s">
        <v>1116</v>
      </c>
      <c r="L856" t="s">
        <v>35</v>
      </c>
      <c r="M856" t="s">
        <v>214</v>
      </c>
      <c r="N856" t="s">
        <v>71</v>
      </c>
      <c r="O856">
        <v>125</v>
      </c>
      <c r="P856" t="s">
        <v>230</v>
      </c>
      <c r="Q856">
        <v>3783</v>
      </c>
      <c r="R856">
        <v>0</v>
      </c>
      <c r="S856" t="s">
        <v>113</v>
      </c>
      <c r="T856" t="s">
        <v>51</v>
      </c>
      <c r="U856" t="s">
        <v>52</v>
      </c>
      <c r="V856" t="s">
        <v>52</v>
      </c>
      <c r="W856" t="s">
        <v>52</v>
      </c>
      <c r="X856">
        <v>2023</v>
      </c>
      <c r="Y856" t="s">
        <v>40</v>
      </c>
      <c r="Z856" t="s">
        <v>41</v>
      </c>
    </row>
    <row r="857" spans="1:26">
      <c r="A857" t="s">
        <v>1815</v>
      </c>
      <c r="B857" t="s">
        <v>108</v>
      </c>
      <c r="C857" t="s">
        <v>44</v>
      </c>
      <c r="D857" t="s">
        <v>77</v>
      </c>
      <c r="E857" t="s">
        <v>363</v>
      </c>
      <c r="F857" t="s">
        <v>238</v>
      </c>
      <c r="G857" t="s">
        <v>32</v>
      </c>
      <c r="H857">
        <v>5.4</v>
      </c>
      <c r="I857">
        <v>5.7</v>
      </c>
      <c r="J857" t="s">
        <v>33</v>
      </c>
      <c r="K857" t="s">
        <v>881</v>
      </c>
      <c r="L857" t="s">
        <v>98</v>
      </c>
      <c r="M857" t="s">
        <v>1816</v>
      </c>
      <c r="N857" t="s">
        <v>71</v>
      </c>
      <c r="O857">
        <v>26</v>
      </c>
      <c r="P857" t="s">
        <v>112</v>
      </c>
      <c r="Q857">
        <v>6346</v>
      </c>
      <c r="R857">
        <v>2000</v>
      </c>
      <c r="S857" t="s">
        <v>90</v>
      </c>
      <c r="T857" t="s">
        <v>62</v>
      </c>
      <c r="U857" t="s">
        <v>39</v>
      </c>
      <c r="V857" t="s">
        <v>52</v>
      </c>
      <c r="W857" t="s">
        <v>39</v>
      </c>
      <c r="X857">
        <v>2023</v>
      </c>
      <c r="Y857" t="s">
        <v>74</v>
      </c>
      <c r="Z857" t="s">
        <v>54</v>
      </c>
    </row>
    <row r="858" spans="1:26">
      <c r="A858" t="s">
        <v>1817</v>
      </c>
      <c r="B858" t="s">
        <v>66</v>
      </c>
      <c r="C858" t="s">
        <v>44</v>
      </c>
      <c r="D858" t="s">
        <v>77</v>
      </c>
      <c r="E858" t="s">
        <v>94</v>
      </c>
      <c r="F858" t="s">
        <v>68</v>
      </c>
      <c r="G858" t="s">
        <v>32</v>
      </c>
      <c r="H858">
        <v>1.8</v>
      </c>
      <c r="I858">
        <v>3.2</v>
      </c>
      <c r="J858" t="s">
        <v>33</v>
      </c>
      <c r="K858" t="s">
        <v>189</v>
      </c>
      <c r="L858" t="s">
        <v>48</v>
      </c>
      <c r="M858" t="s">
        <v>1180</v>
      </c>
      <c r="N858" t="s">
        <v>37</v>
      </c>
      <c r="O858">
        <v>156</v>
      </c>
      <c r="Q858">
        <v>0</v>
      </c>
      <c r="R858">
        <v>500</v>
      </c>
      <c r="T858" t="s">
        <v>51</v>
      </c>
      <c r="U858" t="s">
        <v>39</v>
      </c>
      <c r="V858" t="s">
        <v>52</v>
      </c>
      <c r="W858" t="s">
        <v>52</v>
      </c>
      <c r="X858">
        <v>2024</v>
      </c>
      <c r="Y858" t="s">
        <v>153</v>
      </c>
      <c r="Z858" t="s">
        <v>54</v>
      </c>
    </row>
    <row r="859" spans="1:26">
      <c r="A859" t="s">
        <v>1818</v>
      </c>
      <c r="B859" t="s">
        <v>66</v>
      </c>
      <c r="C859" t="s">
        <v>28</v>
      </c>
      <c r="D859" t="s">
        <v>77</v>
      </c>
      <c r="E859" t="s">
        <v>168</v>
      </c>
      <c r="F859" t="s">
        <v>149</v>
      </c>
      <c r="G859" t="s">
        <v>58</v>
      </c>
      <c r="H859">
        <v>8.3000000000000007</v>
      </c>
      <c r="I859">
        <v>19.899999999999999</v>
      </c>
      <c r="J859" t="s">
        <v>144</v>
      </c>
      <c r="K859" t="s">
        <v>1787</v>
      </c>
      <c r="L859" t="s">
        <v>140</v>
      </c>
      <c r="M859" t="s">
        <v>403</v>
      </c>
      <c r="N859" t="s">
        <v>50</v>
      </c>
      <c r="O859">
        <v>98</v>
      </c>
      <c r="Q859">
        <v>0</v>
      </c>
      <c r="R859">
        <v>0</v>
      </c>
      <c r="T859" t="s">
        <v>51</v>
      </c>
      <c r="U859" t="s">
        <v>39</v>
      </c>
      <c r="V859" t="s">
        <v>52</v>
      </c>
      <c r="W859" t="s">
        <v>39</v>
      </c>
      <c r="X859">
        <v>2023</v>
      </c>
      <c r="Y859" t="s">
        <v>74</v>
      </c>
      <c r="Z859" t="s">
        <v>54</v>
      </c>
    </row>
    <row r="860" spans="1:26">
      <c r="A860" t="s">
        <v>1819</v>
      </c>
      <c r="B860" t="s">
        <v>93</v>
      </c>
      <c r="C860" t="s">
        <v>121</v>
      </c>
      <c r="D860" t="s">
        <v>77</v>
      </c>
      <c r="E860" t="s">
        <v>94</v>
      </c>
      <c r="F860" t="s">
        <v>68</v>
      </c>
      <c r="G860" t="s">
        <v>58</v>
      </c>
      <c r="H860">
        <v>4.2</v>
      </c>
      <c r="I860">
        <v>9.8000000000000007</v>
      </c>
      <c r="J860" t="s">
        <v>33</v>
      </c>
      <c r="K860" t="s">
        <v>1768</v>
      </c>
      <c r="L860" t="s">
        <v>140</v>
      </c>
      <c r="M860" t="s">
        <v>262</v>
      </c>
      <c r="N860" t="s">
        <v>71</v>
      </c>
      <c r="O860">
        <v>109</v>
      </c>
      <c r="P860" t="s">
        <v>105</v>
      </c>
      <c r="Q860">
        <v>6582</v>
      </c>
      <c r="R860">
        <v>0</v>
      </c>
      <c r="S860" t="s">
        <v>113</v>
      </c>
      <c r="T860" t="s">
        <v>38</v>
      </c>
      <c r="U860" t="s">
        <v>52</v>
      </c>
      <c r="V860" t="s">
        <v>52</v>
      </c>
      <c r="W860" t="s">
        <v>39</v>
      </c>
      <c r="X860">
        <v>2024</v>
      </c>
      <c r="Y860" t="s">
        <v>40</v>
      </c>
      <c r="Z860" t="s">
        <v>41</v>
      </c>
    </row>
    <row r="861" spans="1:26">
      <c r="A861" t="s">
        <v>1820</v>
      </c>
      <c r="B861" t="s">
        <v>43</v>
      </c>
      <c r="C861" t="s">
        <v>173</v>
      </c>
      <c r="D861" t="s">
        <v>77</v>
      </c>
      <c r="E861" t="s">
        <v>143</v>
      </c>
      <c r="F861" t="s">
        <v>68</v>
      </c>
      <c r="G861" t="s">
        <v>32</v>
      </c>
      <c r="H861">
        <v>6.4</v>
      </c>
      <c r="I861">
        <v>9.3000000000000007</v>
      </c>
      <c r="J861" t="s">
        <v>33</v>
      </c>
      <c r="K861" t="s">
        <v>1577</v>
      </c>
      <c r="L861" t="s">
        <v>48</v>
      </c>
      <c r="M861" t="s">
        <v>392</v>
      </c>
      <c r="N861" t="s">
        <v>71</v>
      </c>
      <c r="O861">
        <v>24</v>
      </c>
      <c r="P861" t="s">
        <v>89</v>
      </c>
      <c r="Q861">
        <v>5051</v>
      </c>
      <c r="R861">
        <v>0</v>
      </c>
      <c r="S861" t="s">
        <v>90</v>
      </c>
      <c r="T861" t="s">
        <v>51</v>
      </c>
      <c r="U861" t="s">
        <v>39</v>
      </c>
      <c r="V861" t="s">
        <v>52</v>
      </c>
      <c r="W861" t="s">
        <v>39</v>
      </c>
      <c r="X861">
        <v>2022</v>
      </c>
      <c r="Y861" t="s">
        <v>128</v>
      </c>
      <c r="Z861" t="s">
        <v>64</v>
      </c>
    </row>
    <row r="862" spans="1:26">
      <c r="A862" t="s">
        <v>1821</v>
      </c>
      <c r="B862" t="s">
        <v>43</v>
      </c>
      <c r="C862" t="s">
        <v>102</v>
      </c>
      <c r="D862" t="s">
        <v>77</v>
      </c>
      <c r="E862" t="s">
        <v>143</v>
      </c>
      <c r="F862" t="s">
        <v>238</v>
      </c>
      <c r="G862" t="s">
        <v>58</v>
      </c>
      <c r="H862">
        <v>5.7</v>
      </c>
      <c r="I862">
        <v>15.1</v>
      </c>
      <c r="J862" t="s">
        <v>20</v>
      </c>
      <c r="K862" t="s">
        <v>564</v>
      </c>
      <c r="L862" t="s">
        <v>98</v>
      </c>
      <c r="M862" t="s">
        <v>1569</v>
      </c>
      <c r="N862" t="s">
        <v>71</v>
      </c>
      <c r="O862">
        <v>147</v>
      </c>
      <c r="P862" t="s">
        <v>230</v>
      </c>
      <c r="Q862">
        <v>5361</v>
      </c>
      <c r="R862">
        <v>1000</v>
      </c>
      <c r="S862" t="s">
        <v>73</v>
      </c>
      <c r="T862" t="s">
        <v>38</v>
      </c>
      <c r="U862" t="s">
        <v>39</v>
      </c>
      <c r="V862" t="s">
        <v>39</v>
      </c>
      <c r="W862" t="s">
        <v>39</v>
      </c>
      <c r="X862">
        <v>2022</v>
      </c>
      <c r="Y862" t="s">
        <v>74</v>
      </c>
      <c r="Z862" t="s">
        <v>54</v>
      </c>
    </row>
    <row r="863" spans="1:26">
      <c r="A863" t="s">
        <v>1822</v>
      </c>
      <c r="B863" t="s">
        <v>93</v>
      </c>
      <c r="C863" t="s">
        <v>76</v>
      </c>
      <c r="D863" t="s">
        <v>77</v>
      </c>
      <c r="E863" t="s">
        <v>260</v>
      </c>
      <c r="F863" t="s">
        <v>109</v>
      </c>
      <c r="G863" t="s">
        <v>58</v>
      </c>
      <c r="H863">
        <v>0.2</v>
      </c>
      <c r="I863">
        <v>30</v>
      </c>
      <c r="J863" t="s">
        <v>144</v>
      </c>
      <c r="K863" t="s">
        <v>500</v>
      </c>
      <c r="L863" t="s">
        <v>48</v>
      </c>
      <c r="M863" t="s">
        <v>1083</v>
      </c>
      <c r="N863" t="s">
        <v>71</v>
      </c>
      <c r="O863">
        <v>40</v>
      </c>
      <c r="P863" t="s">
        <v>89</v>
      </c>
      <c r="Q863">
        <v>5012</v>
      </c>
      <c r="R863">
        <v>5000</v>
      </c>
      <c r="S863" t="s">
        <v>73</v>
      </c>
      <c r="T863" t="s">
        <v>136</v>
      </c>
      <c r="U863" t="s">
        <v>39</v>
      </c>
      <c r="V863" t="s">
        <v>39</v>
      </c>
      <c r="W863" t="s">
        <v>52</v>
      </c>
      <c r="X863">
        <v>2023</v>
      </c>
      <c r="Y863" t="s">
        <v>106</v>
      </c>
      <c r="Z863" t="s">
        <v>83</v>
      </c>
    </row>
    <row r="864" spans="1:26">
      <c r="A864" t="s">
        <v>1823</v>
      </c>
      <c r="B864" t="s">
        <v>43</v>
      </c>
      <c r="C864" t="s">
        <v>164</v>
      </c>
      <c r="D864" t="s">
        <v>77</v>
      </c>
      <c r="E864" t="s">
        <v>260</v>
      </c>
      <c r="F864" t="s">
        <v>31</v>
      </c>
      <c r="G864" t="s">
        <v>58</v>
      </c>
      <c r="H864">
        <v>2.2000000000000002</v>
      </c>
      <c r="I864">
        <v>4.3</v>
      </c>
      <c r="J864" t="s">
        <v>33</v>
      </c>
      <c r="K864" t="s">
        <v>1674</v>
      </c>
      <c r="L864" t="s">
        <v>126</v>
      </c>
      <c r="M864" t="s">
        <v>452</v>
      </c>
      <c r="N864" t="s">
        <v>37</v>
      </c>
      <c r="O864">
        <v>119</v>
      </c>
      <c r="Q864">
        <v>0</v>
      </c>
      <c r="R864">
        <v>1000</v>
      </c>
      <c r="T864" t="s">
        <v>81</v>
      </c>
      <c r="U864" t="s">
        <v>39</v>
      </c>
      <c r="V864" t="s">
        <v>52</v>
      </c>
      <c r="W864" t="s">
        <v>52</v>
      </c>
      <c r="X864">
        <v>2023</v>
      </c>
      <c r="Y864" t="s">
        <v>40</v>
      </c>
      <c r="Z864" t="s">
        <v>41</v>
      </c>
    </row>
    <row r="865" spans="1:26">
      <c r="A865" t="s">
        <v>1824</v>
      </c>
      <c r="B865" t="s">
        <v>27</v>
      </c>
      <c r="C865" t="s">
        <v>121</v>
      </c>
      <c r="D865" t="s">
        <v>29</v>
      </c>
      <c r="E865" t="s">
        <v>195</v>
      </c>
      <c r="F865" t="s">
        <v>109</v>
      </c>
      <c r="G865" t="s">
        <v>32</v>
      </c>
      <c r="H865">
        <v>6.6</v>
      </c>
      <c r="I865">
        <v>25.6</v>
      </c>
      <c r="J865" t="s">
        <v>96</v>
      </c>
      <c r="K865" t="s">
        <v>915</v>
      </c>
      <c r="L865" t="s">
        <v>140</v>
      </c>
      <c r="M865" t="s">
        <v>127</v>
      </c>
      <c r="N865" t="s">
        <v>100</v>
      </c>
      <c r="O865">
        <v>174</v>
      </c>
      <c r="Q865">
        <v>0</v>
      </c>
      <c r="R865">
        <v>0</v>
      </c>
      <c r="T865" t="s">
        <v>62</v>
      </c>
      <c r="U865" t="s">
        <v>52</v>
      </c>
      <c r="V865" t="s">
        <v>52</v>
      </c>
      <c r="W865" t="s">
        <v>52</v>
      </c>
      <c r="X865">
        <v>2024</v>
      </c>
      <c r="Y865" t="s">
        <v>114</v>
      </c>
      <c r="Z865" t="s">
        <v>41</v>
      </c>
    </row>
    <row r="866" spans="1:26">
      <c r="A866" t="s">
        <v>1825</v>
      </c>
      <c r="B866" t="s">
        <v>93</v>
      </c>
      <c r="C866" t="s">
        <v>28</v>
      </c>
      <c r="D866" t="s">
        <v>77</v>
      </c>
      <c r="E866" t="s">
        <v>78</v>
      </c>
      <c r="F866" t="s">
        <v>31</v>
      </c>
      <c r="G866" t="s">
        <v>32</v>
      </c>
      <c r="H866">
        <v>7.2</v>
      </c>
      <c r="I866">
        <v>13.2</v>
      </c>
      <c r="J866" t="s">
        <v>144</v>
      </c>
      <c r="K866" t="s">
        <v>1188</v>
      </c>
      <c r="L866" t="s">
        <v>126</v>
      </c>
      <c r="M866" t="s">
        <v>1032</v>
      </c>
      <c r="N866" t="s">
        <v>37</v>
      </c>
      <c r="O866">
        <v>10</v>
      </c>
      <c r="Q866">
        <v>0</v>
      </c>
      <c r="R866">
        <v>0</v>
      </c>
      <c r="T866" t="s">
        <v>51</v>
      </c>
      <c r="U866" t="s">
        <v>39</v>
      </c>
      <c r="V866" t="s">
        <v>39</v>
      </c>
      <c r="W866" t="s">
        <v>52</v>
      </c>
      <c r="X866">
        <v>2022</v>
      </c>
      <c r="Y866" t="s">
        <v>114</v>
      </c>
      <c r="Z866" t="s">
        <v>41</v>
      </c>
    </row>
    <row r="867" spans="1:26">
      <c r="A867" t="s">
        <v>1826</v>
      </c>
      <c r="B867" t="s">
        <v>108</v>
      </c>
      <c r="C867" t="s">
        <v>164</v>
      </c>
      <c r="D867" t="s">
        <v>77</v>
      </c>
      <c r="E867" t="s">
        <v>363</v>
      </c>
      <c r="F867" t="s">
        <v>160</v>
      </c>
      <c r="G867" t="s">
        <v>32</v>
      </c>
      <c r="H867">
        <v>9.3000000000000007</v>
      </c>
      <c r="I867">
        <v>26.4</v>
      </c>
      <c r="J867" t="s">
        <v>33</v>
      </c>
      <c r="K867" t="s">
        <v>1339</v>
      </c>
      <c r="L867" t="s">
        <v>48</v>
      </c>
      <c r="M867" t="s">
        <v>1430</v>
      </c>
      <c r="N867" t="s">
        <v>100</v>
      </c>
      <c r="O867">
        <v>56</v>
      </c>
      <c r="Q867">
        <v>0</v>
      </c>
      <c r="R867">
        <v>0</v>
      </c>
      <c r="T867" t="s">
        <v>38</v>
      </c>
      <c r="U867" t="s">
        <v>39</v>
      </c>
      <c r="V867" t="s">
        <v>52</v>
      </c>
      <c r="W867" t="s">
        <v>52</v>
      </c>
      <c r="X867">
        <v>2022</v>
      </c>
      <c r="Y867" t="s">
        <v>82</v>
      </c>
      <c r="Z867" t="s">
        <v>83</v>
      </c>
    </row>
    <row r="868" spans="1:26">
      <c r="A868" t="s">
        <v>1827</v>
      </c>
      <c r="B868" t="s">
        <v>108</v>
      </c>
      <c r="C868" t="s">
        <v>76</v>
      </c>
      <c r="D868" t="s">
        <v>77</v>
      </c>
      <c r="E868" t="s">
        <v>94</v>
      </c>
      <c r="F868" t="s">
        <v>124</v>
      </c>
      <c r="G868" t="s">
        <v>58</v>
      </c>
      <c r="H868">
        <v>10.6</v>
      </c>
      <c r="I868">
        <v>16.5</v>
      </c>
      <c r="J868" t="s">
        <v>156</v>
      </c>
      <c r="K868" t="s">
        <v>1828</v>
      </c>
      <c r="L868" t="s">
        <v>35</v>
      </c>
      <c r="M868" t="s">
        <v>1070</v>
      </c>
      <c r="N868" t="s">
        <v>171</v>
      </c>
      <c r="O868">
        <v>120</v>
      </c>
      <c r="Q868">
        <v>0</v>
      </c>
      <c r="R868">
        <v>0</v>
      </c>
      <c r="T868" t="s">
        <v>51</v>
      </c>
      <c r="U868" t="s">
        <v>39</v>
      </c>
      <c r="V868" t="s">
        <v>39</v>
      </c>
      <c r="W868" t="s">
        <v>52</v>
      </c>
      <c r="X868">
        <v>2024</v>
      </c>
      <c r="Y868" t="s">
        <v>211</v>
      </c>
      <c r="Z868" t="s">
        <v>41</v>
      </c>
    </row>
    <row r="869" spans="1:26">
      <c r="A869" t="s">
        <v>1829</v>
      </c>
      <c r="B869" t="s">
        <v>108</v>
      </c>
      <c r="C869" t="s">
        <v>76</v>
      </c>
      <c r="D869" t="s">
        <v>77</v>
      </c>
      <c r="E869" t="s">
        <v>94</v>
      </c>
      <c r="F869" t="s">
        <v>149</v>
      </c>
      <c r="G869" t="s">
        <v>58</v>
      </c>
      <c r="H869">
        <v>4.3</v>
      </c>
      <c r="I869">
        <v>18.2</v>
      </c>
      <c r="J869" t="s">
        <v>33</v>
      </c>
      <c r="K869" t="s">
        <v>1513</v>
      </c>
      <c r="L869" t="s">
        <v>60</v>
      </c>
      <c r="M869" t="s">
        <v>848</v>
      </c>
      <c r="N869" t="s">
        <v>61</v>
      </c>
      <c r="O869">
        <v>20</v>
      </c>
      <c r="Q869">
        <v>0</v>
      </c>
      <c r="R869">
        <v>0</v>
      </c>
      <c r="T869" t="s">
        <v>81</v>
      </c>
      <c r="U869" t="s">
        <v>39</v>
      </c>
      <c r="V869" t="s">
        <v>52</v>
      </c>
      <c r="W869" t="s">
        <v>52</v>
      </c>
      <c r="X869">
        <v>2024</v>
      </c>
      <c r="Y869" t="s">
        <v>153</v>
      </c>
      <c r="Z869" t="s">
        <v>54</v>
      </c>
    </row>
    <row r="870" spans="1:26">
      <c r="A870" t="s">
        <v>1830</v>
      </c>
      <c r="B870" t="s">
        <v>66</v>
      </c>
      <c r="C870" t="s">
        <v>67</v>
      </c>
      <c r="D870" t="s">
        <v>77</v>
      </c>
      <c r="E870" t="s">
        <v>143</v>
      </c>
      <c r="F870" t="s">
        <v>238</v>
      </c>
      <c r="G870" t="s">
        <v>32</v>
      </c>
      <c r="H870">
        <v>0.8</v>
      </c>
      <c r="I870">
        <v>18.100000000000001</v>
      </c>
      <c r="J870" t="s">
        <v>144</v>
      </c>
      <c r="K870" t="s">
        <v>1656</v>
      </c>
      <c r="L870" t="s">
        <v>60</v>
      </c>
      <c r="M870" t="s">
        <v>1831</v>
      </c>
      <c r="N870" t="s">
        <v>61</v>
      </c>
      <c r="O870">
        <v>144</v>
      </c>
      <c r="Q870">
        <v>0</v>
      </c>
      <c r="R870">
        <v>0</v>
      </c>
      <c r="T870" t="s">
        <v>62</v>
      </c>
      <c r="U870" t="s">
        <v>52</v>
      </c>
      <c r="V870" t="s">
        <v>52</v>
      </c>
      <c r="W870" t="s">
        <v>52</v>
      </c>
      <c r="X870">
        <v>2022</v>
      </c>
      <c r="Y870" t="s">
        <v>91</v>
      </c>
      <c r="Z870" t="s">
        <v>64</v>
      </c>
    </row>
    <row r="871" spans="1:26">
      <c r="A871" t="s">
        <v>1832</v>
      </c>
      <c r="B871" t="s">
        <v>116</v>
      </c>
      <c r="C871" t="s">
        <v>28</v>
      </c>
      <c r="D871" t="s">
        <v>29</v>
      </c>
      <c r="E871" t="s">
        <v>56</v>
      </c>
      <c r="F871" t="s">
        <v>68</v>
      </c>
      <c r="G871" t="s">
        <v>32</v>
      </c>
      <c r="H871">
        <v>5.9</v>
      </c>
      <c r="I871">
        <v>26.8</v>
      </c>
      <c r="J871" t="s">
        <v>33</v>
      </c>
      <c r="K871" t="s">
        <v>1833</v>
      </c>
      <c r="L871" t="s">
        <v>98</v>
      </c>
      <c r="M871" t="s">
        <v>513</v>
      </c>
      <c r="N871" t="s">
        <v>71</v>
      </c>
      <c r="O871">
        <v>133</v>
      </c>
      <c r="P871" t="s">
        <v>112</v>
      </c>
      <c r="Q871">
        <v>3295</v>
      </c>
      <c r="R871">
        <v>5000</v>
      </c>
      <c r="S871" t="s">
        <v>152</v>
      </c>
      <c r="T871" t="s">
        <v>81</v>
      </c>
      <c r="U871" t="s">
        <v>39</v>
      </c>
      <c r="V871" t="s">
        <v>39</v>
      </c>
      <c r="W871" t="s">
        <v>39</v>
      </c>
      <c r="X871">
        <v>2022</v>
      </c>
      <c r="Y871" t="s">
        <v>74</v>
      </c>
      <c r="Z871" t="s">
        <v>54</v>
      </c>
    </row>
    <row r="872" spans="1:26">
      <c r="A872" t="s">
        <v>1834</v>
      </c>
      <c r="B872" t="s">
        <v>43</v>
      </c>
      <c r="C872" t="s">
        <v>102</v>
      </c>
      <c r="D872" t="s">
        <v>77</v>
      </c>
      <c r="E872" t="s">
        <v>94</v>
      </c>
      <c r="F872" t="s">
        <v>57</v>
      </c>
      <c r="G872" t="s">
        <v>58</v>
      </c>
      <c r="H872">
        <v>0.6</v>
      </c>
      <c r="I872">
        <v>0.9</v>
      </c>
      <c r="J872" t="s">
        <v>144</v>
      </c>
      <c r="K872" t="s">
        <v>1426</v>
      </c>
      <c r="L872" t="s">
        <v>48</v>
      </c>
      <c r="M872" t="s">
        <v>668</v>
      </c>
      <c r="N872" t="s">
        <v>37</v>
      </c>
      <c r="O872">
        <v>101</v>
      </c>
      <c r="Q872">
        <v>0</v>
      </c>
      <c r="R872">
        <v>0</v>
      </c>
      <c r="T872" t="s">
        <v>136</v>
      </c>
      <c r="U872" t="s">
        <v>39</v>
      </c>
      <c r="V872" t="s">
        <v>39</v>
      </c>
      <c r="W872" t="s">
        <v>39</v>
      </c>
      <c r="X872">
        <v>2023</v>
      </c>
      <c r="Y872" t="s">
        <v>40</v>
      </c>
      <c r="Z872" t="s">
        <v>41</v>
      </c>
    </row>
    <row r="873" spans="1:26">
      <c r="A873" t="s">
        <v>1835</v>
      </c>
      <c r="B873" t="s">
        <v>43</v>
      </c>
      <c r="C873" t="s">
        <v>121</v>
      </c>
      <c r="D873" t="s">
        <v>29</v>
      </c>
      <c r="E873" t="s">
        <v>45</v>
      </c>
      <c r="F873" t="s">
        <v>95</v>
      </c>
      <c r="G873" t="s">
        <v>58</v>
      </c>
      <c r="H873">
        <v>2.7</v>
      </c>
      <c r="I873">
        <v>32.1</v>
      </c>
      <c r="J873" t="s">
        <v>156</v>
      </c>
      <c r="K873" t="s">
        <v>1836</v>
      </c>
      <c r="L873" t="s">
        <v>126</v>
      </c>
      <c r="M873" t="s">
        <v>992</v>
      </c>
      <c r="N873" t="s">
        <v>50</v>
      </c>
      <c r="O873">
        <v>68</v>
      </c>
      <c r="Q873">
        <v>0</v>
      </c>
      <c r="R873">
        <v>0</v>
      </c>
      <c r="T873" t="s">
        <v>51</v>
      </c>
      <c r="U873" t="s">
        <v>39</v>
      </c>
      <c r="V873" t="s">
        <v>52</v>
      </c>
      <c r="W873" t="s">
        <v>52</v>
      </c>
      <c r="X873">
        <v>2022</v>
      </c>
      <c r="Y873" t="s">
        <v>312</v>
      </c>
      <c r="Z873" t="s">
        <v>83</v>
      </c>
    </row>
    <row r="874" spans="1:26">
      <c r="A874" t="s">
        <v>1837</v>
      </c>
      <c r="B874" t="s">
        <v>43</v>
      </c>
      <c r="C874" t="s">
        <v>102</v>
      </c>
      <c r="D874" t="s">
        <v>77</v>
      </c>
      <c r="E874" t="s">
        <v>260</v>
      </c>
      <c r="F874" t="s">
        <v>238</v>
      </c>
      <c r="G874" t="s">
        <v>32</v>
      </c>
      <c r="H874">
        <v>8.1999999999999993</v>
      </c>
      <c r="I874">
        <v>28.3</v>
      </c>
      <c r="J874" t="s">
        <v>144</v>
      </c>
      <c r="K874" t="s">
        <v>509</v>
      </c>
      <c r="L874" t="s">
        <v>60</v>
      </c>
      <c r="M874" t="s">
        <v>1838</v>
      </c>
      <c r="N874" t="s">
        <v>71</v>
      </c>
      <c r="O874">
        <v>135</v>
      </c>
      <c r="P874" t="s">
        <v>72</v>
      </c>
      <c r="Q874">
        <v>7831</v>
      </c>
      <c r="R874">
        <v>1000</v>
      </c>
      <c r="S874" t="s">
        <v>152</v>
      </c>
      <c r="T874" t="s">
        <v>136</v>
      </c>
      <c r="U874" t="s">
        <v>52</v>
      </c>
      <c r="V874" t="s">
        <v>39</v>
      </c>
      <c r="W874" t="s">
        <v>52</v>
      </c>
      <c r="X874">
        <v>2023</v>
      </c>
      <c r="Y874" t="s">
        <v>91</v>
      </c>
      <c r="Z874" t="s">
        <v>64</v>
      </c>
    </row>
    <row r="875" spans="1:26">
      <c r="A875" t="s">
        <v>1839</v>
      </c>
      <c r="B875" t="s">
        <v>43</v>
      </c>
      <c r="C875" t="s">
        <v>28</v>
      </c>
      <c r="D875" t="s">
        <v>29</v>
      </c>
      <c r="E875" t="s">
        <v>30</v>
      </c>
      <c r="F875" t="s">
        <v>109</v>
      </c>
      <c r="G875" t="s">
        <v>32</v>
      </c>
      <c r="H875">
        <v>10.6</v>
      </c>
      <c r="I875">
        <v>9.1</v>
      </c>
      <c r="J875" t="s">
        <v>144</v>
      </c>
      <c r="K875" t="s">
        <v>1096</v>
      </c>
      <c r="L875" t="s">
        <v>98</v>
      </c>
      <c r="M875" t="s">
        <v>624</v>
      </c>
      <c r="N875" t="s">
        <v>37</v>
      </c>
      <c r="O875">
        <v>143</v>
      </c>
      <c r="Q875">
        <v>0</v>
      </c>
      <c r="R875">
        <v>0</v>
      </c>
      <c r="T875" t="s">
        <v>136</v>
      </c>
      <c r="U875" t="s">
        <v>52</v>
      </c>
      <c r="V875" t="s">
        <v>52</v>
      </c>
      <c r="W875" t="s">
        <v>52</v>
      </c>
      <c r="X875">
        <v>2022</v>
      </c>
      <c r="Y875" t="s">
        <v>91</v>
      </c>
      <c r="Z875" t="s">
        <v>64</v>
      </c>
    </row>
    <row r="876" spans="1:26">
      <c r="A876" t="s">
        <v>1840</v>
      </c>
      <c r="B876" t="s">
        <v>116</v>
      </c>
      <c r="C876" t="s">
        <v>44</v>
      </c>
      <c r="D876" t="s">
        <v>29</v>
      </c>
      <c r="E876" t="s">
        <v>30</v>
      </c>
      <c r="F876" t="s">
        <v>57</v>
      </c>
      <c r="G876" t="s">
        <v>32</v>
      </c>
      <c r="H876">
        <v>9.3000000000000007</v>
      </c>
      <c r="I876">
        <v>32.5</v>
      </c>
      <c r="J876" t="s">
        <v>33</v>
      </c>
      <c r="K876" t="s">
        <v>767</v>
      </c>
      <c r="L876" t="s">
        <v>126</v>
      </c>
      <c r="M876" t="s">
        <v>587</v>
      </c>
      <c r="N876" t="s">
        <v>50</v>
      </c>
      <c r="O876">
        <v>42</v>
      </c>
      <c r="Q876">
        <v>0</v>
      </c>
      <c r="R876">
        <v>0</v>
      </c>
      <c r="T876" t="s">
        <v>136</v>
      </c>
      <c r="U876" t="s">
        <v>39</v>
      </c>
      <c r="V876" t="s">
        <v>52</v>
      </c>
      <c r="W876" t="s">
        <v>52</v>
      </c>
      <c r="X876">
        <v>2023</v>
      </c>
      <c r="Y876" t="s">
        <v>53</v>
      </c>
      <c r="Z876" t="s">
        <v>54</v>
      </c>
    </row>
    <row r="877" spans="1:26">
      <c r="A877" t="s">
        <v>1841</v>
      </c>
      <c r="B877" t="s">
        <v>43</v>
      </c>
      <c r="C877" t="s">
        <v>173</v>
      </c>
      <c r="D877" t="s">
        <v>29</v>
      </c>
      <c r="E877" t="s">
        <v>56</v>
      </c>
      <c r="F877" t="s">
        <v>124</v>
      </c>
      <c r="G877" t="s">
        <v>58</v>
      </c>
      <c r="H877">
        <v>7.1</v>
      </c>
      <c r="I877">
        <v>14.5</v>
      </c>
      <c r="J877" t="s">
        <v>33</v>
      </c>
      <c r="K877" t="s">
        <v>1028</v>
      </c>
      <c r="L877" t="s">
        <v>48</v>
      </c>
      <c r="M877" t="s">
        <v>1241</v>
      </c>
      <c r="N877" t="s">
        <v>50</v>
      </c>
      <c r="O877">
        <v>125</v>
      </c>
      <c r="Q877">
        <v>0</v>
      </c>
      <c r="R877">
        <v>1000</v>
      </c>
      <c r="T877" t="s">
        <v>62</v>
      </c>
      <c r="U877" t="s">
        <v>39</v>
      </c>
      <c r="V877" t="s">
        <v>52</v>
      </c>
      <c r="W877" t="s">
        <v>52</v>
      </c>
      <c r="X877">
        <v>2023</v>
      </c>
      <c r="Y877" t="s">
        <v>74</v>
      </c>
      <c r="Z877" t="s">
        <v>54</v>
      </c>
    </row>
    <row r="878" spans="1:26">
      <c r="A878" t="s">
        <v>1842</v>
      </c>
      <c r="B878" t="s">
        <v>66</v>
      </c>
      <c r="C878" t="s">
        <v>164</v>
      </c>
      <c r="D878" t="s">
        <v>29</v>
      </c>
      <c r="E878" t="s">
        <v>30</v>
      </c>
      <c r="F878" t="s">
        <v>238</v>
      </c>
      <c r="G878" t="s">
        <v>58</v>
      </c>
      <c r="H878">
        <v>5.2</v>
      </c>
      <c r="I878">
        <v>31.4</v>
      </c>
      <c r="J878" t="s">
        <v>144</v>
      </c>
      <c r="K878" t="s">
        <v>512</v>
      </c>
      <c r="L878" t="s">
        <v>48</v>
      </c>
      <c r="M878" t="s">
        <v>418</v>
      </c>
      <c r="N878" t="s">
        <v>71</v>
      </c>
      <c r="O878">
        <v>22</v>
      </c>
      <c r="P878" t="s">
        <v>230</v>
      </c>
      <c r="Q878">
        <v>2114</v>
      </c>
      <c r="R878">
        <v>1000</v>
      </c>
      <c r="S878" t="s">
        <v>113</v>
      </c>
      <c r="T878" t="s">
        <v>51</v>
      </c>
      <c r="U878" t="s">
        <v>39</v>
      </c>
      <c r="V878" t="s">
        <v>52</v>
      </c>
      <c r="W878" t="s">
        <v>52</v>
      </c>
      <c r="X878">
        <v>2022</v>
      </c>
      <c r="Y878" t="s">
        <v>153</v>
      </c>
      <c r="Z878" t="s">
        <v>54</v>
      </c>
    </row>
    <row r="879" spans="1:26">
      <c r="A879" t="s">
        <v>1843</v>
      </c>
      <c r="B879" t="s">
        <v>27</v>
      </c>
      <c r="C879" t="s">
        <v>28</v>
      </c>
      <c r="D879" t="s">
        <v>77</v>
      </c>
      <c r="E879" t="s">
        <v>143</v>
      </c>
      <c r="F879" t="s">
        <v>238</v>
      </c>
      <c r="G879" t="s">
        <v>58</v>
      </c>
      <c r="H879">
        <v>4</v>
      </c>
      <c r="I879">
        <v>1.8</v>
      </c>
      <c r="J879" t="s">
        <v>96</v>
      </c>
      <c r="K879" t="s">
        <v>1735</v>
      </c>
      <c r="L879" t="s">
        <v>48</v>
      </c>
      <c r="M879" t="s">
        <v>682</v>
      </c>
      <c r="N879" t="s">
        <v>61</v>
      </c>
      <c r="O879">
        <v>43</v>
      </c>
      <c r="Q879">
        <v>0</v>
      </c>
      <c r="R879">
        <v>0</v>
      </c>
      <c r="T879" t="s">
        <v>81</v>
      </c>
      <c r="U879" t="s">
        <v>52</v>
      </c>
      <c r="V879" t="s">
        <v>52</v>
      </c>
      <c r="W879" t="s">
        <v>39</v>
      </c>
      <c r="X879">
        <v>2022</v>
      </c>
      <c r="Y879" t="s">
        <v>312</v>
      </c>
      <c r="Z879" t="s">
        <v>83</v>
      </c>
    </row>
    <row r="880" spans="1:26">
      <c r="A880" t="s">
        <v>1844</v>
      </c>
      <c r="B880" t="s">
        <v>27</v>
      </c>
      <c r="C880" t="s">
        <v>173</v>
      </c>
      <c r="D880" t="s">
        <v>29</v>
      </c>
      <c r="E880" t="s">
        <v>244</v>
      </c>
      <c r="F880" t="s">
        <v>68</v>
      </c>
      <c r="G880" t="s">
        <v>58</v>
      </c>
      <c r="H880">
        <v>3.5</v>
      </c>
      <c r="I880">
        <v>2.7</v>
      </c>
      <c r="J880" t="s">
        <v>144</v>
      </c>
      <c r="K880" t="s">
        <v>793</v>
      </c>
      <c r="L880" t="s">
        <v>140</v>
      </c>
      <c r="M880" t="s">
        <v>943</v>
      </c>
      <c r="N880" t="s">
        <v>71</v>
      </c>
      <c r="O880">
        <v>158</v>
      </c>
      <c r="P880" t="s">
        <v>89</v>
      </c>
      <c r="Q880">
        <v>4907</v>
      </c>
      <c r="R880">
        <v>1000</v>
      </c>
      <c r="S880" t="s">
        <v>152</v>
      </c>
      <c r="T880" t="s">
        <v>38</v>
      </c>
      <c r="U880" t="s">
        <v>52</v>
      </c>
      <c r="V880" t="s">
        <v>52</v>
      </c>
      <c r="W880" t="s">
        <v>52</v>
      </c>
      <c r="X880">
        <v>2023</v>
      </c>
      <c r="Y880" t="s">
        <v>211</v>
      </c>
      <c r="Z880" t="s">
        <v>41</v>
      </c>
    </row>
    <row r="881" spans="1:26">
      <c r="A881" t="s">
        <v>1845</v>
      </c>
      <c r="B881" t="s">
        <v>108</v>
      </c>
      <c r="C881" t="s">
        <v>44</v>
      </c>
      <c r="D881" t="s">
        <v>77</v>
      </c>
      <c r="E881" t="s">
        <v>78</v>
      </c>
      <c r="F881" t="s">
        <v>124</v>
      </c>
      <c r="G881" t="s">
        <v>32</v>
      </c>
      <c r="H881">
        <v>3.6</v>
      </c>
      <c r="I881">
        <v>24.8</v>
      </c>
      <c r="J881" t="s">
        <v>156</v>
      </c>
      <c r="K881" t="s">
        <v>285</v>
      </c>
      <c r="L881" t="s">
        <v>60</v>
      </c>
      <c r="M881" t="s">
        <v>723</v>
      </c>
      <c r="N881" t="s">
        <v>61</v>
      </c>
      <c r="O881">
        <v>131</v>
      </c>
      <c r="Q881">
        <v>0</v>
      </c>
      <c r="R881">
        <v>0</v>
      </c>
      <c r="T881" t="s">
        <v>81</v>
      </c>
      <c r="U881" t="s">
        <v>39</v>
      </c>
      <c r="V881" t="s">
        <v>52</v>
      </c>
      <c r="W881" t="s">
        <v>52</v>
      </c>
      <c r="X881">
        <v>2024</v>
      </c>
      <c r="Y881" t="s">
        <v>106</v>
      </c>
      <c r="Z881" t="s">
        <v>83</v>
      </c>
    </row>
    <row r="882" spans="1:26">
      <c r="A882" t="s">
        <v>1846</v>
      </c>
      <c r="B882" t="s">
        <v>66</v>
      </c>
      <c r="C882" t="s">
        <v>28</v>
      </c>
      <c r="D882" t="s">
        <v>77</v>
      </c>
      <c r="E882" t="s">
        <v>220</v>
      </c>
      <c r="F882" t="s">
        <v>160</v>
      </c>
      <c r="G882" t="s">
        <v>32</v>
      </c>
      <c r="H882">
        <v>12</v>
      </c>
      <c r="I882">
        <v>4.9000000000000004</v>
      </c>
      <c r="J882" t="s">
        <v>156</v>
      </c>
      <c r="K882" t="s">
        <v>377</v>
      </c>
      <c r="L882" t="s">
        <v>60</v>
      </c>
      <c r="M882" t="s">
        <v>1796</v>
      </c>
      <c r="N882" t="s">
        <v>71</v>
      </c>
      <c r="O882">
        <v>16</v>
      </c>
      <c r="P882" t="s">
        <v>105</v>
      </c>
      <c r="Q882">
        <v>4209</v>
      </c>
      <c r="R882">
        <v>0</v>
      </c>
      <c r="S882" t="s">
        <v>113</v>
      </c>
      <c r="T882" t="s">
        <v>136</v>
      </c>
      <c r="U882" t="s">
        <v>52</v>
      </c>
      <c r="V882" t="s">
        <v>52</v>
      </c>
      <c r="W882" t="s">
        <v>39</v>
      </c>
      <c r="X882">
        <v>2022</v>
      </c>
      <c r="Y882" t="s">
        <v>153</v>
      </c>
      <c r="Z882" t="s">
        <v>54</v>
      </c>
    </row>
    <row r="883" spans="1:26">
      <c r="A883" t="s">
        <v>1847</v>
      </c>
      <c r="B883" t="s">
        <v>93</v>
      </c>
      <c r="C883" t="s">
        <v>28</v>
      </c>
      <c r="D883" t="s">
        <v>29</v>
      </c>
      <c r="E883" t="s">
        <v>94</v>
      </c>
      <c r="F883" t="s">
        <v>238</v>
      </c>
      <c r="G883" t="s">
        <v>58</v>
      </c>
      <c r="H883">
        <v>4.4000000000000004</v>
      </c>
      <c r="I883">
        <v>14</v>
      </c>
      <c r="J883" t="s">
        <v>96</v>
      </c>
      <c r="K883" t="s">
        <v>1086</v>
      </c>
      <c r="L883" t="s">
        <v>60</v>
      </c>
      <c r="M883" t="s">
        <v>806</v>
      </c>
      <c r="N883" t="s">
        <v>50</v>
      </c>
      <c r="O883">
        <v>54</v>
      </c>
      <c r="Q883">
        <v>0</v>
      </c>
      <c r="R883">
        <v>0</v>
      </c>
      <c r="T883" t="s">
        <v>136</v>
      </c>
      <c r="U883" t="s">
        <v>39</v>
      </c>
      <c r="V883" t="s">
        <v>52</v>
      </c>
      <c r="W883" t="s">
        <v>52</v>
      </c>
      <c r="X883">
        <v>2023</v>
      </c>
      <c r="Y883" t="s">
        <v>114</v>
      </c>
      <c r="Z883" t="s">
        <v>41</v>
      </c>
    </row>
    <row r="884" spans="1:26">
      <c r="A884" t="s">
        <v>1848</v>
      </c>
      <c r="B884" t="s">
        <v>66</v>
      </c>
      <c r="C884" t="s">
        <v>67</v>
      </c>
      <c r="D884" t="s">
        <v>85</v>
      </c>
      <c r="E884" t="s">
        <v>402</v>
      </c>
      <c r="F884" t="s">
        <v>31</v>
      </c>
      <c r="G884" t="s">
        <v>58</v>
      </c>
      <c r="H884">
        <v>9</v>
      </c>
      <c r="I884">
        <v>24.9</v>
      </c>
      <c r="J884" t="s">
        <v>33</v>
      </c>
      <c r="K884" t="s">
        <v>367</v>
      </c>
      <c r="L884" t="s">
        <v>48</v>
      </c>
      <c r="M884" t="s">
        <v>1828</v>
      </c>
      <c r="N884" t="s">
        <v>171</v>
      </c>
      <c r="O884">
        <v>35</v>
      </c>
      <c r="Q884">
        <v>0</v>
      </c>
      <c r="R884">
        <v>0</v>
      </c>
      <c r="T884" t="s">
        <v>51</v>
      </c>
      <c r="U884" t="s">
        <v>52</v>
      </c>
      <c r="V884" t="s">
        <v>39</v>
      </c>
      <c r="W884" t="s">
        <v>52</v>
      </c>
      <c r="X884">
        <v>2024</v>
      </c>
      <c r="Y884" t="s">
        <v>40</v>
      </c>
      <c r="Z884" t="s">
        <v>41</v>
      </c>
    </row>
    <row r="885" spans="1:26">
      <c r="A885" t="s">
        <v>1849</v>
      </c>
      <c r="B885" t="s">
        <v>66</v>
      </c>
      <c r="C885" t="s">
        <v>164</v>
      </c>
      <c r="D885" t="s">
        <v>122</v>
      </c>
      <c r="E885" t="s">
        <v>148</v>
      </c>
      <c r="F885" t="s">
        <v>57</v>
      </c>
      <c r="G885" t="s">
        <v>58</v>
      </c>
      <c r="H885">
        <v>11.5</v>
      </c>
      <c r="I885">
        <v>31.8</v>
      </c>
      <c r="J885" t="s">
        <v>96</v>
      </c>
      <c r="K885" t="s">
        <v>397</v>
      </c>
      <c r="L885" t="s">
        <v>35</v>
      </c>
      <c r="M885" t="s">
        <v>1356</v>
      </c>
      <c r="N885" t="s">
        <v>37</v>
      </c>
      <c r="O885">
        <v>36</v>
      </c>
      <c r="Q885">
        <v>0</v>
      </c>
      <c r="R885">
        <v>1000</v>
      </c>
      <c r="T885" t="s">
        <v>51</v>
      </c>
      <c r="U885" t="s">
        <v>39</v>
      </c>
      <c r="V885" t="s">
        <v>52</v>
      </c>
      <c r="W885" t="s">
        <v>52</v>
      </c>
      <c r="X885">
        <v>2022</v>
      </c>
      <c r="Y885" t="s">
        <v>312</v>
      </c>
      <c r="Z885" t="s">
        <v>83</v>
      </c>
    </row>
    <row r="886" spans="1:26">
      <c r="A886" t="s">
        <v>1850</v>
      </c>
      <c r="B886" t="s">
        <v>66</v>
      </c>
      <c r="C886" t="s">
        <v>173</v>
      </c>
      <c r="D886" t="s">
        <v>122</v>
      </c>
      <c r="E886" t="s">
        <v>123</v>
      </c>
      <c r="F886" t="s">
        <v>109</v>
      </c>
      <c r="G886" t="s">
        <v>32</v>
      </c>
      <c r="H886">
        <v>1.9</v>
      </c>
      <c r="I886">
        <v>24</v>
      </c>
      <c r="J886" t="s">
        <v>20</v>
      </c>
      <c r="K886" t="s">
        <v>1851</v>
      </c>
      <c r="L886" t="s">
        <v>140</v>
      </c>
      <c r="M886" t="s">
        <v>1453</v>
      </c>
      <c r="N886" t="s">
        <v>37</v>
      </c>
      <c r="O886">
        <v>124</v>
      </c>
      <c r="Q886">
        <v>0</v>
      </c>
      <c r="R886">
        <v>0</v>
      </c>
      <c r="T886" t="s">
        <v>62</v>
      </c>
      <c r="U886" t="s">
        <v>39</v>
      </c>
      <c r="V886" t="s">
        <v>52</v>
      </c>
      <c r="W886" t="s">
        <v>39</v>
      </c>
      <c r="X886">
        <v>2022</v>
      </c>
      <c r="Y886" t="s">
        <v>211</v>
      </c>
      <c r="Z886" t="s">
        <v>41</v>
      </c>
    </row>
    <row r="887" spans="1:26">
      <c r="A887" t="s">
        <v>1852</v>
      </c>
      <c r="B887" t="s">
        <v>66</v>
      </c>
      <c r="C887" t="s">
        <v>28</v>
      </c>
      <c r="D887" t="s">
        <v>77</v>
      </c>
      <c r="E887" t="s">
        <v>168</v>
      </c>
      <c r="F887" t="s">
        <v>149</v>
      </c>
      <c r="G887" t="s">
        <v>32</v>
      </c>
      <c r="H887">
        <v>4.0999999999999996</v>
      </c>
      <c r="I887">
        <v>14.6</v>
      </c>
      <c r="J887" t="s">
        <v>144</v>
      </c>
      <c r="K887" t="s">
        <v>1299</v>
      </c>
      <c r="L887" t="s">
        <v>140</v>
      </c>
      <c r="M887" t="s">
        <v>466</v>
      </c>
      <c r="N887" t="s">
        <v>61</v>
      </c>
      <c r="O887">
        <v>12</v>
      </c>
      <c r="Q887">
        <v>0</v>
      </c>
      <c r="R887">
        <v>0</v>
      </c>
      <c r="T887" t="s">
        <v>62</v>
      </c>
      <c r="U887" t="s">
        <v>39</v>
      </c>
      <c r="V887" t="s">
        <v>52</v>
      </c>
      <c r="W887" t="s">
        <v>52</v>
      </c>
      <c r="X887">
        <v>2024</v>
      </c>
      <c r="Y887" t="s">
        <v>40</v>
      </c>
      <c r="Z887" t="s">
        <v>41</v>
      </c>
    </row>
    <row r="888" spans="1:26">
      <c r="A888" t="s">
        <v>1853</v>
      </c>
      <c r="B888" t="s">
        <v>93</v>
      </c>
      <c r="C888" t="s">
        <v>76</v>
      </c>
      <c r="D888" t="s">
        <v>77</v>
      </c>
      <c r="E888" t="s">
        <v>168</v>
      </c>
      <c r="F888" t="s">
        <v>109</v>
      </c>
      <c r="G888" t="s">
        <v>58</v>
      </c>
      <c r="H888">
        <v>10.9</v>
      </c>
      <c r="I888">
        <v>9.3000000000000007</v>
      </c>
      <c r="J888" t="s">
        <v>33</v>
      </c>
      <c r="K888" t="s">
        <v>482</v>
      </c>
      <c r="L888" t="s">
        <v>48</v>
      </c>
      <c r="M888" t="s">
        <v>735</v>
      </c>
      <c r="N888" t="s">
        <v>71</v>
      </c>
      <c r="O888">
        <v>167</v>
      </c>
      <c r="P888" t="s">
        <v>112</v>
      </c>
      <c r="Q888">
        <v>4879</v>
      </c>
      <c r="R888">
        <v>2000</v>
      </c>
      <c r="S888" t="s">
        <v>113</v>
      </c>
      <c r="T888" t="s">
        <v>136</v>
      </c>
      <c r="U888" t="s">
        <v>39</v>
      </c>
      <c r="V888" t="s">
        <v>52</v>
      </c>
      <c r="W888" t="s">
        <v>39</v>
      </c>
      <c r="X888">
        <v>2023</v>
      </c>
      <c r="Y888" t="s">
        <v>114</v>
      </c>
      <c r="Z888" t="s">
        <v>41</v>
      </c>
    </row>
    <row r="889" spans="1:26">
      <c r="A889" t="s">
        <v>1854</v>
      </c>
      <c r="B889" t="s">
        <v>66</v>
      </c>
      <c r="C889" t="s">
        <v>173</v>
      </c>
      <c r="D889" t="s">
        <v>29</v>
      </c>
      <c r="E889" t="s">
        <v>195</v>
      </c>
      <c r="F889" t="s">
        <v>31</v>
      </c>
      <c r="G889" t="s">
        <v>58</v>
      </c>
      <c r="H889">
        <v>0.3</v>
      </c>
      <c r="I889">
        <v>30.5</v>
      </c>
      <c r="J889" t="s">
        <v>144</v>
      </c>
      <c r="K889" t="s">
        <v>561</v>
      </c>
      <c r="L889" t="s">
        <v>140</v>
      </c>
      <c r="M889" t="s">
        <v>1274</v>
      </c>
      <c r="N889" t="s">
        <v>100</v>
      </c>
      <c r="O889">
        <v>138</v>
      </c>
      <c r="Q889">
        <v>0</v>
      </c>
      <c r="R889">
        <v>0</v>
      </c>
      <c r="T889" t="s">
        <v>81</v>
      </c>
      <c r="U889" t="s">
        <v>39</v>
      </c>
      <c r="V889" t="s">
        <v>39</v>
      </c>
      <c r="W889" t="s">
        <v>52</v>
      </c>
      <c r="X889">
        <v>2023</v>
      </c>
      <c r="Y889" t="s">
        <v>40</v>
      </c>
      <c r="Z889" t="s">
        <v>41</v>
      </c>
    </row>
    <row r="890" spans="1:26">
      <c r="A890" t="s">
        <v>1855</v>
      </c>
      <c r="B890" t="s">
        <v>66</v>
      </c>
      <c r="C890" t="s">
        <v>102</v>
      </c>
      <c r="D890" t="s">
        <v>85</v>
      </c>
      <c r="E890" t="s">
        <v>138</v>
      </c>
      <c r="F890" t="s">
        <v>149</v>
      </c>
      <c r="G890" t="s">
        <v>58</v>
      </c>
      <c r="H890">
        <v>8.3000000000000007</v>
      </c>
      <c r="I890">
        <v>3.2</v>
      </c>
      <c r="J890" t="s">
        <v>33</v>
      </c>
      <c r="K890" t="s">
        <v>1856</v>
      </c>
      <c r="L890" t="s">
        <v>48</v>
      </c>
      <c r="M890" t="s">
        <v>1562</v>
      </c>
      <c r="N890" t="s">
        <v>37</v>
      </c>
      <c r="O890">
        <v>46</v>
      </c>
      <c r="Q890">
        <v>0</v>
      </c>
      <c r="R890">
        <v>0</v>
      </c>
      <c r="T890" t="s">
        <v>51</v>
      </c>
      <c r="U890" t="s">
        <v>39</v>
      </c>
      <c r="V890" t="s">
        <v>52</v>
      </c>
      <c r="W890" t="s">
        <v>52</v>
      </c>
      <c r="X890">
        <v>2023</v>
      </c>
      <c r="Y890" t="s">
        <v>128</v>
      </c>
      <c r="Z890" t="s">
        <v>64</v>
      </c>
    </row>
    <row r="891" spans="1:26">
      <c r="A891" t="s">
        <v>1857</v>
      </c>
      <c r="B891" t="s">
        <v>93</v>
      </c>
      <c r="C891" t="s">
        <v>173</v>
      </c>
      <c r="D891" t="s">
        <v>29</v>
      </c>
      <c r="E891" t="s">
        <v>117</v>
      </c>
      <c r="F891" t="s">
        <v>109</v>
      </c>
      <c r="G891" t="s">
        <v>58</v>
      </c>
      <c r="H891">
        <v>4.4000000000000004</v>
      </c>
      <c r="I891">
        <v>26.9</v>
      </c>
      <c r="J891" t="s">
        <v>33</v>
      </c>
      <c r="K891" t="s">
        <v>412</v>
      </c>
      <c r="L891" t="s">
        <v>48</v>
      </c>
      <c r="M891" t="s">
        <v>803</v>
      </c>
      <c r="N891" t="s">
        <v>37</v>
      </c>
      <c r="O891">
        <v>110</v>
      </c>
      <c r="Q891">
        <v>0</v>
      </c>
      <c r="R891">
        <v>0</v>
      </c>
      <c r="T891" t="s">
        <v>38</v>
      </c>
      <c r="U891" t="s">
        <v>39</v>
      </c>
      <c r="V891" t="s">
        <v>39</v>
      </c>
      <c r="W891" t="s">
        <v>39</v>
      </c>
      <c r="X891">
        <v>2022</v>
      </c>
      <c r="Y891" t="s">
        <v>128</v>
      </c>
      <c r="Z891" t="s">
        <v>64</v>
      </c>
    </row>
    <row r="892" spans="1:26">
      <c r="A892" t="s">
        <v>1858</v>
      </c>
      <c r="B892" t="s">
        <v>27</v>
      </c>
      <c r="C892" t="s">
        <v>121</v>
      </c>
      <c r="D892" t="s">
        <v>29</v>
      </c>
      <c r="E892" t="s">
        <v>45</v>
      </c>
      <c r="F892" t="s">
        <v>109</v>
      </c>
      <c r="G892" t="s">
        <v>58</v>
      </c>
      <c r="H892">
        <v>1.5</v>
      </c>
      <c r="I892">
        <v>26.9</v>
      </c>
      <c r="J892" t="s">
        <v>144</v>
      </c>
      <c r="K892" t="s">
        <v>1859</v>
      </c>
      <c r="L892" t="s">
        <v>98</v>
      </c>
      <c r="M892" t="s">
        <v>672</v>
      </c>
      <c r="N892" t="s">
        <v>171</v>
      </c>
      <c r="O892">
        <v>116</v>
      </c>
      <c r="Q892">
        <v>0</v>
      </c>
      <c r="R892">
        <v>0</v>
      </c>
      <c r="T892" t="s">
        <v>62</v>
      </c>
      <c r="U892" t="s">
        <v>39</v>
      </c>
      <c r="V892" t="s">
        <v>39</v>
      </c>
      <c r="W892" t="s">
        <v>52</v>
      </c>
      <c r="X892">
        <v>2022</v>
      </c>
      <c r="Y892" t="s">
        <v>211</v>
      </c>
      <c r="Z892" t="s">
        <v>41</v>
      </c>
    </row>
    <row r="893" spans="1:26">
      <c r="A893" t="s">
        <v>1860</v>
      </c>
      <c r="B893" t="s">
        <v>27</v>
      </c>
      <c r="C893" t="s">
        <v>28</v>
      </c>
      <c r="D893" t="s">
        <v>29</v>
      </c>
      <c r="E893" t="s">
        <v>56</v>
      </c>
      <c r="F893" t="s">
        <v>95</v>
      </c>
      <c r="G893" t="s">
        <v>58</v>
      </c>
      <c r="H893">
        <v>8.6999999999999993</v>
      </c>
      <c r="I893">
        <v>31.9</v>
      </c>
      <c r="J893" t="s">
        <v>33</v>
      </c>
      <c r="K893" t="s">
        <v>386</v>
      </c>
      <c r="L893" t="s">
        <v>60</v>
      </c>
      <c r="M893" t="s">
        <v>585</v>
      </c>
      <c r="N893" t="s">
        <v>37</v>
      </c>
      <c r="O893">
        <v>100</v>
      </c>
      <c r="Q893">
        <v>0</v>
      </c>
      <c r="R893">
        <v>500</v>
      </c>
      <c r="T893" t="s">
        <v>81</v>
      </c>
      <c r="U893" t="s">
        <v>39</v>
      </c>
      <c r="V893" t="s">
        <v>52</v>
      </c>
      <c r="W893" t="s">
        <v>52</v>
      </c>
      <c r="X893">
        <v>2022</v>
      </c>
      <c r="Y893" t="s">
        <v>63</v>
      </c>
      <c r="Z893" t="s">
        <v>64</v>
      </c>
    </row>
    <row r="894" spans="1:26">
      <c r="A894" t="s">
        <v>1861</v>
      </c>
      <c r="B894" t="s">
        <v>43</v>
      </c>
      <c r="C894" t="s">
        <v>121</v>
      </c>
      <c r="D894" t="s">
        <v>77</v>
      </c>
      <c r="E894" t="s">
        <v>260</v>
      </c>
      <c r="F894" t="s">
        <v>31</v>
      </c>
      <c r="G894" t="s">
        <v>58</v>
      </c>
      <c r="H894">
        <v>9.8000000000000007</v>
      </c>
      <c r="I894">
        <v>7.8</v>
      </c>
      <c r="J894" t="s">
        <v>156</v>
      </c>
      <c r="K894" t="s">
        <v>1236</v>
      </c>
      <c r="L894" t="s">
        <v>48</v>
      </c>
      <c r="M894" t="s">
        <v>930</v>
      </c>
      <c r="N894" t="s">
        <v>71</v>
      </c>
      <c r="O894">
        <v>111</v>
      </c>
      <c r="P894" t="s">
        <v>112</v>
      </c>
      <c r="Q894">
        <v>7197</v>
      </c>
      <c r="R894">
        <v>5000</v>
      </c>
      <c r="S894" t="s">
        <v>90</v>
      </c>
      <c r="T894" t="s">
        <v>136</v>
      </c>
      <c r="U894" t="s">
        <v>39</v>
      </c>
      <c r="V894" t="s">
        <v>52</v>
      </c>
      <c r="W894" t="s">
        <v>52</v>
      </c>
      <c r="X894">
        <v>2024</v>
      </c>
      <c r="Y894" t="s">
        <v>312</v>
      </c>
      <c r="Z894" t="s">
        <v>83</v>
      </c>
    </row>
    <row r="895" spans="1:26">
      <c r="A895" t="s">
        <v>1862</v>
      </c>
      <c r="B895" t="s">
        <v>66</v>
      </c>
      <c r="C895" t="s">
        <v>67</v>
      </c>
      <c r="D895" t="s">
        <v>77</v>
      </c>
      <c r="E895" t="s">
        <v>220</v>
      </c>
      <c r="F895" t="s">
        <v>46</v>
      </c>
      <c r="G895" t="s">
        <v>32</v>
      </c>
      <c r="H895">
        <v>6.9</v>
      </c>
      <c r="I895">
        <v>1.1000000000000001</v>
      </c>
      <c r="J895" t="s">
        <v>156</v>
      </c>
      <c r="K895" t="s">
        <v>104</v>
      </c>
      <c r="L895" t="s">
        <v>35</v>
      </c>
      <c r="M895" t="s">
        <v>418</v>
      </c>
      <c r="N895" t="s">
        <v>37</v>
      </c>
      <c r="O895">
        <v>116</v>
      </c>
      <c r="Q895">
        <v>0</v>
      </c>
      <c r="R895">
        <v>0</v>
      </c>
      <c r="T895" t="s">
        <v>51</v>
      </c>
      <c r="U895" t="s">
        <v>52</v>
      </c>
      <c r="V895" t="s">
        <v>39</v>
      </c>
      <c r="W895" t="s">
        <v>52</v>
      </c>
      <c r="X895">
        <v>2022</v>
      </c>
      <c r="Y895" t="s">
        <v>312</v>
      </c>
      <c r="Z895" t="s">
        <v>83</v>
      </c>
    </row>
    <row r="896" spans="1:26">
      <c r="A896" t="s">
        <v>1863</v>
      </c>
      <c r="B896" t="s">
        <v>27</v>
      </c>
      <c r="C896" t="s">
        <v>67</v>
      </c>
      <c r="D896" t="s">
        <v>29</v>
      </c>
      <c r="E896" t="s">
        <v>244</v>
      </c>
      <c r="F896" t="s">
        <v>95</v>
      </c>
      <c r="G896" t="s">
        <v>58</v>
      </c>
      <c r="H896">
        <v>5.7</v>
      </c>
      <c r="I896">
        <v>19.600000000000001</v>
      </c>
      <c r="J896" t="s">
        <v>96</v>
      </c>
      <c r="K896" t="s">
        <v>277</v>
      </c>
      <c r="L896" t="s">
        <v>98</v>
      </c>
      <c r="M896" t="s">
        <v>127</v>
      </c>
      <c r="N896" t="s">
        <v>71</v>
      </c>
      <c r="O896">
        <v>144</v>
      </c>
      <c r="P896" t="s">
        <v>72</v>
      </c>
      <c r="Q896">
        <v>3928</v>
      </c>
      <c r="R896">
        <v>0</v>
      </c>
      <c r="S896" t="s">
        <v>113</v>
      </c>
      <c r="T896" t="s">
        <v>51</v>
      </c>
      <c r="U896" t="s">
        <v>52</v>
      </c>
      <c r="V896" t="s">
        <v>52</v>
      </c>
      <c r="W896" t="s">
        <v>39</v>
      </c>
      <c r="X896">
        <v>2024</v>
      </c>
      <c r="Y896" t="s">
        <v>63</v>
      </c>
      <c r="Z896" t="s">
        <v>64</v>
      </c>
    </row>
    <row r="897" spans="1:26">
      <c r="A897" t="s">
        <v>1864</v>
      </c>
      <c r="B897" t="s">
        <v>93</v>
      </c>
      <c r="C897" t="s">
        <v>67</v>
      </c>
      <c r="D897" t="s">
        <v>29</v>
      </c>
      <c r="E897" t="s">
        <v>30</v>
      </c>
      <c r="F897" t="s">
        <v>57</v>
      </c>
      <c r="G897" t="s">
        <v>58</v>
      </c>
      <c r="H897">
        <v>9.8000000000000007</v>
      </c>
      <c r="I897">
        <v>35</v>
      </c>
      <c r="J897" t="s">
        <v>20</v>
      </c>
      <c r="K897" t="s">
        <v>482</v>
      </c>
      <c r="L897" t="s">
        <v>60</v>
      </c>
      <c r="M897" t="s">
        <v>240</v>
      </c>
      <c r="N897" t="s">
        <v>71</v>
      </c>
      <c r="O897">
        <v>171</v>
      </c>
      <c r="P897" t="s">
        <v>230</v>
      </c>
      <c r="Q897">
        <v>4350</v>
      </c>
      <c r="R897">
        <v>0</v>
      </c>
      <c r="S897" t="s">
        <v>90</v>
      </c>
      <c r="T897" t="s">
        <v>51</v>
      </c>
      <c r="U897" t="s">
        <v>39</v>
      </c>
      <c r="V897" t="s">
        <v>52</v>
      </c>
      <c r="W897" t="s">
        <v>39</v>
      </c>
      <c r="X897">
        <v>2023</v>
      </c>
      <c r="Y897" t="s">
        <v>114</v>
      </c>
      <c r="Z897" t="s">
        <v>41</v>
      </c>
    </row>
    <row r="898" spans="1:26">
      <c r="A898" t="s">
        <v>1865</v>
      </c>
      <c r="B898" t="s">
        <v>93</v>
      </c>
      <c r="C898" t="s">
        <v>28</v>
      </c>
      <c r="D898" t="s">
        <v>77</v>
      </c>
      <c r="E898" t="s">
        <v>168</v>
      </c>
      <c r="F898" t="s">
        <v>95</v>
      </c>
      <c r="G898" t="s">
        <v>32</v>
      </c>
      <c r="H898">
        <v>7.3</v>
      </c>
      <c r="I898">
        <v>29.9</v>
      </c>
      <c r="J898" t="s">
        <v>96</v>
      </c>
      <c r="K898" t="s">
        <v>301</v>
      </c>
      <c r="L898" t="s">
        <v>60</v>
      </c>
      <c r="M898" t="s">
        <v>1866</v>
      </c>
      <c r="N898" t="s">
        <v>71</v>
      </c>
      <c r="O898">
        <v>48</v>
      </c>
      <c r="P898" t="s">
        <v>72</v>
      </c>
      <c r="Q898">
        <v>4125</v>
      </c>
      <c r="R898">
        <v>1000</v>
      </c>
      <c r="S898" t="s">
        <v>73</v>
      </c>
      <c r="T898" t="s">
        <v>81</v>
      </c>
      <c r="U898" t="s">
        <v>39</v>
      </c>
      <c r="V898" t="s">
        <v>52</v>
      </c>
      <c r="W898" t="s">
        <v>39</v>
      </c>
      <c r="X898">
        <v>2023</v>
      </c>
      <c r="Y898" t="s">
        <v>128</v>
      </c>
      <c r="Z898" t="s">
        <v>64</v>
      </c>
    </row>
    <row r="899" spans="1:26">
      <c r="A899" t="s">
        <v>1867</v>
      </c>
      <c r="B899" t="s">
        <v>27</v>
      </c>
      <c r="C899" t="s">
        <v>173</v>
      </c>
      <c r="D899" t="s">
        <v>77</v>
      </c>
      <c r="E899" t="s">
        <v>220</v>
      </c>
      <c r="F899" t="s">
        <v>95</v>
      </c>
      <c r="G899" t="s">
        <v>32</v>
      </c>
      <c r="H899">
        <v>10.5</v>
      </c>
      <c r="I899">
        <v>19.3</v>
      </c>
      <c r="J899" t="s">
        <v>96</v>
      </c>
      <c r="K899" t="s">
        <v>1868</v>
      </c>
      <c r="L899" t="s">
        <v>35</v>
      </c>
      <c r="M899" t="s">
        <v>775</v>
      </c>
      <c r="N899" t="s">
        <v>71</v>
      </c>
      <c r="O899">
        <v>80</v>
      </c>
      <c r="P899" t="s">
        <v>72</v>
      </c>
      <c r="Q899">
        <v>7496</v>
      </c>
      <c r="R899">
        <v>1000</v>
      </c>
      <c r="S899" t="s">
        <v>90</v>
      </c>
      <c r="T899" t="s">
        <v>38</v>
      </c>
      <c r="U899" t="s">
        <v>39</v>
      </c>
      <c r="V899" t="s">
        <v>52</v>
      </c>
      <c r="W899" t="s">
        <v>39</v>
      </c>
      <c r="X899">
        <v>2023</v>
      </c>
      <c r="Y899" t="s">
        <v>40</v>
      </c>
      <c r="Z899" t="s">
        <v>41</v>
      </c>
    </row>
    <row r="900" spans="1:26">
      <c r="A900" t="s">
        <v>1869</v>
      </c>
      <c r="B900" t="s">
        <v>108</v>
      </c>
      <c r="C900" t="s">
        <v>28</v>
      </c>
      <c r="D900" t="s">
        <v>77</v>
      </c>
      <c r="E900" t="s">
        <v>143</v>
      </c>
      <c r="F900" t="s">
        <v>160</v>
      </c>
      <c r="G900" t="s">
        <v>58</v>
      </c>
      <c r="H900">
        <v>0.6</v>
      </c>
      <c r="I900">
        <v>28.4</v>
      </c>
      <c r="J900" t="s">
        <v>20</v>
      </c>
      <c r="K900" t="s">
        <v>1532</v>
      </c>
      <c r="L900" t="s">
        <v>140</v>
      </c>
      <c r="M900" t="s">
        <v>1870</v>
      </c>
      <c r="N900" t="s">
        <v>71</v>
      </c>
      <c r="O900">
        <v>151</v>
      </c>
      <c r="P900" t="s">
        <v>89</v>
      </c>
      <c r="Q900">
        <v>3875</v>
      </c>
      <c r="R900">
        <v>500</v>
      </c>
      <c r="S900" t="s">
        <v>73</v>
      </c>
      <c r="T900" t="s">
        <v>51</v>
      </c>
      <c r="U900" t="s">
        <v>39</v>
      </c>
      <c r="V900" t="s">
        <v>39</v>
      </c>
      <c r="W900" t="s">
        <v>39</v>
      </c>
      <c r="X900">
        <v>2022</v>
      </c>
      <c r="Y900" t="s">
        <v>40</v>
      </c>
      <c r="Z900" t="s">
        <v>41</v>
      </c>
    </row>
    <row r="901" spans="1:26">
      <c r="A901" t="s">
        <v>1871</v>
      </c>
      <c r="B901" t="s">
        <v>27</v>
      </c>
      <c r="C901" t="s">
        <v>173</v>
      </c>
      <c r="D901" t="s">
        <v>77</v>
      </c>
      <c r="E901" t="s">
        <v>78</v>
      </c>
      <c r="F901" t="s">
        <v>31</v>
      </c>
      <c r="G901" t="s">
        <v>58</v>
      </c>
      <c r="H901">
        <v>11.9</v>
      </c>
      <c r="I901">
        <v>0.7</v>
      </c>
      <c r="J901" t="s">
        <v>144</v>
      </c>
      <c r="K901" t="s">
        <v>1872</v>
      </c>
      <c r="L901" t="s">
        <v>140</v>
      </c>
      <c r="M901" t="s">
        <v>282</v>
      </c>
      <c r="N901" t="s">
        <v>71</v>
      </c>
      <c r="O901">
        <v>33</v>
      </c>
      <c r="P901" t="s">
        <v>89</v>
      </c>
      <c r="Q901">
        <v>7175</v>
      </c>
      <c r="R901">
        <v>0</v>
      </c>
      <c r="S901" t="s">
        <v>73</v>
      </c>
      <c r="T901" t="s">
        <v>136</v>
      </c>
      <c r="U901" t="s">
        <v>39</v>
      </c>
      <c r="V901" t="s">
        <v>52</v>
      </c>
      <c r="W901" t="s">
        <v>52</v>
      </c>
      <c r="X901">
        <v>2023</v>
      </c>
      <c r="Y901" t="s">
        <v>312</v>
      </c>
      <c r="Z901" t="s">
        <v>83</v>
      </c>
    </row>
    <row r="902" spans="1:26">
      <c r="A902" t="s">
        <v>1873</v>
      </c>
      <c r="B902" t="s">
        <v>27</v>
      </c>
      <c r="C902" t="s">
        <v>173</v>
      </c>
      <c r="D902" t="s">
        <v>77</v>
      </c>
      <c r="E902" t="s">
        <v>168</v>
      </c>
      <c r="F902" t="s">
        <v>160</v>
      </c>
      <c r="G902" t="s">
        <v>58</v>
      </c>
      <c r="H902">
        <v>11.7</v>
      </c>
      <c r="I902">
        <v>14.7</v>
      </c>
      <c r="J902" t="s">
        <v>20</v>
      </c>
      <c r="K902" t="s">
        <v>751</v>
      </c>
      <c r="L902" t="s">
        <v>35</v>
      </c>
      <c r="M902" t="s">
        <v>1011</v>
      </c>
      <c r="N902" t="s">
        <v>100</v>
      </c>
      <c r="O902">
        <v>35</v>
      </c>
      <c r="Q902">
        <v>0</v>
      </c>
      <c r="R902">
        <v>0</v>
      </c>
      <c r="T902" t="s">
        <v>136</v>
      </c>
      <c r="U902" t="s">
        <v>39</v>
      </c>
      <c r="V902" t="s">
        <v>52</v>
      </c>
      <c r="W902" t="s">
        <v>52</v>
      </c>
      <c r="X902">
        <v>2023</v>
      </c>
      <c r="Y902" t="s">
        <v>63</v>
      </c>
      <c r="Z902" t="s">
        <v>64</v>
      </c>
    </row>
    <row r="903" spans="1:26">
      <c r="A903" t="s">
        <v>1874</v>
      </c>
      <c r="B903" t="s">
        <v>66</v>
      </c>
      <c r="C903" t="s">
        <v>28</v>
      </c>
      <c r="D903" t="s">
        <v>77</v>
      </c>
      <c r="E903" t="s">
        <v>143</v>
      </c>
      <c r="F903" t="s">
        <v>124</v>
      </c>
      <c r="G903" t="s">
        <v>58</v>
      </c>
      <c r="H903">
        <v>8.3000000000000007</v>
      </c>
      <c r="I903">
        <v>20.399999999999999</v>
      </c>
      <c r="J903" t="s">
        <v>156</v>
      </c>
      <c r="K903" t="s">
        <v>286</v>
      </c>
      <c r="L903" t="s">
        <v>35</v>
      </c>
      <c r="M903" t="s">
        <v>903</v>
      </c>
      <c r="N903" t="s">
        <v>37</v>
      </c>
      <c r="O903">
        <v>152</v>
      </c>
      <c r="Q903">
        <v>0</v>
      </c>
      <c r="R903">
        <v>500</v>
      </c>
      <c r="T903" t="s">
        <v>81</v>
      </c>
      <c r="U903" t="s">
        <v>39</v>
      </c>
      <c r="V903" t="s">
        <v>52</v>
      </c>
      <c r="W903" t="s">
        <v>39</v>
      </c>
      <c r="X903">
        <v>2024</v>
      </c>
      <c r="Y903" t="s">
        <v>74</v>
      </c>
      <c r="Z903" t="s">
        <v>54</v>
      </c>
    </row>
    <row r="904" spans="1:26">
      <c r="A904" t="s">
        <v>1875</v>
      </c>
      <c r="B904" t="s">
        <v>66</v>
      </c>
      <c r="C904" t="s">
        <v>102</v>
      </c>
      <c r="D904" t="s">
        <v>29</v>
      </c>
      <c r="E904" t="s">
        <v>94</v>
      </c>
      <c r="F904" t="s">
        <v>95</v>
      </c>
      <c r="G904" t="s">
        <v>58</v>
      </c>
      <c r="H904">
        <v>11.5</v>
      </c>
      <c r="I904">
        <v>20.3</v>
      </c>
      <c r="J904" t="s">
        <v>144</v>
      </c>
      <c r="K904" t="s">
        <v>612</v>
      </c>
      <c r="L904" t="s">
        <v>35</v>
      </c>
      <c r="M904" t="s">
        <v>261</v>
      </c>
      <c r="N904" t="s">
        <v>37</v>
      </c>
      <c r="O904">
        <v>35</v>
      </c>
      <c r="Q904">
        <v>0</v>
      </c>
      <c r="R904">
        <v>500</v>
      </c>
      <c r="T904" t="s">
        <v>51</v>
      </c>
      <c r="U904" t="s">
        <v>39</v>
      </c>
      <c r="V904" t="s">
        <v>52</v>
      </c>
      <c r="W904" t="s">
        <v>52</v>
      </c>
      <c r="X904">
        <v>2024</v>
      </c>
      <c r="Y904" t="s">
        <v>312</v>
      </c>
      <c r="Z904" t="s">
        <v>83</v>
      </c>
    </row>
    <row r="905" spans="1:26">
      <c r="A905" t="s">
        <v>1876</v>
      </c>
      <c r="B905" t="s">
        <v>93</v>
      </c>
      <c r="C905" t="s">
        <v>121</v>
      </c>
      <c r="D905" t="s">
        <v>77</v>
      </c>
      <c r="E905" t="s">
        <v>143</v>
      </c>
      <c r="F905" t="s">
        <v>124</v>
      </c>
      <c r="G905" t="s">
        <v>58</v>
      </c>
      <c r="H905">
        <v>4.5999999999999996</v>
      </c>
      <c r="I905">
        <v>18.399999999999999</v>
      </c>
      <c r="J905" t="s">
        <v>33</v>
      </c>
      <c r="K905" t="s">
        <v>1877</v>
      </c>
      <c r="L905" t="s">
        <v>126</v>
      </c>
      <c r="M905" t="s">
        <v>1523</v>
      </c>
      <c r="N905" t="s">
        <v>100</v>
      </c>
      <c r="O905">
        <v>84</v>
      </c>
      <c r="Q905">
        <v>0</v>
      </c>
      <c r="R905">
        <v>0</v>
      </c>
      <c r="T905" t="s">
        <v>51</v>
      </c>
      <c r="U905" t="s">
        <v>39</v>
      </c>
      <c r="V905" t="s">
        <v>52</v>
      </c>
      <c r="W905" t="s">
        <v>52</v>
      </c>
      <c r="X905">
        <v>2024</v>
      </c>
      <c r="Y905" t="s">
        <v>106</v>
      </c>
      <c r="Z905" t="s">
        <v>83</v>
      </c>
    </row>
    <row r="906" spans="1:26">
      <c r="A906" t="s">
        <v>1878</v>
      </c>
      <c r="B906" t="s">
        <v>116</v>
      </c>
      <c r="C906" t="s">
        <v>121</v>
      </c>
      <c r="D906" t="s">
        <v>77</v>
      </c>
      <c r="E906" t="s">
        <v>78</v>
      </c>
      <c r="F906" t="s">
        <v>109</v>
      </c>
      <c r="G906" t="s">
        <v>32</v>
      </c>
      <c r="H906">
        <v>5.3</v>
      </c>
      <c r="I906">
        <v>6</v>
      </c>
      <c r="J906" t="s">
        <v>33</v>
      </c>
      <c r="K906" t="s">
        <v>561</v>
      </c>
      <c r="L906" t="s">
        <v>126</v>
      </c>
      <c r="M906" t="s">
        <v>1856</v>
      </c>
      <c r="N906" t="s">
        <v>71</v>
      </c>
      <c r="O906">
        <v>112</v>
      </c>
      <c r="P906" t="s">
        <v>230</v>
      </c>
      <c r="Q906">
        <v>5065</v>
      </c>
      <c r="R906">
        <v>0</v>
      </c>
      <c r="S906" t="s">
        <v>152</v>
      </c>
      <c r="T906" t="s">
        <v>81</v>
      </c>
      <c r="U906" t="s">
        <v>39</v>
      </c>
      <c r="V906" t="s">
        <v>52</v>
      </c>
      <c r="W906" t="s">
        <v>52</v>
      </c>
      <c r="X906">
        <v>2023</v>
      </c>
      <c r="Y906" t="s">
        <v>40</v>
      </c>
      <c r="Z906" t="s">
        <v>41</v>
      </c>
    </row>
    <row r="907" spans="1:26">
      <c r="A907" t="s">
        <v>1879</v>
      </c>
      <c r="B907" t="s">
        <v>108</v>
      </c>
      <c r="C907" t="s">
        <v>102</v>
      </c>
      <c r="D907" t="s">
        <v>85</v>
      </c>
      <c r="E907" t="s">
        <v>174</v>
      </c>
      <c r="F907" t="s">
        <v>160</v>
      </c>
      <c r="G907" t="s">
        <v>32</v>
      </c>
      <c r="H907">
        <v>4.2</v>
      </c>
      <c r="I907">
        <v>22.7</v>
      </c>
      <c r="J907" t="s">
        <v>144</v>
      </c>
      <c r="K907" t="s">
        <v>1283</v>
      </c>
      <c r="L907" t="s">
        <v>60</v>
      </c>
      <c r="M907" t="s">
        <v>127</v>
      </c>
      <c r="N907" t="s">
        <v>71</v>
      </c>
      <c r="O907">
        <v>136</v>
      </c>
      <c r="P907" t="s">
        <v>89</v>
      </c>
      <c r="Q907">
        <v>2902</v>
      </c>
      <c r="R907">
        <v>500</v>
      </c>
      <c r="S907" t="s">
        <v>90</v>
      </c>
      <c r="T907" t="s">
        <v>81</v>
      </c>
      <c r="U907" t="s">
        <v>52</v>
      </c>
      <c r="V907" t="s">
        <v>39</v>
      </c>
      <c r="W907" t="s">
        <v>39</v>
      </c>
      <c r="X907">
        <v>2024</v>
      </c>
      <c r="Y907" t="s">
        <v>211</v>
      </c>
      <c r="Z907" t="s">
        <v>41</v>
      </c>
    </row>
    <row r="908" spans="1:26">
      <c r="A908" t="s">
        <v>1880</v>
      </c>
      <c r="B908" t="s">
        <v>66</v>
      </c>
      <c r="C908" t="s">
        <v>28</v>
      </c>
      <c r="D908" t="s">
        <v>77</v>
      </c>
      <c r="E908" t="s">
        <v>78</v>
      </c>
      <c r="F908" t="s">
        <v>160</v>
      </c>
      <c r="G908" t="s">
        <v>32</v>
      </c>
      <c r="H908">
        <v>8.6999999999999993</v>
      </c>
      <c r="I908">
        <v>18.5</v>
      </c>
      <c r="J908" t="s">
        <v>156</v>
      </c>
      <c r="K908" t="s">
        <v>1881</v>
      </c>
      <c r="L908" t="s">
        <v>126</v>
      </c>
      <c r="M908" t="s">
        <v>1459</v>
      </c>
      <c r="N908" t="s">
        <v>71</v>
      </c>
      <c r="O908">
        <v>57</v>
      </c>
      <c r="P908" t="s">
        <v>230</v>
      </c>
      <c r="Q908">
        <v>3899</v>
      </c>
      <c r="R908">
        <v>0</v>
      </c>
      <c r="S908" t="s">
        <v>73</v>
      </c>
      <c r="T908" t="s">
        <v>62</v>
      </c>
      <c r="U908" t="s">
        <v>39</v>
      </c>
      <c r="V908" t="s">
        <v>39</v>
      </c>
      <c r="W908" t="s">
        <v>52</v>
      </c>
      <c r="X908">
        <v>2024</v>
      </c>
      <c r="Y908" t="s">
        <v>82</v>
      </c>
      <c r="Z908" t="s">
        <v>83</v>
      </c>
    </row>
    <row r="909" spans="1:26">
      <c r="A909" t="s">
        <v>1882</v>
      </c>
      <c r="B909" t="s">
        <v>116</v>
      </c>
      <c r="C909" t="s">
        <v>67</v>
      </c>
      <c r="D909" t="s">
        <v>29</v>
      </c>
      <c r="E909" t="s">
        <v>195</v>
      </c>
      <c r="F909" t="s">
        <v>109</v>
      </c>
      <c r="G909" t="s">
        <v>32</v>
      </c>
      <c r="H909">
        <v>11.7</v>
      </c>
      <c r="I909">
        <v>0.6</v>
      </c>
      <c r="J909" t="s">
        <v>20</v>
      </c>
      <c r="K909" t="s">
        <v>187</v>
      </c>
      <c r="L909" t="s">
        <v>60</v>
      </c>
      <c r="M909" t="s">
        <v>1856</v>
      </c>
      <c r="N909" t="s">
        <v>71</v>
      </c>
      <c r="O909">
        <v>172</v>
      </c>
      <c r="P909" t="s">
        <v>230</v>
      </c>
      <c r="Q909">
        <v>4070</v>
      </c>
      <c r="R909">
        <v>500</v>
      </c>
      <c r="S909" t="s">
        <v>90</v>
      </c>
      <c r="T909" t="s">
        <v>81</v>
      </c>
      <c r="U909" t="s">
        <v>39</v>
      </c>
      <c r="V909" t="s">
        <v>39</v>
      </c>
      <c r="W909" t="s">
        <v>52</v>
      </c>
      <c r="X909">
        <v>2023</v>
      </c>
      <c r="Y909" t="s">
        <v>53</v>
      </c>
      <c r="Z909" t="s">
        <v>54</v>
      </c>
    </row>
    <row r="910" spans="1:26">
      <c r="A910" t="s">
        <v>1883</v>
      </c>
      <c r="B910" t="s">
        <v>27</v>
      </c>
      <c r="C910" t="s">
        <v>67</v>
      </c>
      <c r="D910" t="s">
        <v>85</v>
      </c>
      <c r="E910" t="s">
        <v>402</v>
      </c>
      <c r="F910" t="s">
        <v>95</v>
      </c>
      <c r="G910" t="s">
        <v>32</v>
      </c>
      <c r="H910">
        <v>8.1</v>
      </c>
      <c r="I910">
        <v>33.6</v>
      </c>
      <c r="J910" t="s">
        <v>144</v>
      </c>
      <c r="K910" t="s">
        <v>1884</v>
      </c>
      <c r="L910" t="s">
        <v>140</v>
      </c>
      <c r="M910" t="s">
        <v>918</v>
      </c>
      <c r="N910" t="s">
        <v>37</v>
      </c>
      <c r="O910">
        <v>151</v>
      </c>
      <c r="Q910">
        <v>0</v>
      </c>
      <c r="R910">
        <v>1000</v>
      </c>
      <c r="T910" t="s">
        <v>81</v>
      </c>
      <c r="U910" t="s">
        <v>39</v>
      </c>
      <c r="V910" t="s">
        <v>52</v>
      </c>
      <c r="W910" t="s">
        <v>39</v>
      </c>
      <c r="X910">
        <v>2023</v>
      </c>
      <c r="Y910" t="s">
        <v>40</v>
      </c>
      <c r="Z910" t="s">
        <v>41</v>
      </c>
    </row>
    <row r="911" spans="1:26">
      <c r="A911" t="s">
        <v>1885</v>
      </c>
      <c r="B911" t="s">
        <v>27</v>
      </c>
      <c r="C911" t="s">
        <v>76</v>
      </c>
      <c r="D911" t="s">
        <v>122</v>
      </c>
      <c r="E911" t="s">
        <v>155</v>
      </c>
      <c r="F911" t="s">
        <v>95</v>
      </c>
      <c r="G911" t="s">
        <v>58</v>
      </c>
      <c r="H911">
        <v>6</v>
      </c>
      <c r="I911">
        <v>15.4</v>
      </c>
      <c r="J911" t="s">
        <v>20</v>
      </c>
      <c r="K911" t="s">
        <v>439</v>
      </c>
      <c r="L911" t="s">
        <v>48</v>
      </c>
      <c r="M911" t="s">
        <v>1502</v>
      </c>
      <c r="N911" t="s">
        <v>171</v>
      </c>
      <c r="O911">
        <v>62</v>
      </c>
      <c r="Q911">
        <v>0</v>
      </c>
      <c r="R911">
        <v>0</v>
      </c>
      <c r="T911" t="s">
        <v>81</v>
      </c>
      <c r="U911" t="s">
        <v>52</v>
      </c>
      <c r="V911" t="s">
        <v>39</v>
      </c>
      <c r="W911" t="s">
        <v>52</v>
      </c>
      <c r="X911">
        <v>2024</v>
      </c>
      <c r="Y911" t="s">
        <v>211</v>
      </c>
      <c r="Z911" t="s">
        <v>41</v>
      </c>
    </row>
    <row r="912" spans="1:26">
      <c r="A912" t="s">
        <v>1886</v>
      </c>
      <c r="B912" t="s">
        <v>43</v>
      </c>
      <c r="C912" t="s">
        <v>102</v>
      </c>
      <c r="D912" t="s">
        <v>77</v>
      </c>
      <c r="E912" t="s">
        <v>94</v>
      </c>
      <c r="F912" t="s">
        <v>46</v>
      </c>
      <c r="G912" t="s">
        <v>58</v>
      </c>
      <c r="H912">
        <v>8.6</v>
      </c>
      <c r="I912">
        <v>8.1</v>
      </c>
      <c r="J912" t="s">
        <v>33</v>
      </c>
      <c r="K912" t="s">
        <v>127</v>
      </c>
      <c r="L912" t="s">
        <v>60</v>
      </c>
      <c r="M912" t="s">
        <v>127</v>
      </c>
      <c r="N912" t="s">
        <v>71</v>
      </c>
      <c r="O912">
        <v>19</v>
      </c>
      <c r="P912" t="s">
        <v>230</v>
      </c>
      <c r="Q912">
        <v>7493</v>
      </c>
      <c r="R912">
        <v>500</v>
      </c>
      <c r="S912" t="s">
        <v>90</v>
      </c>
      <c r="T912" t="s">
        <v>38</v>
      </c>
      <c r="U912" t="s">
        <v>39</v>
      </c>
      <c r="V912" t="s">
        <v>52</v>
      </c>
      <c r="W912" t="s">
        <v>52</v>
      </c>
      <c r="X912">
        <v>2024</v>
      </c>
      <c r="Y912" t="s">
        <v>63</v>
      </c>
      <c r="Z912" t="s">
        <v>64</v>
      </c>
    </row>
    <row r="913" spans="1:26">
      <c r="A913" t="s">
        <v>1887</v>
      </c>
      <c r="B913" t="s">
        <v>66</v>
      </c>
      <c r="C913" t="s">
        <v>102</v>
      </c>
      <c r="D913" t="s">
        <v>77</v>
      </c>
      <c r="E913" t="s">
        <v>143</v>
      </c>
      <c r="F913" t="s">
        <v>238</v>
      </c>
      <c r="G913" t="s">
        <v>32</v>
      </c>
      <c r="H913">
        <v>3.1</v>
      </c>
      <c r="I913">
        <v>21.1</v>
      </c>
      <c r="J913" t="s">
        <v>156</v>
      </c>
      <c r="K913" t="s">
        <v>1888</v>
      </c>
      <c r="L913" t="s">
        <v>60</v>
      </c>
      <c r="M913" t="s">
        <v>307</v>
      </c>
      <c r="N913" t="s">
        <v>71</v>
      </c>
      <c r="O913">
        <v>61</v>
      </c>
      <c r="P913" t="s">
        <v>105</v>
      </c>
      <c r="Q913">
        <v>3766</v>
      </c>
      <c r="R913">
        <v>5000</v>
      </c>
      <c r="S913" t="s">
        <v>113</v>
      </c>
      <c r="T913" t="s">
        <v>38</v>
      </c>
      <c r="U913" t="s">
        <v>52</v>
      </c>
      <c r="V913" t="s">
        <v>39</v>
      </c>
      <c r="W913" t="s">
        <v>52</v>
      </c>
      <c r="X913">
        <v>2023</v>
      </c>
      <c r="Y913" t="s">
        <v>128</v>
      </c>
      <c r="Z913" t="s">
        <v>64</v>
      </c>
    </row>
    <row r="914" spans="1:26">
      <c r="A914" t="s">
        <v>1889</v>
      </c>
      <c r="B914" t="s">
        <v>93</v>
      </c>
      <c r="C914" t="s">
        <v>121</v>
      </c>
      <c r="D914" t="s">
        <v>122</v>
      </c>
      <c r="E914" t="s">
        <v>123</v>
      </c>
      <c r="F914" t="s">
        <v>109</v>
      </c>
      <c r="G914" t="s">
        <v>58</v>
      </c>
      <c r="H914">
        <v>0.1</v>
      </c>
      <c r="I914">
        <v>24.5</v>
      </c>
      <c r="J914" t="s">
        <v>33</v>
      </c>
      <c r="K914" t="s">
        <v>1890</v>
      </c>
      <c r="L914" t="s">
        <v>98</v>
      </c>
      <c r="M914" t="s">
        <v>1035</v>
      </c>
      <c r="N914" t="s">
        <v>37</v>
      </c>
      <c r="O914">
        <v>129</v>
      </c>
      <c r="Q914">
        <v>0</v>
      </c>
      <c r="R914">
        <v>500</v>
      </c>
      <c r="T914" t="s">
        <v>38</v>
      </c>
      <c r="U914" t="s">
        <v>39</v>
      </c>
      <c r="V914" t="s">
        <v>52</v>
      </c>
      <c r="W914" t="s">
        <v>52</v>
      </c>
      <c r="X914">
        <v>2022</v>
      </c>
      <c r="Y914" t="s">
        <v>40</v>
      </c>
      <c r="Z914" t="s">
        <v>41</v>
      </c>
    </row>
    <row r="915" spans="1:26">
      <c r="A915" t="s">
        <v>1891</v>
      </c>
      <c r="B915" t="s">
        <v>93</v>
      </c>
      <c r="C915" t="s">
        <v>121</v>
      </c>
      <c r="D915" t="s">
        <v>77</v>
      </c>
      <c r="E915" t="s">
        <v>216</v>
      </c>
      <c r="F915" t="s">
        <v>238</v>
      </c>
      <c r="G915" t="s">
        <v>32</v>
      </c>
      <c r="H915">
        <v>9.9</v>
      </c>
      <c r="I915">
        <v>7.3</v>
      </c>
      <c r="J915" t="s">
        <v>33</v>
      </c>
      <c r="K915" t="s">
        <v>1892</v>
      </c>
      <c r="L915" t="s">
        <v>140</v>
      </c>
      <c r="M915" t="s">
        <v>1025</v>
      </c>
      <c r="N915" t="s">
        <v>71</v>
      </c>
      <c r="O915">
        <v>60</v>
      </c>
      <c r="P915" t="s">
        <v>89</v>
      </c>
      <c r="Q915">
        <v>4469</v>
      </c>
      <c r="R915">
        <v>0</v>
      </c>
      <c r="S915" t="s">
        <v>73</v>
      </c>
      <c r="T915" t="s">
        <v>38</v>
      </c>
      <c r="U915" t="s">
        <v>39</v>
      </c>
      <c r="V915" t="s">
        <v>52</v>
      </c>
      <c r="W915" t="s">
        <v>52</v>
      </c>
      <c r="X915">
        <v>2022</v>
      </c>
      <c r="Y915" t="s">
        <v>128</v>
      </c>
      <c r="Z915" t="s">
        <v>64</v>
      </c>
    </row>
    <row r="916" spans="1:26">
      <c r="A916" t="s">
        <v>1893</v>
      </c>
      <c r="B916" t="s">
        <v>27</v>
      </c>
      <c r="C916" t="s">
        <v>164</v>
      </c>
      <c r="D916" t="s">
        <v>85</v>
      </c>
      <c r="E916" t="s">
        <v>208</v>
      </c>
      <c r="F916" t="s">
        <v>57</v>
      </c>
      <c r="G916" t="s">
        <v>58</v>
      </c>
      <c r="H916">
        <v>0.2</v>
      </c>
      <c r="I916">
        <v>13.4</v>
      </c>
      <c r="J916" t="s">
        <v>33</v>
      </c>
      <c r="K916" t="s">
        <v>742</v>
      </c>
      <c r="L916" t="s">
        <v>48</v>
      </c>
      <c r="M916" t="s">
        <v>1314</v>
      </c>
      <c r="N916" t="s">
        <v>50</v>
      </c>
      <c r="O916">
        <v>41</v>
      </c>
      <c r="Q916">
        <v>0</v>
      </c>
      <c r="R916">
        <v>1000</v>
      </c>
      <c r="T916" t="s">
        <v>81</v>
      </c>
      <c r="U916" t="s">
        <v>39</v>
      </c>
      <c r="V916" t="s">
        <v>39</v>
      </c>
      <c r="W916" t="s">
        <v>52</v>
      </c>
      <c r="X916">
        <v>2022</v>
      </c>
      <c r="Y916" t="s">
        <v>53</v>
      </c>
      <c r="Z916" t="s">
        <v>54</v>
      </c>
    </row>
    <row r="917" spans="1:26">
      <c r="A917" t="s">
        <v>1894</v>
      </c>
      <c r="B917" t="s">
        <v>66</v>
      </c>
      <c r="C917" t="s">
        <v>67</v>
      </c>
      <c r="D917" t="s">
        <v>29</v>
      </c>
      <c r="E917" t="s">
        <v>117</v>
      </c>
      <c r="F917" t="s">
        <v>149</v>
      </c>
      <c r="G917" t="s">
        <v>58</v>
      </c>
      <c r="H917">
        <v>6.3</v>
      </c>
      <c r="I917">
        <v>19.600000000000001</v>
      </c>
      <c r="J917" t="s">
        <v>96</v>
      </c>
      <c r="K917" t="s">
        <v>1895</v>
      </c>
      <c r="L917" t="s">
        <v>140</v>
      </c>
      <c r="M917" t="s">
        <v>1007</v>
      </c>
      <c r="N917" t="s">
        <v>71</v>
      </c>
      <c r="O917">
        <v>180</v>
      </c>
      <c r="P917" t="s">
        <v>105</v>
      </c>
      <c r="Q917">
        <v>2590</v>
      </c>
      <c r="R917">
        <v>2000</v>
      </c>
      <c r="S917" t="s">
        <v>113</v>
      </c>
      <c r="T917" t="s">
        <v>136</v>
      </c>
      <c r="U917" t="s">
        <v>52</v>
      </c>
      <c r="V917" t="s">
        <v>39</v>
      </c>
      <c r="W917" t="s">
        <v>52</v>
      </c>
      <c r="X917">
        <v>2023</v>
      </c>
      <c r="Y917" t="s">
        <v>74</v>
      </c>
      <c r="Z917" t="s">
        <v>54</v>
      </c>
    </row>
    <row r="918" spans="1:26">
      <c r="A918" t="s">
        <v>1896</v>
      </c>
      <c r="B918" t="s">
        <v>27</v>
      </c>
      <c r="C918" t="s">
        <v>121</v>
      </c>
      <c r="D918" t="s">
        <v>29</v>
      </c>
      <c r="E918" t="s">
        <v>56</v>
      </c>
      <c r="F918" t="s">
        <v>95</v>
      </c>
      <c r="G918" t="s">
        <v>58</v>
      </c>
      <c r="H918">
        <v>2.4</v>
      </c>
      <c r="I918">
        <v>10.7</v>
      </c>
      <c r="J918" t="s">
        <v>96</v>
      </c>
      <c r="K918" t="s">
        <v>1897</v>
      </c>
      <c r="L918" t="s">
        <v>98</v>
      </c>
      <c r="M918" t="s">
        <v>838</v>
      </c>
      <c r="N918" t="s">
        <v>37</v>
      </c>
      <c r="O918">
        <v>156</v>
      </c>
      <c r="Q918">
        <v>0</v>
      </c>
      <c r="R918">
        <v>0</v>
      </c>
      <c r="T918" t="s">
        <v>81</v>
      </c>
      <c r="U918" t="s">
        <v>39</v>
      </c>
      <c r="V918" t="s">
        <v>39</v>
      </c>
      <c r="W918" t="s">
        <v>39</v>
      </c>
      <c r="X918">
        <v>2023</v>
      </c>
      <c r="Y918" t="s">
        <v>153</v>
      </c>
      <c r="Z918" t="s">
        <v>54</v>
      </c>
    </row>
    <row r="919" spans="1:26">
      <c r="A919" t="s">
        <v>1898</v>
      </c>
      <c r="B919" t="s">
        <v>43</v>
      </c>
      <c r="C919" t="s">
        <v>102</v>
      </c>
      <c r="D919" t="s">
        <v>29</v>
      </c>
      <c r="E919" t="s">
        <v>117</v>
      </c>
      <c r="F919" t="s">
        <v>238</v>
      </c>
      <c r="G919" t="s">
        <v>58</v>
      </c>
      <c r="H919">
        <v>2.2000000000000002</v>
      </c>
      <c r="I919">
        <v>30.7</v>
      </c>
      <c r="J919" t="s">
        <v>33</v>
      </c>
      <c r="K919" t="s">
        <v>612</v>
      </c>
      <c r="L919" t="s">
        <v>140</v>
      </c>
      <c r="M919" t="s">
        <v>950</v>
      </c>
      <c r="N919" t="s">
        <v>71</v>
      </c>
      <c r="O919">
        <v>167</v>
      </c>
      <c r="P919" t="s">
        <v>105</v>
      </c>
      <c r="Q919">
        <v>1716</v>
      </c>
      <c r="R919">
        <v>1000</v>
      </c>
      <c r="S919" t="s">
        <v>73</v>
      </c>
      <c r="T919" t="s">
        <v>51</v>
      </c>
      <c r="U919" t="s">
        <v>39</v>
      </c>
      <c r="V919" t="s">
        <v>52</v>
      </c>
      <c r="W919" t="s">
        <v>52</v>
      </c>
      <c r="X919">
        <v>2024</v>
      </c>
      <c r="Y919" t="s">
        <v>312</v>
      </c>
      <c r="Z919" t="s">
        <v>83</v>
      </c>
    </row>
    <row r="920" spans="1:26">
      <c r="A920" t="s">
        <v>1899</v>
      </c>
      <c r="B920" t="s">
        <v>43</v>
      </c>
      <c r="C920" t="s">
        <v>28</v>
      </c>
      <c r="D920" t="s">
        <v>122</v>
      </c>
      <c r="E920" t="s">
        <v>202</v>
      </c>
      <c r="F920" t="s">
        <v>109</v>
      </c>
      <c r="G920" t="s">
        <v>58</v>
      </c>
      <c r="H920">
        <v>10.199999999999999</v>
      </c>
      <c r="I920">
        <v>7.6</v>
      </c>
      <c r="J920" t="s">
        <v>20</v>
      </c>
      <c r="K920" t="s">
        <v>1900</v>
      </c>
      <c r="L920" t="s">
        <v>126</v>
      </c>
      <c r="M920" t="s">
        <v>1215</v>
      </c>
      <c r="N920" t="s">
        <v>71</v>
      </c>
      <c r="O920">
        <v>46</v>
      </c>
      <c r="P920" t="s">
        <v>230</v>
      </c>
      <c r="Q920">
        <v>2251</v>
      </c>
      <c r="R920">
        <v>500</v>
      </c>
      <c r="S920" t="s">
        <v>90</v>
      </c>
      <c r="T920" t="s">
        <v>62</v>
      </c>
      <c r="U920" t="s">
        <v>39</v>
      </c>
      <c r="V920" t="s">
        <v>52</v>
      </c>
      <c r="W920" t="s">
        <v>52</v>
      </c>
      <c r="X920">
        <v>2022</v>
      </c>
      <c r="Y920" t="s">
        <v>91</v>
      </c>
      <c r="Z920" t="s">
        <v>64</v>
      </c>
    </row>
    <row r="921" spans="1:26">
      <c r="A921" t="s">
        <v>1901</v>
      </c>
      <c r="B921" t="s">
        <v>66</v>
      </c>
      <c r="C921" t="s">
        <v>76</v>
      </c>
      <c r="D921" t="s">
        <v>77</v>
      </c>
      <c r="E921" t="s">
        <v>216</v>
      </c>
      <c r="F921" t="s">
        <v>238</v>
      </c>
      <c r="G921" t="s">
        <v>58</v>
      </c>
      <c r="H921">
        <v>0.2</v>
      </c>
      <c r="I921">
        <v>1.4</v>
      </c>
      <c r="J921" t="s">
        <v>33</v>
      </c>
      <c r="K921" t="s">
        <v>787</v>
      </c>
      <c r="L921" t="s">
        <v>48</v>
      </c>
      <c r="M921" t="s">
        <v>879</v>
      </c>
      <c r="N921" t="s">
        <v>71</v>
      </c>
      <c r="O921">
        <v>87</v>
      </c>
      <c r="P921" t="s">
        <v>105</v>
      </c>
      <c r="Q921">
        <v>3271</v>
      </c>
      <c r="R921">
        <v>5000</v>
      </c>
      <c r="S921" t="s">
        <v>73</v>
      </c>
      <c r="T921" t="s">
        <v>38</v>
      </c>
      <c r="U921" t="s">
        <v>39</v>
      </c>
      <c r="V921" t="s">
        <v>52</v>
      </c>
      <c r="W921" t="s">
        <v>39</v>
      </c>
      <c r="X921">
        <v>2023</v>
      </c>
      <c r="Y921" t="s">
        <v>40</v>
      </c>
      <c r="Z921" t="s">
        <v>41</v>
      </c>
    </row>
    <row r="922" spans="1:26">
      <c r="A922" t="s">
        <v>1902</v>
      </c>
      <c r="B922" t="s">
        <v>27</v>
      </c>
      <c r="C922" t="s">
        <v>173</v>
      </c>
      <c r="D922" t="s">
        <v>77</v>
      </c>
      <c r="E922" t="s">
        <v>260</v>
      </c>
      <c r="F922" t="s">
        <v>160</v>
      </c>
      <c r="G922" t="s">
        <v>32</v>
      </c>
      <c r="H922">
        <v>3.8</v>
      </c>
      <c r="I922">
        <v>23.7</v>
      </c>
      <c r="J922" t="s">
        <v>33</v>
      </c>
      <c r="K922" t="s">
        <v>1903</v>
      </c>
      <c r="L922" t="s">
        <v>35</v>
      </c>
      <c r="M922" t="s">
        <v>345</v>
      </c>
      <c r="N922" t="s">
        <v>71</v>
      </c>
      <c r="O922">
        <v>162</v>
      </c>
      <c r="P922" t="s">
        <v>105</v>
      </c>
      <c r="Q922">
        <v>4226</v>
      </c>
      <c r="R922">
        <v>0</v>
      </c>
      <c r="S922" t="s">
        <v>113</v>
      </c>
      <c r="T922" t="s">
        <v>62</v>
      </c>
      <c r="U922" t="s">
        <v>52</v>
      </c>
      <c r="V922" t="s">
        <v>52</v>
      </c>
      <c r="W922" t="s">
        <v>52</v>
      </c>
      <c r="X922">
        <v>2022</v>
      </c>
      <c r="Y922" t="s">
        <v>74</v>
      </c>
      <c r="Z922" t="s">
        <v>54</v>
      </c>
    </row>
    <row r="923" spans="1:26">
      <c r="A923" t="s">
        <v>1904</v>
      </c>
      <c r="B923" t="s">
        <v>116</v>
      </c>
      <c r="C923" t="s">
        <v>67</v>
      </c>
      <c r="D923" t="s">
        <v>29</v>
      </c>
      <c r="E923" t="s">
        <v>195</v>
      </c>
      <c r="F923" t="s">
        <v>57</v>
      </c>
      <c r="G923" t="s">
        <v>32</v>
      </c>
      <c r="H923">
        <v>3.5</v>
      </c>
      <c r="I923">
        <v>21.9</v>
      </c>
      <c r="J923" t="s">
        <v>33</v>
      </c>
      <c r="K923" t="s">
        <v>342</v>
      </c>
      <c r="L923" t="s">
        <v>140</v>
      </c>
      <c r="M923" t="s">
        <v>706</v>
      </c>
      <c r="N923" t="s">
        <v>71</v>
      </c>
      <c r="O923">
        <v>39</v>
      </c>
      <c r="P923" t="s">
        <v>112</v>
      </c>
      <c r="Q923">
        <v>4876</v>
      </c>
      <c r="R923">
        <v>5000</v>
      </c>
      <c r="S923" t="s">
        <v>90</v>
      </c>
      <c r="T923" t="s">
        <v>38</v>
      </c>
      <c r="U923" t="s">
        <v>39</v>
      </c>
      <c r="V923" t="s">
        <v>52</v>
      </c>
      <c r="W923" t="s">
        <v>39</v>
      </c>
      <c r="X923">
        <v>2022</v>
      </c>
      <c r="Y923" t="s">
        <v>153</v>
      </c>
      <c r="Z923" t="s">
        <v>54</v>
      </c>
    </row>
    <row r="924" spans="1:26">
      <c r="A924" t="s">
        <v>1905</v>
      </c>
      <c r="B924" t="s">
        <v>66</v>
      </c>
      <c r="C924" t="s">
        <v>173</v>
      </c>
      <c r="D924" t="s">
        <v>77</v>
      </c>
      <c r="E924" t="s">
        <v>168</v>
      </c>
      <c r="F924" t="s">
        <v>109</v>
      </c>
      <c r="G924" t="s">
        <v>58</v>
      </c>
      <c r="H924">
        <v>7.7</v>
      </c>
      <c r="I924">
        <v>3.6</v>
      </c>
      <c r="J924" t="s">
        <v>144</v>
      </c>
      <c r="K924" t="s">
        <v>472</v>
      </c>
      <c r="L924" t="s">
        <v>126</v>
      </c>
      <c r="M924" t="s">
        <v>1906</v>
      </c>
      <c r="N924" t="s">
        <v>171</v>
      </c>
      <c r="O924">
        <v>97</v>
      </c>
      <c r="Q924">
        <v>0</v>
      </c>
      <c r="R924">
        <v>0</v>
      </c>
      <c r="T924" t="s">
        <v>62</v>
      </c>
      <c r="U924" t="s">
        <v>39</v>
      </c>
      <c r="V924" t="s">
        <v>39</v>
      </c>
      <c r="W924" t="s">
        <v>52</v>
      </c>
      <c r="X924">
        <v>2023</v>
      </c>
      <c r="Y924" t="s">
        <v>53</v>
      </c>
      <c r="Z924" t="s">
        <v>54</v>
      </c>
    </row>
    <row r="925" spans="1:26">
      <c r="A925" t="s">
        <v>1907</v>
      </c>
      <c r="B925" t="s">
        <v>93</v>
      </c>
      <c r="C925" t="s">
        <v>164</v>
      </c>
      <c r="D925" t="s">
        <v>77</v>
      </c>
      <c r="E925" t="s">
        <v>168</v>
      </c>
      <c r="F925" t="s">
        <v>31</v>
      </c>
      <c r="G925" t="s">
        <v>32</v>
      </c>
      <c r="H925">
        <v>4.5</v>
      </c>
      <c r="I925">
        <v>2.2000000000000002</v>
      </c>
      <c r="J925" t="s">
        <v>156</v>
      </c>
      <c r="K925" t="s">
        <v>224</v>
      </c>
      <c r="L925" t="s">
        <v>35</v>
      </c>
      <c r="M925" t="s">
        <v>127</v>
      </c>
      <c r="N925" t="s">
        <v>171</v>
      </c>
      <c r="O925">
        <v>59</v>
      </c>
      <c r="Q925">
        <v>0</v>
      </c>
      <c r="R925">
        <v>0</v>
      </c>
      <c r="T925" t="s">
        <v>62</v>
      </c>
      <c r="U925" t="s">
        <v>39</v>
      </c>
      <c r="V925" t="s">
        <v>52</v>
      </c>
      <c r="W925" t="s">
        <v>52</v>
      </c>
      <c r="X925">
        <v>2024</v>
      </c>
      <c r="Y925" t="s">
        <v>128</v>
      </c>
      <c r="Z925" t="s">
        <v>64</v>
      </c>
    </row>
    <row r="926" spans="1:26">
      <c r="A926" t="s">
        <v>1908</v>
      </c>
      <c r="B926" t="s">
        <v>108</v>
      </c>
      <c r="C926" t="s">
        <v>67</v>
      </c>
      <c r="D926" t="s">
        <v>77</v>
      </c>
      <c r="E926" t="s">
        <v>94</v>
      </c>
      <c r="F926" t="s">
        <v>238</v>
      </c>
      <c r="G926" t="s">
        <v>58</v>
      </c>
      <c r="H926">
        <v>7.3</v>
      </c>
      <c r="I926">
        <v>21.7</v>
      </c>
      <c r="J926" t="s">
        <v>33</v>
      </c>
      <c r="K926" t="s">
        <v>1909</v>
      </c>
      <c r="L926" t="s">
        <v>35</v>
      </c>
      <c r="M926" t="s">
        <v>1475</v>
      </c>
      <c r="N926" t="s">
        <v>100</v>
      </c>
      <c r="O926">
        <v>62</v>
      </c>
      <c r="Q926">
        <v>0</v>
      </c>
      <c r="R926">
        <v>0</v>
      </c>
      <c r="T926" t="s">
        <v>38</v>
      </c>
      <c r="U926" t="s">
        <v>39</v>
      </c>
      <c r="V926" t="s">
        <v>39</v>
      </c>
      <c r="W926" t="s">
        <v>39</v>
      </c>
      <c r="X926">
        <v>2023</v>
      </c>
      <c r="Y926" t="s">
        <v>312</v>
      </c>
      <c r="Z926" t="s">
        <v>83</v>
      </c>
    </row>
    <row r="927" spans="1:26">
      <c r="A927" t="s">
        <v>1910</v>
      </c>
      <c r="B927" t="s">
        <v>66</v>
      </c>
      <c r="C927" t="s">
        <v>164</v>
      </c>
      <c r="D927" t="s">
        <v>85</v>
      </c>
      <c r="E927" t="s">
        <v>402</v>
      </c>
      <c r="F927" t="s">
        <v>109</v>
      </c>
      <c r="G927" t="s">
        <v>32</v>
      </c>
      <c r="H927">
        <v>8.8000000000000007</v>
      </c>
      <c r="I927">
        <v>33.700000000000003</v>
      </c>
      <c r="J927" t="s">
        <v>144</v>
      </c>
      <c r="K927" t="s">
        <v>1801</v>
      </c>
      <c r="L927" t="s">
        <v>48</v>
      </c>
      <c r="M927" t="s">
        <v>127</v>
      </c>
      <c r="N927" t="s">
        <v>71</v>
      </c>
      <c r="O927">
        <v>32</v>
      </c>
      <c r="P927" t="s">
        <v>105</v>
      </c>
      <c r="Q927">
        <v>1571</v>
      </c>
      <c r="R927">
        <v>2000</v>
      </c>
      <c r="S927" t="s">
        <v>113</v>
      </c>
      <c r="T927" t="s">
        <v>136</v>
      </c>
      <c r="U927" t="s">
        <v>39</v>
      </c>
      <c r="V927" t="s">
        <v>52</v>
      </c>
      <c r="W927" t="s">
        <v>39</v>
      </c>
      <c r="X927">
        <v>2024</v>
      </c>
      <c r="Y927" t="s">
        <v>63</v>
      </c>
      <c r="Z927" t="s">
        <v>64</v>
      </c>
    </row>
    <row r="928" spans="1:26">
      <c r="A928" t="s">
        <v>1911</v>
      </c>
      <c r="B928" t="s">
        <v>66</v>
      </c>
      <c r="C928" t="s">
        <v>164</v>
      </c>
      <c r="D928" t="s">
        <v>85</v>
      </c>
      <c r="E928" t="s">
        <v>402</v>
      </c>
      <c r="F928" t="s">
        <v>109</v>
      </c>
      <c r="G928" t="s">
        <v>32</v>
      </c>
      <c r="H928">
        <v>4.9000000000000004</v>
      </c>
      <c r="I928">
        <v>23.9</v>
      </c>
      <c r="J928" t="s">
        <v>144</v>
      </c>
      <c r="K928" t="s">
        <v>767</v>
      </c>
      <c r="L928" t="s">
        <v>60</v>
      </c>
      <c r="M928" t="s">
        <v>165</v>
      </c>
      <c r="N928" t="s">
        <v>71</v>
      </c>
      <c r="O928">
        <v>40</v>
      </c>
      <c r="P928" t="s">
        <v>89</v>
      </c>
      <c r="Q928">
        <v>1079</v>
      </c>
      <c r="R928">
        <v>2000</v>
      </c>
      <c r="S928" t="s">
        <v>73</v>
      </c>
      <c r="T928" t="s">
        <v>81</v>
      </c>
      <c r="U928" t="s">
        <v>52</v>
      </c>
      <c r="V928" t="s">
        <v>52</v>
      </c>
      <c r="W928" t="s">
        <v>52</v>
      </c>
      <c r="X928">
        <v>2023</v>
      </c>
      <c r="Y928" t="s">
        <v>53</v>
      </c>
      <c r="Z928" t="s">
        <v>54</v>
      </c>
    </row>
    <row r="929" spans="1:26">
      <c r="A929" t="s">
        <v>1912</v>
      </c>
      <c r="B929" t="s">
        <v>116</v>
      </c>
      <c r="C929" t="s">
        <v>44</v>
      </c>
      <c r="D929" t="s">
        <v>122</v>
      </c>
      <c r="E929" t="s">
        <v>202</v>
      </c>
      <c r="F929" t="s">
        <v>160</v>
      </c>
      <c r="G929" t="s">
        <v>32</v>
      </c>
      <c r="H929">
        <v>3.1</v>
      </c>
      <c r="I929">
        <v>16.399999999999999</v>
      </c>
      <c r="J929" t="s">
        <v>33</v>
      </c>
      <c r="K929" t="s">
        <v>515</v>
      </c>
      <c r="L929" t="s">
        <v>60</v>
      </c>
      <c r="M929" t="s">
        <v>998</v>
      </c>
      <c r="N929" t="s">
        <v>71</v>
      </c>
      <c r="O929">
        <v>55</v>
      </c>
      <c r="P929" t="s">
        <v>72</v>
      </c>
      <c r="Q929">
        <v>1768</v>
      </c>
      <c r="R929">
        <v>5000</v>
      </c>
      <c r="S929" t="s">
        <v>152</v>
      </c>
      <c r="T929" t="s">
        <v>38</v>
      </c>
      <c r="U929" t="s">
        <v>39</v>
      </c>
      <c r="V929" t="s">
        <v>52</v>
      </c>
      <c r="W929" t="s">
        <v>52</v>
      </c>
      <c r="X929">
        <v>2024</v>
      </c>
      <c r="Y929" t="s">
        <v>153</v>
      </c>
      <c r="Z929" t="s">
        <v>54</v>
      </c>
    </row>
    <row r="930" spans="1:26">
      <c r="A930" t="s">
        <v>1913</v>
      </c>
      <c r="B930" t="s">
        <v>93</v>
      </c>
      <c r="C930" t="s">
        <v>44</v>
      </c>
      <c r="D930" t="s">
        <v>122</v>
      </c>
      <c r="E930" t="s">
        <v>155</v>
      </c>
      <c r="F930" t="s">
        <v>160</v>
      </c>
      <c r="G930" t="s">
        <v>32</v>
      </c>
      <c r="H930">
        <v>8.1</v>
      </c>
      <c r="I930">
        <v>16.7</v>
      </c>
      <c r="J930" t="s">
        <v>20</v>
      </c>
      <c r="K930" t="s">
        <v>1914</v>
      </c>
      <c r="L930" t="s">
        <v>140</v>
      </c>
      <c r="M930" t="s">
        <v>1400</v>
      </c>
      <c r="N930" t="s">
        <v>37</v>
      </c>
      <c r="O930">
        <v>76</v>
      </c>
      <c r="Q930">
        <v>0</v>
      </c>
      <c r="R930">
        <v>0</v>
      </c>
      <c r="T930" t="s">
        <v>62</v>
      </c>
      <c r="U930" t="s">
        <v>39</v>
      </c>
      <c r="V930" t="s">
        <v>39</v>
      </c>
      <c r="W930" t="s">
        <v>39</v>
      </c>
      <c r="X930">
        <v>2023</v>
      </c>
      <c r="Y930" t="s">
        <v>106</v>
      </c>
      <c r="Z930" t="s">
        <v>83</v>
      </c>
    </row>
    <row r="931" spans="1:26">
      <c r="A931" t="s">
        <v>1915</v>
      </c>
      <c r="B931" t="s">
        <v>27</v>
      </c>
      <c r="C931" t="s">
        <v>76</v>
      </c>
      <c r="D931" t="s">
        <v>122</v>
      </c>
      <c r="E931" t="s">
        <v>148</v>
      </c>
      <c r="F931" t="s">
        <v>46</v>
      </c>
      <c r="G931" t="s">
        <v>58</v>
      </c>
      <c r="H931">
        <v>8.6999999999999993</v>
      </c>
      <c r="I931">
        <v>5.0999999999999996</v>
      </c>
      <c r="J931" t="s">
        <v>33</v>
      </c>
      <c r="K931" t="s">
        <v>1916</v>
      </c>
      <c r="L931" t="s">
        <v>98</v>
      </c>
      <c r="M931" t="s">
        <v>127</v>
      </c>
      <c r="N931" t="s">
        <v>71</v>
      </c>
      <c r="O931">
        <v>133</v>
      </c>
      <c r="P931" t="s">
        <v>230</v>
      </c>
      <c r="Q931">
        <v>1628</v>
      </c>
      <c r="R931">
        <v>0</v>
      </c>
      <c r="S931" t="s">
        <v>152</v>
      </c>
      <c r="T931" t="s">
        <v>81</v>
      </c>
      <c r="U931" t="s">
        <v>39</v>
      </c>
      <c r="V931" t="s">
        <v>39</v>
      </c>
      <c r="W931" t="s">
        <v>52</v>
      </c>
      <c r="X931">
        <v>2024</v>
      </c>
      <c r="Y931" t="s">
        <v>91</v>
      </c>
      <c r="Z931" t="s">
        <v>64</v>
      </c>
    </row>
    <row r="932" spans="1:26">
      <c r="A932" t="s">
        <v>1917</v>
      </c>
      <c r="B932" t="s">
        <v>66</v>
      </c>
      <c r="C932" t="s">
        <v>102</v>
      </c>
      <c r="D932" t="s">
        <v>122</v>
      </c>
      <c r="E932" t="s">
        <v>148</v>
      </c>
      <c r="F932" t="s">
        <v>68</v>
      </c>
      <c r="G932" t="s">
        <v>58</v>
      </c>
      <c r="H932">
        <v>10.6</v>
      </c>
      <c r="I932">
        <v>4.7</v>
      </c>
      <c r="J932" t="s">
        <v>33</v>
      </c>
      <c r="K932" t="s">
        <v>1918</v>
      </c>
      <c r="L932" t="s">
        <v>35</v>
      </c>
      <c r="M932" t="s">
        <v>127</v>
      </c>
      <c r="N932" t="s">
        <v>171</v>
      </c>
      <c r="O932">
        <v>66</v>
      </c>
      <c r="Q932">
        <v>0</v>
      </c>
      <c r="R932">
        <v>0</v>
      </c>
      <c r="T932" t="s">
        <v>62</v>
      </c>
      <c r="U932" t="s">
        <v>52</v>
      </c>
      <c r="V932" t="s">
        <v>52</v>
      </c>
      <c r="W932" t="s">
        <v>52</v>
      </c>
      <c r="X932">
        <v>2024</v>
      </c>
      <c r="Y932" t="s">
        <v>63</v>
      </c>
      <c r="Z932" t="s">
        <v>64</v>
      </c>
    </row>
    <row r="933" spans="1:26">
      <c r="A933" t="s">
        <v>1919</v>
      </c>
      <c r="B933" t="s">
        <v>43</v>
      </c>
      <c r="C933" t="s">
        <v>121</v>
      </c>
      <c r="D933" t="s">
        <v>29</v>
      </c>
      <c r="E933" t="s">
        <v>244</v>
      </c>
      <c r="F933" t="s">
        <v>124</v>
      </c>
      <c r="G933" t="s">
        <v>58</v>
      </c>
      <c r="H933">
        <v>7.2</v>
      </c>
      <c r="I933">
        <v>22.3</v>
      </c>
      <c r="J933" t="s">
        <v>144</v>
      </c>
      <c r="K933" t="s">
        <v>1920</v>
      </c>
      <c r="L933" t="s">
        <v>98</v>
      </c>
      <c r="M933" t="s">
        <v>391</v>
      </c>
      <c r="N933" t="s">
        <v>37</v>
      </c>
      <c r="O933">
        <v>156</v>
      </c>
      <c r="Q933">
        <v>0</v>
      </c>
      <c r="R933">
        <v>0</v>
      </c>
      <c r="T933" t="s">
        <v>51</v>
      </c>
      <c r="U933" t="s">
        <v>39</v>
      </c>
      <c r="V933" t="s">
        <v>39</v>
      </c>
      <c r="W933" t="s">
        <v>52</v>
      </c>
      <c r="X933">
        <v>2022</v>
      </c>
      <c r="Y933" t="s">
        <v>74</v>
      </c>
      <c r="Z933" t="s">
        <v>54</v>
      </c>
    </row>
    <row r="934" spans="1:26">
      <c r="A934" t="s">
        <v>1921</v>
      </c>
      <c r="B934" t="s">
        <v>27</v>
      </c>
      <c r="C934" t="s">
        <v>44</v>
      </c>
      <c r="D934" t="s">
        <v>77</v>
      </c>
      <c r="E934" t="s">
        <v>143</v>
      </c>
      <c r="F934" t="s">
        <v>109</v>
      </c>
      <c r="G934" t="s">
        <v>58</v>
      </c>
      <c r="H934">
        <v>11.9</v>
      </c>
      <c r="I934">
        <v>3.8</v>
      </c>
      <c r="J934" t="s">
        <v>33</v>
      </c>
      <c r="K934" t="s">
        <v>1196</v>
      </c>
      <c r="L934" t="s">
        <v>48</v>
      </c>
      <c r="M934" t="s">
        <v>372</v>
      </c>
      <c r="N934" t="s">
        <v>50</v>
      </c>
      <c r="O934">
        <v>157</v>
      </c>
      <c r="Q934">
        <v>0</v>
      </c>
      <c r="R934">
        <v>500</v>
      </c>
      <c r="T934" t="s">
        <v>81</v>
      </c>
      <c r="U934" t="s">
        <v>39</v>
      </c>
      <c r="V934" t="s">
        <v>39</v>
      </c>
      <c r="W934" t="s">
        <v>39</v>
      </c>
      <c r="X934">
        <v>2022</v>
      </c>
      <c r="Y934" t="s">
        <v>153</v>
      </c>
      <c r="Z934" t="s">
        <v>54</v>
      </c>
    </row>
    <row r="935" spans="1:26">
      <c r="A935" t="s">
        <v>1922</v>
      </c>
      <c r="B935" t="s">
        <v>108</v>
      </c>
      <c r="C935" t="s">
        <v>67</v>
      </c>
      <c r="D935" t="s">
        <v>122</v>
      </c>
      <c r="E935" t="s">
        <v>130</v>
      </c>
      <c r="F935" t="s">
        <v>149</v>
      </c>
      <c r="G935" t="s">
        <v>32</v>
      </c>
      <c r="H935">
        <v>11.1</v>
      </c>
      <c r="I935">
        <v>8.9</v>
      </c>
      <c r="J935" t="s">
        <v>33</v>
      </c>
      <c r="K935" t="s">
        <v>99</v>
      </c>
      <c r="L935" t="s">
        <v>98</v>
      </c>
      <c r="M935" t="s">
        <v>578</v>
      </c>
      <c r="N935" t="s">
        <v>71</v>
      </c>
      <c r="O935">
        <v>141</v>
      </c>
      <c r="P935" t="s">
        <v>72</v>
      </c>
      <c r="Q935">
        <v>2946</v>
      </c>
      <c r="R935">
        <v>1000</v>
      </c>
      <c r="S935" t="s">
        <v>73</v>
      </c>
      <c r="T935" t="s">
        <v>136</v>
      </c>
      <c r="U935" t="s">
        <v>39</v>
      </c>
      <c r="V935" t="s">
        <v>52</v>
      </c>
      <c r="W935" t="s">
        <v>52</v>
      </c>
      <c r="X935">
        <v>2022</v>
      </c>
      <c r="Y935" t="s">
        <v>211</v>
      </c>
      <c r="Z935" t="s">
        <v>41</v>
      </c>
    </row>
    <row r="936" spans="1:26">
      <c r="A936" t="s">
        <v>1923</v>
      </c>
      <c r="B936" t="s">
        <v>27</v>
      </c>
      <c r="C936" t="s">
        <v>173</v>
      </c>
      <c r="D936" t="s">
        <v>85</v>
      </c>
      <c r="E936" t="s">
        <v>402</v>
      </c>
      <c r="F936" t="s">
        <v>95</v>
      </c>
      <c r="G936" t="s">
        <v>32</v>
      </c>
      <c r="H936">
        <v>7.3</v>
      </c>
      <c r="I936">
        <v>28.4</v>
      </c>
      <c r="J936" t="s">
        <v>33</v>
      </c>
      <c r="K936" t="s">
        <v>655</v>
      </c>
      <c r="L936" t="s">
        <v>48</v>
      </c>
      <c r="M936" t="s">
        <v>1924</v>
      </c>
      <c r="N936" t="s">
        <v>71</v>
      </c>
      <c r="O936">
        <v>35</v>
      </c>
      <c r="P936" t="s">
        <v>112</v>
      </c>
      <c r="Q936">
        <v>812</v>
      </c>
      <c r="R936">
        <v>0</v>
      </c>
      <c r="S936" t="s">
        <v>90</v>
      </c>
      <c r="T936" t="s">
        <v>51</v>
      </c>
      <c r="U936" t="s">
        <v>39</v>
      </c>
      <c r="V936" t="s">
        <v>52</v>
      </c>
      <c r="W936" t="s">
        <v>52</v>
      </c>
      <c r="X936">
        <v>2023</v>
      </c>
      <c r="Y936" t="s">
        <v>63</v>
      </c>
      <c r="Z936" t="s">
        <v>64</v>
      </c>
    </row>
    <row r="937" spans="1:26">
      <c r="A937" t="s">
        <v>1925</v>
      </c>
      <c r="B937" t="s">
        <v>93</v>
      </c>
      <c r="C937" t="s">
        <v>67</v>
      </c>
      <c r="D937" t="s">
        <v>85</v>
      </c>
      <c r="E937" t="s">
        <v>208</v>
      </c>
      <c r="F937" t="s">
        <v>57</v>
      </c>
      <c r="G937" t="s">
        <v>58</v>
      </c>
      <c r="H937">
        <v>1</v>
      </c>
      <c r="I937">
        <v>16.100000000000001</v>
      </c>
      <c r="J937" t="s">
        <v>33</v>
      </c>
      <c r="K937" t="s">
        <v>392</v>
      </c>
      <c r="L937" t="s">
        <v>60</v>
      </c>
      <c r="M937" t="s">
        <v>1926</v>
      </c>
      <c r="N937" t="s">
        <v>37</v>
      </c>
      <c r="O937">
        <v>41</v>
      </c>
      <c r="Q937">
        <v>0</v>
      </c>
      <c r="R937">
        <v>0</v>
      </c>
      <c r="T937" t="s">
        <v>38</v>
      </c>
      <c r="U937" t="s">
        <v>39</v>
      </c>
      <c r="V937" t="s">
        <v>39</v>
      </c>
      <c r="W937" t="s">
        <v>52</v>
      </c>
      <c r="X937">
        <v>2022</v>
      </c>
      <c r="Y937" t="s">
        <v>63</v>
      </c>
      <c r="Z937" t="s">
        <v>64</v>
      </c>
    </row>
    <row r="938" spans="1:26">
      <c r="A938" t="s">
        <v>1927</v>
      </c>
      <c r="B938" t="s">
        <v>66</v>
      </c>
      <c r="C938" t="s">
        <v>76</v>
      </c>
      <c r="D938" t="s">
        <v>77</v>
      </c>
      <c r="E938" t="s">
        <v>260</v>
      </c>
      <c r="F938" t="s">
        <v>109</v>
      </c>
      <c r="G938" t="s">
        <v>58</v>
      </c>
      <c r="H938">
        <v>11.2</v>
      </c>
      <c r="I938">
        <v>15.3</v>
      </c>
      <c r="J938" t="s">
        <v>33</v>
      </c>
      <c r="K938" t="s">
        <v>1928</v>
      </c>
      <c r="L938" t="s">
        <v>98</v>
      </c>
      <c r="M938" t="s">
        <v>97</v>
      </c>
      <c r="N938" t="s">
        <v>37</v>
      </c>
      <c r="O938">
        <v>87</v>
      </c>
      <c r="Q938">
        <v>0</v>
      </c>
      <c r="R938">
        <v>1000</v>
      </c>
      <c r="T938" t="s">
        <v>81</v>
      </c>
      <c r="U938" t="s">
        <v>52</v>
      </c>
      <c r="V938" t="s">
        <v>39</v>
      </c>
      <c r="W938" t="s">
        <v>39</v>
      </c>
      <c r="X938">
        <v>2022</v>
      </c>
      <c r="Y938" t="s">
        <v>82</v>
      </c>
      <c r="Z938" t="s">
        <v>83</v>
      </c>
    </row>
    <row r="939" spans="1:26">
      <c r="A939" t="s">
        <v>1929</v>
      </c>
      <c r="B939" t="s">
        <v>116</v>
      </c>
      <c r="C939" t="s">
        <v>76</v>
      </c>
      <c r="D939" t="s">
        <v>77</v>
      </c>
      <c r="E939" t="s">
        <v>220</v>
      </c>
      <c r="F939" t="s">
        <v>57</v>
      </c>
      <c r="G939" t="s">
        <v>58</v>
      </c>
      <c r="H939">
        <v>4.7</v>
      </c>
      <c r="I939">
        <v>31</v>
      </c>
      <c r="J939" t="s">
        <v>156</v>
      </c>
      <c r="K939" t="s">
        <v>1139</v>
      </c>
      <c r="L939" t="s">
        <v>126</v>
      </c>
      <c r="M939" t="s">
        <v>127</v>
      </c>
      <c r="N939" t="s">
        <v>171</v>
      </c>
      <c r="O939">
        <v>53</v>
      </c>
      <c r="Q939">
        <v>0</v>
      </c>
      <c r="R939">
        <v>0</v>
      </c>
      <c r="T939" t="s">
        <v>38</v>
      </c>
      <c r="U939" t="s">
        <v>39</v>
      </c>
      <c r="V939" t="s">
        <v>52</v>
      </c>
      <c r="W939" t="s">
        <v>52</v>
      </c>
      <c r="X939">
        <v>2024</v>
      </c>
      <c r="Y939" t="s">
        <v>63</v>
      </c>
      <c r="Z939" t="s">
        <v>64</v>
      </c>
    </row>
    <row r="940" spans="1:26">
      <c r="A940" t="s">
        <v>1930</v>
      </c>
      <c r="B940" t="s">
        <v>27</v>
      </c>
      <c r="C940" t="s">
        <v>164</v>
      </c>
      <c r="D940" t="s">
        <v>29</v>
      </c>
      <c r="E940" t="s">
        <v>45</v>
      </c>
      <c r="F940" t="s">
        <v>57</v>
      </c>
      <c r="G940" t="s">
        <v>58</v>
      </c>
      <c r="H940">
        <v>4.3</v>
      </c>
      <c r="I940">
        <v>28.7</v>
      </c>
      <c r="J940" t="s">
        <v>144</v>
      </c>
      <c r="K940" t="s">
        <v>1872</v>
      </c>
      <c r="L940" t="s">
        <v>98</v>
      </c>
      <c r="M940" t="s">
        <v>1931</v>
      </c>
      <c r="N940" t="s">
        <v>171</v>
      </c>
      <c r="O940">
        <v>66</v>
      </c>
      <c r="Q940">
        <v>0</v>
      </c>
      <c r="R940">
        <v>0</v>
      </c>
      <c r="T940" t="s">
        <v>136</v>
      </c>
      <c r="U940" t="s">
        <v>52</v>
      </c>
      <c r="V940" t="s">
        <v>52</v>
      </c>
      <c r="W940" t="s">
        <v>52</v>
      </c>
      <c r="X940">
        <v>2023</v>
      </c>
      <c r="Y940" t="s">
        <v>312</v>
      </c>
      <c r="Z940" t="s">
        <v>83</v>
      </c>
    </row>
    <row r="941" spans="1:26">
      <c r="A941" t="s">
        <v>1932</v>
      </c>
      <c r="B941" t="s">
        <v>43</v>
      </c>
      <c r="C941" t="s">
        <v>173</v>
      </c>
      <c r="D941" t="s">
        <v>77</v>
      </c>
      <c r="E941" t="s">
        <v>363</v>
      </c>
      <c r="F941" t="s">
        <v>109</v>
      </c>
      <c r="G941" t="s">
        <v>58</v>
      </c>
      <c r="H941">
        <v>9</v>
      </c>
      <c r="I941">
        <v>1.9</v>
      </c>
      <c r="J941" t="s">
        <v>96</v>
      </c>
      <c r="K941" t="s">
        <v>1113</v>
      </c>
      <c r="L941" t="s">
        <v>140</v>
      </c>
      <c r="M941" t="s">
        <v>127</v>
      </c>
      <c r="N941" t="s">
        <v>61</v>
      </c>
      <c r="O941">
        <v>68</v>
      </c>
      <c r="Q941">
        <v>0</v>
      </c>
      <c r="R941">
        <v>0</v>
      </c>
      <c r="T941" t="s">
        <v>136</v>
      </c>
      <c r="U941" t="s">
        <v>39</v>
      </c>
      <c r="V941" t="s">
        <v>52</v>
      </c>
      <c r="W941" t="s">
        <v>52</v>
      </c>
      <c r="X941">
        <v>2024</v>
      </c>
      <c r="Y941" t="s">
        <v>63</v>
      </c>
      <c r="Z941" t="s">
        <v>64</v>
      </c>
    </row>
    <row r="942" spans="1:26">
      <c r="A942" t="s">
        <v>1933</v>
      </c>
      <c r="B942" t="s">
        <v>93</v>
      </c>
      <c r="C942" t="s">
        <v>28</v>
      </c>
      <c r="D942" t="s">
        <v>77</v>
      </c>
      <c r="E942" t="s">
        <v>78</v>
      </c>
      <c r="F942" t="s">
        <v>238</v>
      </c>
      <c r="G942" t="s">
        <v>58</v>
      </c>
      <c r="H942">
        <v>0.6</v>
      </c>
      <c r="I942">
        <v>8.6</v>
      </c>
      <c r="J942" t="s">
        <v>156</v>
      </c>
      <c r="K942" t="s">
        <v>1801</v>
      </c>
      <c r="L942" t="s">
        <v>60</v>
      </c>
      <c r="M942" t="s">
        <v>127</v>
      </c>
      <c r="N942" t="s">
        <v>100</v>
      </c>
      <c r="O942">
        <v>35</v>
      </c>
      <c r="Q942">
        <v>0</v>
      </c>
      <c r="R942">
        <v>0</v>
      </c>
      <c r="T942" t="s">
        <v>136</v>
      </c>
      <c r="U942" t="s">
        <v>39</v>
      </c>
      <c r="V942" t="s">
        <v>52</v>
      </c>
      <c r="W942" t="s">
        <v>39</v>
      </c>
      <c r="X942">
        <v>2024</v>
      </c>
      <c r="Y942" t="s">
        <v>63</v>
      </c>
      <c r="Z942" t="s">
        <v>64</v>
      </c>
    </row>
    <row r="943" spans="1:26">
      <c r="A943" t="s">
        <v>1934</v>
      </c>
      <c r="B943" t="s">
        <v>66</v>
      </c>
      <c r="C943" t="s">
        <v>121</v>
      </c>
      <c r="D943" t="s">
        <v>29</v>
      </c>
      <c r="E943" t="s">
        <v>56</v>
      </c>
      <c r="F943" t="s">
        <v>160</v>
      </c>
      <c r="G943" t="s">
        <v>58</v>
      </c>
      <c r="H943">
        <v>6.9</v>
      </c>
      <c r="I943">
        <v>32.799999999999997</v>
      </c>
      <c r="J943" t="s">
        <v>144</v>
      </c>
      <c r="K943" t="s">
        <v>1688</v>
      </c>
      <c r="L943" t="s">
        <v>140</v>
      </c>
      <c r="M943" t="s">
        <v>249</v>
      </c>
      <c r="N943" t="s">
        <v>61</v>
      </c>
      <c r="O943">
        <v>75</v>
      </c>
      <c r="Q943">
        <v>0</v>
      </c>
      <c r="R943">
        <v>0</v>
      </c>
      <c r="T943" t="s">
        <v>62</v>
      </c>
      <c r="U943" t="s">
        <v>52</v>
      </c>
      <c r="V943" t="s">
        <v>52</v>
      </c>
      <c r="W943" t="s">
        <v>52</v>
      </c>
      <c r="X943">
        <v>2022</v>
      </c>
      <c r="Y943" t="s">
        <v>53</v>
      </c>
      <c r="Z943" t="s">
        <v>54</v>
      </c>
    </row>
    <row r="944" spans="1:26">
      <c r="A944" t="s">
        <v>1935</v>
      </c>
      <c r="B944" t="s">
        <v>27</v>
      </c>
      <c r="C944" t="s">
        <v>44</v>
      </c>
      <c r="D944" t="s">
        <v>29</v>
      </c>
      <c r="E944" t="s">
        <v>195</v>
      </c>
      <c r="F944" t="s">
        <v>31</v>
      </c>
      <c r="G944" t="s">
        <v>58</v>
      </c>
      <c r="H944">
        <v>1.8</v>
      </c>
      <c r="I944">
        <v>27.5</v>
      </c>
      <c r="J944" t="s">
        <v>33</v>
      </c>
      <c r="K944" t="s">
        <v>1299</v>
      </c>
      <c r="L944" t="s">
        <v>60</v>
      </c>
      <c r="M944" t="s">
        <v>209</v>
      </c>
      <c r="N944" t="s">
        <v>61</v>
      </c>
      <c r="O944">
        <v>23</v>
      </c>
      <c r="Q944">
        <v>0</v>
      </c>
      <c r="R944">
        <v>0</v>
      </c>
      <c r="T944" t="s">
        <v>62</v>
      </c>
      <c r="U944" t="s">
        <v>39</v>
      </c>
      <c r="V944" t="s">
        <v>52</v>
      </c>
      <c r="W944" t="s">
        <v>39</v>
      </c>
      <c r="X944">
        <v>2024</v>
      </c>
      <c r="Y944" t="s">
        <v>40</v>
      </c>
      <c r="Z944" t="s">
        <v>41</v>
      </c>
    </row>
    <row r="945" spans="1:26">
      <c r="A945" t="s">
        <v>1936</v>
      </c>
      <c r="B945" t="s">
        <v>43</v>
      </c>
      <c r="C945" t="s">
        <v>173</v>
      </c>
      <c r="D945" t="s">
        <v>29</v>
      </c>
      <c r="E945" t="s">
        <v>56</v>
      </c>
      <c r="F945" t="s">
        <v>68</v>
      </c>
      <c r="G945" t="s">
        <v>32</v>
      </c>
      <c r="H945">
        <v>2.2999999999999998</v>
      </c>
      <c r="I945">
        <v>27.4</v>
      </c>
      <c r="J945" t="s">
        <v>144</v>
      </c>
      <c r="K945" t="s">
        <v>373</v>
      </c>
      <c r="L945" t="s">
        <v>140</v>
      </c>
      <c r="M945" t="s">
        <v>1548</v>
      </c>
      <c r="N945" t="s">
        <v>37</v>
      </c>
      <c r="O945">
        <v>45</v>
      </c>
      <c r="Q945">
        <v>0</v>
      </c>
      <c r="R945">
        <v>0</v>
      </c>
      <c r="T945" t="s">
        <v>62</v>
      </c>
      <c r="U945" t="s">
        <v>39</v>
      </c>
      <c r="V945" t="s">
        <v>52</v>
      </c>
      <c r="W945" t="s">
        <v>39</v>
      </c>
      <c r="X945">
        <v>2023</v>
      </c>
      <c r="Y945" t="s">
        <v>82</v>
      </c>
      <c r="Z945" t="s">
        <v>83</v>
      </c>
    </row>
    <row r="946" spans="1:26">
      <c r="A946" t="s">
        <v>1937</v>
      </c>
      <c r="B946" t="s">
        <v>66</v>
      </c>
      <c r="C946" t="s">
        <v>121</v>
      </c>
      <c r="D946" t="s">
        <v>29</v>
      </c>
      <c r="E946" t="s">
        <v>117</v>
      </c>
      <c r="F946" t="s">
        <v>68</v>
      </c>
      <c r="G946" t="s">
        <v>58</v>
      </c>
      <c r="H946">
        <v>5.0999999999999996</v>
      </c>
      <c r="I946">
        <v>31.3</v>
      </c>
      <c r="J946" t="s">
        <v>33</v>
      </c>
      <c r="K946" t="s">
        <v>1327</v>
      </c>
      <c r="L946" t="s">
        <v>140</v>
      </c>
      <c r="M946" t="s">
        <v>1359</v>
      </c>
      <c r="N946" t="s">
        <v>71</v>
      </c>
      <c r="O946">
        <v>102</v>
      </c>
      <c r="P946" t="s">
        <v>89</v>
      </c>
      <c r="Q946">
        <v>3372</v>
      </c>
      <c r="R946">
        <v>5000</v>
      </c>
      <c r="S946" t="s">
        <v>113</v>
      </c>
      <c r="T946" t="s">
        <v>51</v>
      </c>
      <c r="U946" t="s">
        <v>39</v>
      </c>
      <c r="V946" t="s">
        <v>52</v>
      </c>
      <c r="W946" t="s">
        <v>52</v>
      </c>
      <c r="X946">
        <v>2022</v>
      </c>
      <c r="Y946" t="s">
        <v>128</v>
      </c>
      <c r="Z946" t="s">
        <v>64</v>
      </c>
    </row>
    <row r="947" spans="1:26">
      <c r="A947" t="s">
        <v>1938</v>
      </c>
      <c r="B947" t="s">
        <v>43</v>
      </c>
      <c r="C947" t="s">
        <v>44</v>
      </c>
      <c r="D947" t="s">
        <v>29</v>
      </c>
      <c r="E947" t="s">
        <v>45</v>
      </c>
      <c r="F947" t="s">
        <v>46</v>
      </c>
      <c r="G947" t="s">
        <v>58</v>
      </c>
      <c r="H947">
        <v>10.7</v>
      </c>
      <c r="I947">
        <v>4.5999999999999996</v>
      </c>
      <c r="J947" t="s">
        <v>20</v>
      </c>
      <c r="K947" t="s">
        <v>1489</v>
      </c>
      <c r="L947" t="s">
        <v>48</v>
      </c>
      <c r="M947" t="s">
        <v>1939</v>
      </c>
      <c r="N947" t="s">
        <v>71</v>
      </c>
      <c r="O947">
        <v>73</v>
      </c>
      <c r="P947" t="s">
        <v>112</v>
      </c>
      <c r="Q947">
        <v>2911</v>
      </c>
      <c r="R947">
        <v>500</v>
      </c>
      <c r="S947" t="s">
        <v>152</v>
      </c>
      <c r="T947" t="s">
        <v>62</v>
      </c>
      <c r="U947" t="s">
        <v>39</v>
      </c>
      <c r="V947" t="s">
        <v>52</v>
      </c>
      <c r="W947" t="s">
        <v>52</v>
      </c>
      <c r="X947">
        <v>2022</v>
      </c>
      <c r="Y947" t="s">
        <v>82</v>
      </c>
      <c r="Z947" t="s">
        <v>83</v>
      </c>
    </row>
    <row r="948" spans="1:26">
      <c r="A948" t="s">
        <v>1940</v>
      </c>
      <c r="B948" t="s">
        <v>43</v>
      </c>
      <c r="C948" t="s">
        <v>76</v>
      </c>
      <c r="D948" t="s">
        <v>29</v>
      </c>
      <c r="E948" t="s">
        <v>195</v>
      </c>
      <c r="F948" t="s">
        <v>109</v>
      </c>
      <c r="G948" t="s">
        <v>32</v>
      </c>
      <c r="H948">
        <v>4.2</v>
      </c>
      <c r="I948">
        <v>22.2</v>
      </c>
      <c r="J948" t="s">
        <v>96</v>
      </c>
      <c r="K948" t="s">
        <v>829</v>
      </c>
      <c r="L948" t="s">
        <v>126</v>
      </c>
      <c r="M948" t="s">
        <v>1415</v>
      </c>
      <c r="N948" t="s">
        <v>100</v>
      </c>
      <c r="O948">
        <v>147</v>
      </c>
      <c r="Q948">
        <v>0</v>
      </c>
      <c r="R948">
        <v>0</v>
      </c>
      <c r="T948" t="s">
        <v>38</v>
      </c>
      <c r="U948" t="s">
        <v>39</v>
      </c>
      <c r="V948" t="s">
        <v>39</v>
      </c>
      <c r="W948" t="s">
        <v>52</v>
      </c>
      <c r="X948">
        <v>2024</v>
      </c>
      <c r="Y948" t="s">
        <v>82</v>
      </c>
      <c r="Z948" t="s">
        <v>83</v>
      </c>
    </row>
    <row r="949" spans="1:26">
      <c r="A949" t="s">
        <v>1941</v>
      </c>
      <c r="B949" t="s">
        <v>27</v>
      </c>
      <c r="C949" t="s">
        <v>173</v>
      </c>
      <c r="D949" t="s">
        <v>77</v>
      </c>
      <c r="E949" t="s">
        <v>260</v>
      </c>
      <c r="F949" t="s">
        <v>109</v>
      </c>
      <c r="G949" t="s">
        <v>32</v>
      </c>
      <c r="H949">
        <v>4.8</v>
      </c>
      <c r="I949">
        <v>5.6</v>
      </c>
      <c r="J949" t="s">
        <v>156</v>
      </c>
      <c r="K949" t="s">
        <v>1661</v>
      </c>
      <c r="L949" t="s">
        <v>35</v>
      </c>
      <c r="M949" t="s">
        <v>1364</v>
      </c>
      <c r="N949" t="s">
        <v>37</v>
      </c>
      <c r="O949">
        <v>65</v>
      </c>
      <c r="Q949">
        <v>0</v>
      </c>
      <c r="R949">
        <v>500</v>
      </c>
      <c r="T949" t="s">
        <v>38</v>
      </c>
      <c r="U949" t="s">
        <v>39</v>
      </c>
      <c r="V949" t="s">
        <v>52</v>
      </c>
      <c r="W949" t="s">
        <v>52</v>
      </c>
      <c r="X949">
        <v>2022</v>
      </c>
      <c r="Y949" t="s">
        <v>114</v>
      </c>
      <c r="Z949" t="s">
        <v>41</v>
      </c>
    </row>
    <row r="950" spans="1:26">
      <c r="A950" t="s">
        <v>1942</v>
      </c>
      <c r="B950" t="s">
        <v>116</v>
      </c>
      <c r="C950" t="s">
        <v>28</v>
      </c>
      <c r="D950" t="s">
        <v>77</v>
      </c>
      <c r="E950" t="s">
        <v>220</v>
      </c>
      <c r="F950" t="s">
        <v>57</v>
      </c>
      <c r="G950" t="s">
        <v>58</v>
      </c>
      <c r="H950">
        <v>10.9</v>
      </c>
      <c r="I950">
        <v>13.9</v>
      </c>
      <c r="J950" t="s">
        <v>33</v>
      </c>
      <c r="K950" t="s">
        <v>125</v>
      </c>
      <c r="L950" t="s">
        <v>35</v>
      </c>
      <c r="M950" t="s">
        <v>127</v>
      </c>
      <c r="N950" t="s">
        <v>100</v>
      </c>
      <c r="O950">
        <v>112</v>
      </c>
      <c r="Q950">
        <v>0</v>
      </c>
      <c r="R950">
        <v>0</v>
      </c>
      <c r="T950" t="s">
        <v>81</v>
      </c>
      <c r="U950" t="s">
        <v>39</v>
      </c>
      <c r="V950" t="s">
        <v>39</v>
      </c>
      <c r="W950" t="s">
        <v>39</v>
      </c>
      <c r="X950">
        <v>2024</v>
      </c>
      <c r="Y950" t="s">
        <v>128</v>
      </c>
      <c r="Z950" t="s">
        <v>64</v>
      </c>
    </row>
    <row r="951" spans="1:26">
      <c r="A951" t="s">
        <v>1943</v>
      </c>
      <c r="B951" t="s">
        <v>116</v>
      </c>
      <c r="C951" t="s">
        <v>67</v>
      </c>
      <c r="D951" t="s">
        <v>29</v>
      </c>
      <c r="E951" t="s">
        <v>117</v>
      </c>
      <c r="F951" t="s">
        <v>238</v>
      </c>
      <c r="G951" t="s">
        <v>32</v>
      </c>
      <c r="H951">
        <v>1.1000000000000001</v>
      </c>
      <c r="I951">
        <v>22.2</v>
      </c>
      <c r="J951" t="s">
        <v>144</v>
      </c>
      <c r="K951" t="s">
        <v>1715</v>
      </c>
      <c r="L951" t="s">
        <v>48</v>
      </c>
      <c r="M951" t="s">
        <v>127</v>
      </c>
      <c r="N951" t="s">
        <v>61</v>
      </c>
      <c r="O951">
        <v>15</v>
      </c>
      <c r="Q951">
        <v>0</v>
      </c>
      <c r="R951">
        <v>0</v>
      </c>
      <c r="T951" t="s">
        <v>62</v>
      </c>
      <c r="U951" t="s">
        <v>39</v>
      </c>
      <c r="V951" t="s">
        <v>52</v>
      </c>
      <c r="W951" t="s">
        <v>52</v>
      </c>
      <c r="X951">
        <v>2024</v>
      </c>
      <c r="Y951" t="s">
        <v>63</v>
      </c>
      <c r="Z951" t="s">
        <v>64</v>
      </c>
    </row>
    <row r="952" spans="1:26">
      <c r="A952" t="s">
        <v>1944</v>
      </c>
      <c r="B952" t="s">
        <v>108</v>
      </c>
      <c r="C952" t="s">
        <v>121</v>
      </c>
      <c r="D952" t="s">
        <v>85</v>
      </c>
      <c r="E952" t="s">
        <v>208</v>
      </c>
      <c r="F952" t="s">
        <v>31</v>
      </c>
      <c r="G952" t="s">
        <v>32</v>
      </c>
      <c r="H952">
        <v>3.3</v>
      </c>
      <c r="I952">
        <v>31.4</v>
      </c>
      <c r="J952" t="s">
        <v>144</v>
      </c>
      <c r="K952" t="s">
        <v>923</v>
      </c>
      <c r="L952" t="s">
        <v>48</v>
      </c>
      <c r="M952" t="s">
        <v>327</v>
      </c>
      <c r="N952" t="s">
        <v>37</v>
      </c>
      <c r="O952">
        <v>95</v>
      </c>
      <c r="Q952">
        <v>0</v>
      </c>
      <c r="R952">
        <v>500</v>
      </c>
      <c r="T952" t="s">
        <v>38</v>
      </c>
      <c r="U952" t="s">
        <v>52</v>
      </c>
      <c r="V952" t="s">
        <v>39</v>
      </c>
      <c r="W952" t="s">
        <v>52</v>
      </c>
      <c r="X952">
        <v>2022</v>
      </c>
      <c r="Y952" t="s">
        <v>74</v>
      </c>
      <c r="Z952" t="s">
        <v>54</v>
      </c>
    </row>
    <row r="953" spans="1:26">
      <c r="A953" t="s">
        <v>1945</v>
      </c>
      <c r="B953" t="s">
        <v>66</v>
      </c>
      <c r="C953" t="s">
        <v>121</v>
      </c>
      <c r="D953" t="s">
        <v>85</v>
      </c>
      <c r="E953" t="s">
        <v>208</v>
      </c>
      <c r="F953" t="s">
        <v>57</v>
      </c>
      <c r="G953" t="s">
        <v>58</v>
      </c>
      <c r="H953">
        <v>1.2</v>
      </c>
      <c r="I953">
        <v>30.6</v>
      </c>
      <c r="J953" t="s">
        <v>33</v>
      </c>
      <c r="K953" t="s">
        <v>1419</v>
      </c>
      <c r="L953" t="s">
        <v>140</v>
      </c>
      <c r="M953" t="s">
        <v>394</v>
      </c>
      <c r="N953" t="s">
        <v>71</v>
      </c>
      <c r="O953">
        <v>89</v>
      </c>
      <c r="P953" t="s">
        <v>105</v>
      </c>
      <c r="Q953">
        <v>2775</v>
      </c>
      <c r="R953">
        <v>5000</v>
      </c>
      <c r="S953" t="s">
        <v>73</v>
      </c>
      <c r="T953" t="s">
        <v>51</v>
      </c>
      <c r="U953" t="s">
        <v>39</v>
      </c>
      <c r="V953" t="s">
        <v>52</v>
      </c>
      <c r="W953" t="s">
        <v>52</v>
      </c>
      <c r="X953">
        <v>2022</v>
      </c>
      <c r="Y953" t="s">
        <v>91</v>
      </c>
      <c r="Z953" t="s">
        <v>64</v>
      </c>
    </row>
    <row r="954" spans="1:26">
      <c r="A954" t="s">
        <v>1946</v>
      </c>
      <c r="B954" t="s">
        <v>93</v>
      </c>
      <c r="C954" t="s">
        <v>67</v>
      </c>
      <c r="D954" t="s">
        <v>29</v>
      </c>
      <c r="E954" t="s">
        <v>45</v>
      </c>
      <c r="F954" t="s">
        <v>68</v>
      </c>
      <c r="G954" t="s">
        <v>58</v>
      </c>
      <c r="H954">
        <v>1.2</v>
      </c>
      <c r="I954">
        <v>5.0999999999999996</v>
      </c>
      <c r="J954" t="s">
        <v>33</v>
      </c>
      <c r="K954" t="s">
        <v>1083</v>
      </c>
      <c r="L954" t="s">
        <v>126</v>
      </c>
      <c r="M954" t="s">
        <v>1400</v>
      </c>
      <c r="N954" t="s">
        <v>50</v>
      </c>
      <c r="O954">
        <v>52</v>
      </c>
      <c r="Q954">
        <v>0</v>
      </c>
      <c r="R954">
        <v>0</v>
      </c>
      <c r="T954" t="s">
        <v>38</v>
      </c>
      <c r="U954" t="s">
        <v>52</v>
      </c>
      <c r="V954" t="s">
        <v>52</v>
      </c>
      <c r="W954" t="s">
        <v>39</v>
      </c>
      <c r="X954">
        <v>2023</v>
      </c>
      <c r="Y954" t="s">
        <v>82</v>
      </c>
      <c r="Z954" t="s">
        <v>83</v>
      </c>
    </row>
    <row r="955" spans="1:26">
      <c r="A955" t="s">
        <v>1947</v>
      </c>
      <c r="B955" t="s">
        <v>43</v>
      </c>
      <c r="C955" t="s">
        <v>44</v>
      </c>
      <c r="D955" t="s">
        <v>77</v>
      </c>
      <c r="E955" t="s">
        <v>220</v>
      </c>
      <c r="F955" t="s">
        <v>124</v>
      </c>
      <c r="G955" t="s">
        <v>32</v>
      </c>
      <c r="H955">
        <v>2</v>
      </c>
      <c r="I955">
        <v>13.6</v>
      </c>
      <c r="J955" t="s">
        <v>33</v>
      </c>
      <c r="K955" t="s">
        <v>1359</v>
      </c>
      <c r="L955" t="s">
        <v>126</v>
      </c>
      <c r="M955" t="s">
        <v>941</v>
      </c>
      <c r="N955" t="s">
        <v>71</v>
      </c>
      <c r="O955">
        <v>43</v>
      </c>
      <c r="P955" t="s">
        <v>112</v>
      </c>
      <c r="Q955">
        <v>3643</v>
      </c>
      <c r="R955">
        <v>1000</v>
      </c>
      <c r="S955" t="s">
        <v>152</v>
      </c>
      <c r="T955" t="s">
        <v>136</v>
      </c>
      <c r="U955" t="s">
        <v>39</v>
      </c>
      <c r="V955" t="s">
        <v>39</v>
      </c>
      <c r="W955" t="s">
        <v>52</v>
      </c>
      <c r="X955">
        <v>2023</v>
      </c>
      <c r="Y955" t="s">
        <v>82</v>
      </c>
      <c r="Z955" t="s">
        <v>83</v>
      </c>
    </row>
    <row r="956" spans="1:26">
      <c r="A956" t="s">
        <v>1948</v>
      </c>
      <c r="B956" t="s">
        <v>43</v>
      </c>
      <c r="C956" t="s">
        <v>67</v>
      </c>
      <c r="D956" t="s">
        <v>77</v>
      </c>
      <c r="E956" t="s">
        <v>143</v>
      </c>
      <c r="F956" t="s">
        <v>238</v>
      </c>
      <c r="G956" t="s">
        <v>58</v>
      </c>
      <c r="H956">
        <v>7.2</v>
      </c>
      <c r="I956">
        <v>25.5</v>
      </c>
      <c r="J956" t="s">
        <v>96</v>
      </c>
      <c r="K956" t="s">
        <v>1241</v>
      </c>
      <c r="L956" t="s">
        <v>126</v>
      </c>
      <c r="M956" t="s">
        <v>588</v>
      </c>
      <c r="N956" t="s">
        <v>61</v>
      </c>
      <c r="O956">
        <v>79</v>
      </c>
      <c r="Q956">
        <v>0</v>
      </c>
      <c r="R956">
        <v>0</v>
      </c>
      <c r="T956" t="s">
        <v>51</v>
      </c>
      <c r="U956" t="s">
        <v>39</v>
      </c>
      <c r="V956" t="s">
        <v>39</v>
      </c>
      <c r="W956" t="s">
        <v>52</v>
      </c>
      <c r="X956">
        <v>2023</v>
      </c>
      <c r="Y956" t="s">
        <v>211</v>
      </c>
      <c r="Z956" t="s">
        <v>41</v>
      </c>
    </row>
    <row r="957" spans="1:26">
      <c r="A957" t="s">
        <v>1949</v>
      </c>
      <c r="B957" t="s">
        <v>108</v>
      </c>
      <c r="C957" t="s">
        <v>121</v>
      </c>
      <c r="D957" t="s">
        <v>29</v>
      </c>
      <c r="E957" t="s">
        <v>56</v>
      </c>
      <c r="F957" t="s">
        <v>109</v>
      </c>
      <c r="G957" t="s">
        <v>58</v>
      </c>
      <c r="H957">
        <v>8.1999999999999993</v>
      </c>
      <c r="I957">
        <v>29.2</v>
      </c>
      <c r="J957" t="s">
        <v>33</v>
      </c>
      <c r="K957" t="s">
        <v>1939</v>
      </c>
      <c r="L957" t="s">
        <v>126</v>
      </c>
      <c r="M957" t="s">
        <v>549</v>
      </c>
      <c r="N957" t="s">
        <v>50</v>
      </c>
      <c r="O957">
        <v>61</v>
      </c>
      <c r="Q957">
        <v>0</v>
      </c>
      <c r="R957">
        <v>0</v>
      </c>
      <c r="T957" t="s">
        <v>136</v>
      </c>
      <c r="U957" t="s">
        <v>39</v>
      </c>
      <c r="V957" t="s">
        <v>39</v>
      </c>
      <c r="W957" t="s">
        <v>39</v>
      </c>
      <c r="X957">
        <v>2022</v>
      </c>
      <c r="Y957" t="s">
        <v>74</v>
      </c>
      <c r="Z957" t="s">
        <v>54</v>
      </c>
    </row>
    <row r="958" spans="1:26">
      <c r="A958" t="s">
        <v>1950</v>
      </c>
      <c r="B958" t="s">
        <v>108</v>
      </c>
      <c r="C958" t="s">
        <v>164</v>
      </c>
      <c r="D958" t="s">
        <v>77</v>
      </c>
      <c r="E958" t="s">
        <v>216</v>
      </c>
      <c r="F958" t="s">
        <v>31</v>
      </c>
      <c r="G958" t="s">
        <v>32</v>
      </c>
      <c r="H958">
        <v>2.4</v>
      </c>
      <c r="I958">
        <v>18.399999999999999</v>
      </c>
      <c r="J958" t="s">
        <v>156</v>
      </c>
      <c r="K958" t="s">
        <v>956</v>
      </c>
      <c r="L958" t="s">
        <v>126</v>
      </c>
      <c r="M958" t="s">
        <v>184</v>
      </c>
      <c r="N958" t="s">
        <v>71</v>
      </c>
      <c r="O958">
        <v>126</v>
      </c>
      <c r="P958" t="s">
        <v>105</v>
      </c>
      <c r="Q958">
        <v>3838</v>
      </c>
      <c r="R958">
        <v>2000</v>
      </c>
      <c r="S958" t="s">
        <v>90</v>
      </c>
      <c r="T958" t="s">
        <v>81</v>
      </c>
      <c r="U958" t="s">
        <v>52</v>
      </c>
      <c r="V958" t="s">
        <v>39</v>
      </c>
      <c r="W958" t="s">
        <v>52</v>
      </c>
      <c r="X958">
        <v>2022</v>
      </c>
      <c r="Y958" t="s">
        <v>40</v>
      </c>
      <c r="Z958" t="s">
        <v>41</v>
      </c>
    </row>
    <row r="959" spans="1:26">
      <c r="A959" t="s">
        <v>1951</v>
      </c>
      <c r="B959" t="s">
        <v>27</v>
      </c>
      <c r="C959" t="s">
        <v>121</v>
      </c>
      <c r="D959" t="s">
        <v>29</v>
      </c>
      <c r="E959" t="s">
        <v>195</v>
      </c>
      <c r="F959" t="s">
        <v>238</v>
      </c>
      <c r="G959" t="s">
        <v>32</v>
      </c>
      <c r="H959">
        <v>5</v>
      </c>
      <c r="I959">
        <v>12.2</v>
      </c>
      <c r="J959" t="s">
        <v>96</v>
      </c>
      <c r="K959" t="s">
        <v>1064</v>
      </c>
      <c r="L959" t="s">
        <v>98</v>
      </c>
      <c r="M959" t="s">
        <v>127</v>
      </c>
      <c r="N959" t="s">
        <v>171</v>
      </c>
      <c r="O959">
        <v>46</v>
      </c>
      <c r="Q959">
        <v>0</v>
      </c>
      <c r="R959">
        <v>0</v>
      </c>
      <c r="T959" t="s">
        <v>62</v>
      </c>
      <c r="U959" t="s">
        <v>52</v>
      </c>
      <c r="V959" t="s">
        <v>52</v>
      </c>
      <c r="W959" t="s">
        <v>39</v>
      </c>
      <c r="X959">
        <v>2024</v>
      </c>
      <c r="Y959" t="s">
        <v>128</v>
      </c>
      <c r="Z959" t="s">
        <v>64</v>
      </c>
    </row>
    <row r="960" spans="1:26">
      <c r="A960" t="s">
        <v>1952</v>
      </c>
      <c r="B960" t="s">
        <v>43</v>
      </c>
      <c r="C960" t="s">
        <v>76</v>
      </c>
      <c r="D960" t="s">
        <v>77</v>
      </c>
      <c r="E960" t="s">
        <v>78</v>
      </c>
      <c r="F960" t="s">
        <v>46</v>
      </c>
      <c r="G960" t="s">
        <v>58</v>
      </c>
      <c r="H960">
        <v>10.8</v>
      </c>
      <c r="I960">
        <v>18.399999999999999</v>
      </c>
      <c r="J960" t="s">
        <v>144</v>
      </c>
      <c r="K960" t="s">
        <v>682</v>
      </c>
      <c r="L960" t="s">
        <v>140</v>
      </c>
      <c r="M960" t="s">
        <v>99</v>
      </c>
      <c r="N960" t="s">
        <v>50</v>
      </c>
      <c r="O960">
        <v>104</v>
      </c>
      <c r="Q960">
        <v>0</v>
      </c>
      <c r="R960">
        <v>0</v>
      </c>
      <c r="T960" t="s">
        <v>81</v>
      </c>
      <c r="U960" t="s">
        <v>39</v>
      </c>
      <c r="V960" t="s">
        <v>52</v>
      </c>
      <c r="W960" t="s">
        <v>52</v>
      </c>
      <c r="X960">
        <v>2022</v>
      </c>
      <c r="Y960" t="s">
        <v>53</v>
      </c>
      <c r="Z960" t="s">
        <v>54</v>
      </c>
    </row>
    <row r="961" spans="1:26">
      <c r="A961" t="s">
        <v>1953</v>
      </c>
      <c r="B961" t="s">
        <v>116</v>
      </c>
      <c r="C961" t="s">
        <v>67</v>
      </c>
      <c r="D961" t="s">
        <v>77</v>
      </c>
      <c r="E961" t="s">
        <v>363</v>
      </c>
      <c r="F961" t="s">
        <v>109</v>
      </c>
      <c r="G961" t="s">
        <v>32</v>
      </c>
      <c r="H961">
        <v>8.1999999999999993</v>
      </c>
      <c r="I961">
        <v>23.3</v>
      </c>
      <c r="J961" t="s">
        <v>33</v>
      </c>
      <c r="K961" t="s">
        <v>1954</v>
      </c>
      <c r="L961" t="s">
        <v>98</v>
      </c>
      <c r="M961" t="s">
        <v>1123</v>
      </c>
      <c r="N961" t="s">
        <v>71</v>
      </c>
      <c r="O961">
        <v>84</v>
      </c>
      <c r="P961" t="s">
        <v>72</v>
      </c>
      <c r="Q961">
        <v>3706</v>
      </c>
      <c r="R961">
        <v>500</v>
      </c>
      <c r="S961" t="s">
        <v>90</v>
      </c>
      <c r="T961" t="s">
        <v>62</v>
      </c>
      <c r="U961" t="s">
        <v>39</v>
      </c>
      <c r="V961" t="s">
        <v>52</v>
      </c>
      <c r="W961" t="s">
        <v>39</v>
      </c>
      <c r="X961">
        <v>2023</v>
      </c>
      <c r="Y961" t="s">
        <v>63</v>
      </c>
      <c r="Z961" t="s">
        <v>64</v>
      </c>
    </row>
    <row r="962" spans="1:26">
      <c r="A962" t="s">
        <v>1955</v>
      </c>
      <c r="B962" t="s">
        <v>27</v>
      </c>
      <c r="C962" t="s">
        <v>76</v>
      </c>
      <c r="D962" t="s">
        <v>29</v>
      </c>
      <c r="E962" t="s">
        <v>94</v>
      </c>
      <c r="F962" t="s">
        <v>109</v>
      </c>
      <c r="G962" t="s">
        <v>32</v>
      </c>
      <c r="H962">
        <v>4.8</v>
      </c>
      <c r="I962">
        <v>16.3</v>
      </c>
      <c r="J962" t="s">
        <v>33</v>
      </c>
      <c r="K962" t="s">
        <v>608</v>
      </c>
      <c r="L962" t="s">
        <v>126</v>
      </c>
      <c r="M962" t="s">
        <v>1094</v>
      </c>
      <c r="N962" t="s">
        <v>71</v>
      </c>
      <c r="O962">
        <v>19</v>
      </c>
      <c r="P962" t="s">
        <v>105</v>
      </c>
      <c r="Q962">
        <v>2840</v>
      </c>
      <c r="R962">
        <v>1000</v>
      </c>
      <c r="S962" t="s">
        <v>152</v>
      </c>
      <c r="T962" t="s">
        <v>62</v>
      </c>
      <c r="U962" t="s">
        <v>39</v>
      </c>
      <c r="V962" t="s">
        <v>39</v>
      </c>
      <c r="W962" t="s">
        <v>52</v>
      </c>
      <c r="X962">
        <v>2022</v>
      </c>
      <c r="Y962" t="s">
        <v>63</v>
      </c>
      <c r="Z962" t="s">
        <v>64</v>
      </c>
    </row>
    <row r="963" spans="1:26">
      <c r="A963" t="s">
        <v>1956</v>
      </c>
      <c r="B963" t="s">
        <v>66</v>
      </c>
      <c r="C963" t="s">
        <v>173</v>
      </c>
      <c r="D963" t="s">
        <v>77</v>
      </c>
      <c r="E963" t="s">
        <v>260</v>
      </c>
      <c r="F963" t="s">
        <v>109</v>
      </c>
      <c r="G963" t="s">
        <v>32</v>
      </c>
      <c r="H963">
        <v>11.7</v>
      </c>
      <c r="I963">
        <v>21.1</v>
      </c>
      <c r="J963" t="s">
        <v>156</v>
      </c>
      <c r="K963" t="s">
        <v>1957</v>
      </c>
      <c r="L963" t="s">
        <v>48</v>
      </c>
      <c r="M963" t="s">
        <v>1958</v>
      </c>
      <c r="N963" t="s">
        <v>37</v>
      </c>
      <c r="O963">
        <v>155</v>
      </c>
      <c r="Q963">
        <v>0</v>
      </c>
      <c r="R963">
        <v>1000</v>
      </c>
      <c r="T963" t="s">
        <v>51</v>
      </c>
      <c r="U963" t="s">
        <v>39</v>
      </c>
      <c r="V963" t="s">
        <v>52</v>
      </c>
      <c r="W963" t="s">
        <v>39</v>
      </c>
      <c r="X963">
        <v>2022</v>
      </c>
      <c r="Y963" t="s">
        <v>312</v>
      </c>
      <c r="Z963" t="s">
        <v>83</v>
      </c>
    </row>
    <row r="964" spans="1:26">
      <c r="A964" t="s">
        <v>1959</v>
      </c>
      <c r="B964" t="s">
        <v>93</v>
      </c>
      <c r="C964" t="s">
        <v>164</v>
      </c>
      <c r="D964" t="s">
        <v>29</v>
      </c>
      <c r="E964" t="s">
        <v>56</v>
      </c>
      <c r="F964" t="s">
        <v>124</v>
      </c>
      <c r="G964" t="s">
        <v>32</v>
      </c>
      <c r="H964">
        <v>8.4</v>
      </c>
      <c r="I964">
        <v>15.7</v>
      </c>
      <c r="J964" t="s">
        <v>144</v>
      </c>
      <c r="K964" t="s">
        <v>1809</v>
      </c>
      <c r="L964" t="s">
        <v>126</v>
      </c>
      <c r="M964" t="s">
        <v>689</v>
      </c>
      <c r="N964" t="s">
        <v>50</v>
      </c>
      <c r="O964">
        <v>116</v>
      </c>
      <c r="Q964">
        <v>0</v>
      </c>
      <c r="R964">
        <v>0</v>
      </c>
      <c r="T964" t="s">
        <v>136</v>
      </c>
      <c r="U964" t="s">
        <v>39</v>
      </c>
      <c r="V964" t="s">
        <v>52</v>
      </c>
      <c r="W964" t="s">
        <v>52</v>
      </c>
      <c r="X964">
        <v>2023</v>
      </c>
      <c r="Y964" t="s">
        <v>63</v>
      </c>
      <c r="Z964" t="s">
        <v>64</v>
      </c>
    </row>
    <row r="965" spans="1:26">
      <c r="A965" t="s">
        <v>1960</v>
      </c>
      <c r="B965" t="s">
        <v>108</v>
      </c>
      <c r="C965" t="s">
        <v>121</v>
      </c>
      <c r="D965" t="s">
        <v>77</v>
      </c>
      <c r="E965" t="s">
        <v>78</v>
      </c>
      <c r="F965" t="s">
        <v>57</v>
      </c>
      <c r="G965" t="s">
        <v>58</v>
      </c>
      <c r="H965">
        <v>7.6</v>
      </c>
      <c r="I965">
        <v>34.1</v>
      </c>
      <c r="J965" t="s">
        <v>96</v>
      </c>
      <c r="K965" t="s">
        <v>1411</v>
      </c>
      <c r="L965" t="s">
        <v>140</v>
      </c>
      <c r="M965" t="s">
        <v>1961</v>
      </c>
      <c r="N965" t="s">
        <v>71</v>
      </c>
      <c r="O965">
        <v>98</v>
      </c>
      <c r="P965" t="s">
        <v>105</v>
      </c>
      <c r="Q965">
        <v>3520</v>
      </c>
      <c r="R965">
        <v>2000</v>
      </c>
      <c r="S965" t="s">
        <v>90</v>
      </c>
      <c r="T965" t="s">
        <v>62</v>
      </c>
      <c r="U965" t="s">
        <v>52</v>
      </c>
      <c r="V965" t="s">
        <v>52</v>
      </c>
      <c r="W965" t="s">
        <v>52</v>
      </c>
      <c r="X965">
        <v>2023</v>
      </c>
      <c r="Y965" t="s">
        <v>40</v>
      </c>
      <c r="Z965" t="s">
        <v>41</v>
      </c>
    </row>
    <row r="966" spans="1:26">
      <c r="A966" t="s">
        <v>1962</v>
      </c>
      <c r="B966" t="s">
        <v>66</v>
      </c>
      <c r="C966" t="s">
        <v>67</v>
      </c>
      <c r="D966" t="s">
        <v>77</v>
      </c>
      <c r="E966" t="s">
        <v>260</v>
      </c>
      <c r="F966" t="s">
        <v>109</v>
      </c>
      <c r="G966" t="s">
        <v>58</v>
      </c>
      <c r="H966">
        <v>11.9</v>
      </c>
      <c r="I966">
        <v>1.8</v>
      </c>
      <c r="J966" t="s">
        <v>144</v>
      </c>
      <c r="K966" t="s">
        <v>890</v>
      </c>
      <c r="L966" t="s">
        <v>98</v>
      </c>
      <c r="M966" t="s">
        <v>127</v>
      </c>
      <c r="N966" t="s">
        <v>37</v>
      </c>
      <c r="O966">
        <v>148</v>
      </c>
      <c r="Q966">
        <v>0</v>
      </c>
      <c r="R966">
        <v>1000</v>
      </c>
      <c r="T966" t="s">
        <v>81</v>
      </c>
      <c r="U966" t="s">
        <v>39</v>
      </c>
      <c r="V966" t="s">
        <v>52</v>
      </c>
      <c r="W966" t="s">
        <v>39</v>
      </c>
      <c r="X966">
        <v>2024</v>
      </c>
      <c r="Y966" t="s">
        <v>128</v>
      </c>
      <c r="Z966" t="s">
        <v>64</v>
      </c>
    </row>
    <row r="967" spans="1:26">
      <c r="A967" t="s">
        <v>1963</v>
      </c>
      <c r="B967" t="s">
        <v>108</v>
      </c>
      <c r="C967" t="s">
        <v>76</v>
      </c>
      <c r="D967" t="s">
        <v>29</v>
      </c>
      <c r="E967" t="s">
        <v>30</v>
      </c>
      <c r="F967" t="s">
        <v>238</v>
      </c>
      <c r="G967" t="s">
        <v>58</v>
      </c>
      <c r="H967">
        <v>8.8000000000000007</v>
      </c>
      <c r="I967">
        <v>11.9</v>
      </c>
      <c r="J967" t="s">
        <v>33</v>
      </c>
      <c r="K967" t="s">
        <v>1008</v>
      </c>
      <c r="L967" t="s">
        <v>60</v>
      </c>
      <c r="M967" t="s">
        <v>664</v>
      </c>
      <c r="N967" t="s">
        <v>100</v>
      </c>
      <c r="O967">
        <v>100</v>
      </c>
      <c r="Q967">
        <v>0</v>
      </c>
      <c r="R967">
        <v>0</v>
      </c>
      <c r="T967" t="s">
        <v>62</v>
      </c>
      <c r="U967" t="s">
        <v>39</v>
      </c>
      <c r="V967" t="s">
        <v>52</v>
      </c>
      <c r="W967" t="s">
        <v>52</v>
      </c>
      <c r="X967">
        <v>2024</v>
      </c>
      <c r="Y967" t="s">
        <v>106</v>
      </c>
      <c r="Z967" t="s">
        <v>83</v>
      </c>
    </row>
    <row r="968" spans="1:26">
      <c r="A968" t="s">
        <v>1964</v>
      </c>
      <c r="B968" t="s">
        <v>43</v>
      </c>
      <c r="C968" t="s">
        <v>67</v>
      </c>
      <c r="D968" t="s">
        <v>122</v>
      </c>
      <c r="E968" t="s">
        <v>155</v>
      </c>
      <c r="F968" t="s">
        <v>31</v>
      </c>
      <c r="G968" t="s">
        <v>32</v>
      </c>
      <c r="H968">
        <v>5.6</v>
      </c>
      <c r="I968">
        <v>14.1</v>
      </c>
      <c r="J968" t="s">
        <v>33</v>
      </c>
      <c r="K968" t="s">
        <v>1965</v>
      </c>
      <c r="L968" t="s">
        <v>98</v>
      </c>
      <c r="M968" t="s">
        <v>1305</v>
      </c>
      <c r="N968" t="s">
        <v>100</v>
      </c>
      <c r="O968">
        <v>47</v>
      </c>
      <c r="Q968">
        <v>0</v>
      </c>
      <c r="R968">
        <v>0</v>
      </c>
      <c r="T968" t="s">
        <v>81</v>
      </c>
      <c r="U968" t="s">
        <v>39</v>
      </c>
      <c r="V968" t="s">
        <v>52</v>
      </c>
      <c r="W968" t="s">
        <v>52</v>
      </c>
      <c r="X968">
        <v>2023</v>
      </c>
      <c r="Y968" t="s">
        <v>53</v>
      </c>
      <c r="Z968" t="s">
        <v>54</v>
      </c>
    </row>
    <row r="969" spans="1:26">
      <c r="A969" t="s">
        <v>1966</v>
      </c>
      <c r="B969" t="s">
        <v>66</v>
      </c>
      <c r="C969" t="s">
        <v>67</v>
      </c>
      <c r="D969" t="s">
        <v>85</v>
      </c>
      <c r="E969" t="s">
        <v>208</v>
      </c>
      <c r="F969" t="s">
        <v>68</v>
      </c>
      <c r="G969" t="s">
        <v>32</v>
      </c>
      <c r="H969">
        <v>2.1</v>
      </c>
      <c r="I969">
        <v>3.2</v>
      </c>
      <c r="J969" t="s">
        <v>156</v>
      </c>
      <c r="K969" t="s">
        <v>373</v>
      </c>
      <c r="L969" t="s">
        <v>126</v>
      </c>
      <c r="M969" t="s">
        <v>587</v>
      </c>
      <c r="N969" t="s">
        <v>71</v>
      </c>
      <c r="O969">
        <v>140</v>
      </c>
      <c r="P969" t="s">
        <v>89</v>
      </c>
      <c r="Q969">
        <v>1893</v>
      </c>
      <c r="R969">
        <v>500</v>
      </c>
      <c r="S969" t="s">
        <v>152</v>
      </c>
      <c r="T969" t="s">
        <v>136</v>
      </c>
      <c r="U969" t="s">
        <v>39</v>
      </c>
      <c r="V969" t="s">
        <v>52</v>
      </c>
      <c r="W969" t="s">
        <v>52</v>
      </c>
      <c r="X969">
        <v>2023</v>
      </c>
      <c r="Y969" t="s">
        <v>82</v>
      </c>
      <c r="Z969" t="s">
        <v>83</v>
      </c>
    </row>
    <row r="970" spans="1:26">
      <c r="A970" t="s">
        <v>1967</v>
      </c>
      <c r="B970" t="s">
        <v>93</v>
      </c>
      <c r="C970" t="s">
        <v>28</v>
      </c>
      <c r="D970" t="s">
        <v>85</v>
      </c>
      <c r="E970" t="s">
        <v>138</v>
      </c>
      <c r="F970" t="s">
        <v>124</v>
      </c>
      <c r="G970" t="s">
        <v>58</v>
      </c>
      <c r="H970">
        <v>6.4</v>
      </c>
      <c r="I970">
        <v>27.5</v>
      </c>
      <c r="J970" t="s">
        <v>20</v>
      </c>
      <c r="K970" t="s">
        <v>176</v>
      </c>
      <c r="L970" t="s">
        <v>98</v>
      </c>
      <c r="M970" t="s">
        <v>875</v>
      </c>
      <c r="N970" t="s">
        <v>37</v>
      </c>
      <c r="O970">
        <v>178</v>
      </c>
      <c r="Q970">
        <v>0</v>
      </c>
      <c r="R970">
        <v>500</v>
      </c>
      <c r="T970" t="s">
        <v>136</v>
      </c>
      <c r="U970" t="s">
        <v>39</v>
      </c>
      <c r="V970" t="s">
        <v>52</v>
      </c>
      <c r="W970" t="s">
        <v>39</v>
      </c>
      <c r="X970">
        <v>2023</v>
      </c>
      <c r="Y970" t="s">
        <v>312</v>
      </c>
      <c r="Z970" t="s">
        <v>83</v>
      </c>
    </row>
    <row r="971" spans="1:26">
      <c r="A971" t="s">
        <v>1968</v>
      </c>
      <c r="B971" t="s">
        <v>108</v>
      </c>
      <c r="C971" t="s">
        <v>173</v>
      </c>
      <c r="D971" t="s">
        <v>77</v>
      </c>
      <c r="E971" t="s">
        <v>168</v>
      </c>
      <c r="F971" t="s">
        <v>160</v>
      </c>
      <c r="G971" t="s">
        <v>58</v>
      </c>
      <c r="H971">
        <v>0.3</v>
      </c>
      <c r="I971">
        <v>11.6</v>
      </c>
      <c r="J971" t="s">
        <v>33</v>
      </c>
      <c r="K971" t="s">
        <v>870</v>
      </c>
      <c r="L971" t="s">
        <v>48</v>
      </c>
      <c r="M971" t="s">
        <v>279</v>
      </c>
      <c r="N971" t="s">
        <v>171</v>
      </c>
      <c r="O971">
        <v>144</v>
      </c>
      <c r="Q971">
        <v>0</v>
      </c>
      <c r="R971">
        <v>0</v>
      </c>
      <c r="T971" t="s">
        <v>51</v>
      </c>
      <c r="U971" t="s">
        <v>39</v>
      </c>
      <c r="V971" t="s">
        <v>52</v>
      </c>
      <c r="W971" t="s">
        <v>39</v>
      </c>
      <c r="X971">
        <v>2024</v>
      </c>
      <c r="Y971" t="s">
        <v>312</v>
      </c>
      <c r="Z971" t="s">
        <v>83</v>
      </c>
    </row>
    <row r="972" spans="1:26">
      <c r="A972" t="s">
        <v>1969</v>
      </c>
      <c r="B972" t="s">
        <v>43</v>
      </c>
      <c r="C972" t="s">
        <v>173</v>
      </c>
      <c r="D972" t="s">
        <v>29</v>
      </c>
      <c r="E972" t="s">
        <v>117</v>
      </c>
      <c r="F972" t="s">
        <v>238</v>
      </c>
      <c r="G972" t="s">
        <v>58</v>
      </c>
      <c r="H972">
        <v>10</v>
      </c>
      <c r="I972">
        <v>12</v>
      </c>
      <c r="J972" t="s">
        <v>96</v>
      </c>
      <c r="K972" t="s">
        <v>1764</v>
      </c>
      <c r="L972" t="s">
        <v>60</v>
      </c>
      <c r="M972" t="s">
        <v>778</v>
      </c>
      <c r="N972" t="s">
        <v>71</v>
      </c>
      <c r="O972">
        <v>43</v>
      </c>
      <c r="P972" t="s">
        <v>89</v>
      </c>
      <c r="Q972">
        <v>2315</v>
      </c>
      <c r="R972">
        <v>1000</v>
      </c>
      <c r="S972" t="s">
        <v>90</v>
      </c>
      <c r="T972" t="s">
        <v>51</v>
      </c>
      <c r="U972" t="s">
        <v>39</v>
      </c>
      <c r="V972" t="s">
        <v>52</v>
      </c>
      <c r="W972" t="s">
        <v>52</v>
      </c>
      <c r="X972">
        <v>2024</v>
      </c>
      <c r="Y972" t="s">
        <v>114</v>
      </c>
      <c r="Z972" t="s">
        <v>41</v>
      </c>
    </row>
    <row r="973" spans="1:26">
      <c r="A973" t="s">
        <v>1970</v>
      </c>
      <c r="B973" t="s">
        <v>27</v>
      </c>
      <c r="C973" t="s">
        <v>102</v>
      </c>
      <c r="D973" t="s">
        <v>77</v>
      </c>
      <c r="E973" t="s">
        <v>143</v>
      </c>
      <c r="F973" t="s">
        <v>57</v>
      </c>
      <c r="G973" t="s">
        <v>32</v>
      </c>
      <c r="H973">
        <v>2.7</v>
      </c>
      <c r="I973">
        <v>6.5</v>
      </c>
      <c r="J973" t="s">
        <v>156</v>
      </c>
      <c r="K973" t="s">
        <v>291</v>
      </c>
      <c r="L973" t="s">
        <v>140</v>
      </c>
      <c r="M973" t="s">
        <v>1074</v>
      </c>
      <c r="N973" t="s">
        <v>37</v>
      </c>
      <c r="O973">
        <v>84</v>
      </c>
      <c r="Q973">
        <v>0</v>
      </c>
      <c r="R973">
        <v>0</v>
      </c>
      <c r="T973" t="s">
        <v>38</v>
      </c>
      <c r="U973" t="s">
        <v>39</v>
      </c>
      <c r="V973" t="s">
        <v>52</v>
      </c>
      <c r="W973" t="s">
        <v>52</v>
      </c>
      <c r="X973">
        <v>2023</v>
      </c>
      <c r="Y973" t="s">
        <v>128</v>
      </c>
      <c r="Z973" t="s">
        <v>64</v>
      </c>
    </row>
    <row r="974" spans="1:26">
      <c r="A974" t="s">
        <v>1971</v>
      </c>
      <c r="B974" t="s">
        <v>66</v>
      </c>
      <c r="C974" t="s">
        <v>28</v>
      </c>
      <c r="D974" t="s">
        <v>122</v>
      </c>
      <c r="E974" t="s">
        <v>123</v>
      </c>
      <c r="F974" t="s">
        <v>160</v>
      </c>
      <c r="G974" t="s">
        <v>58</v>
      </c>
      <c r="H974">
        <v>11.4</v>
      </c>
      <c r="I974">
        <v>5.7</v>
      </c>
      <c r="J974" t="s">
        <v>33</v>
      </c>
      <c r="K974" t="s">
        <v>1339</v>
      </c>
      <c r="L974" t="s">
        <v>60</v>
      </c>
      <c r="M974" t="s">
        <v>1493</v>
      </c>
      <c r="N974" t="s">
        <v>61</v>
      </c>
      <c r="O974">
        <v>159</v>
      </c>
      <c r="Q974">
        <v>0</v>
      </c>
      <c r="R974">
        <v>0</v>
      </c>
      <c r="T974" t="s">
        <v>81</v>
      </c>
      <c r="U974" t="s">
        <v>52</v>
      </c>
      <c r="V974" t="s">
        <v>52</v>
      </c>
      <c r="W974" t="s">
        <v>39</v>
      </c>
      <c r="X974">
        <v>2022</v>
      </c>
      <c r="Y974" t="s">
        <v>82</v>
      </c>
      <c r="Z974" t="s">
        <v>83</v>
      </c>
    </row>
    <row r="975" spans="1:26">
      <c r="A975" t="s">
        <v>1972</v>
      </c>
      <c r="B975" t="s">
        <v>27</v>
      </c>
      <c r="C975" t="s">
        <v>67</v>
      </c>
      <c r="D975" t="s">
        <v>77</v>
      </c>
      <c r="E975" t="s">
        <v>78</v>
      </c>
      <c r="F975" t="s">
        <v>57</v>
      </c>
      <c r="G975" t="s">
        <v>58</v>
      </c>
      <c r="H975">
        <v>3.3</v>
      </c>
      <c r="I975">
        <v>5</v>
      </c>
      <c r="J975" t="s">
        <v>33</v>
      </c>
      <c r="K975" t="s">
        <v>1973</v>
      </c>
      <c r="L975" t="s">
        <v>60</v>
      </c>
      <c r="M975" t="s">
        <v>1900</v>
      </c>
      <c r="N975" t="s">
        <v>71</v>
      </c>
      <c r="O975">
        <v>155</v>
      </c>
      <c r="P975" t="s">
        <v>105</v>
      </c>
      <c r="Q975">
        <v>6915</v>
      </c>
      <c r="R975">
        <v>0</v>
      </c>
      <c r="S975" t="s">
        <v>90</v>
      </c>
      <c r="T975" t="s">
        <v>136</v>
      </c>
      <c r="U975" t="s">
        <v>39</v>
      </c>
      <c r="V975" t="s">
        <v>52</v>
      </c>
      <c r="W975" t="s">
        <v>52</v>
      </c>
      <c r="X975">
        <v>2022</v>
      </c>
      <c r="Y975" t="s">
        <v>53</v>
      </c>
      <c r="Z975" t="s">
        <v>54</v>
      </c>
    </row>
    <row r="976" spans="1:26">
      <c r="A976" t="s">
        <v>1974</v>
      </c>
      <c r="B976" t="s">
        <v>66</v>
      </c>
      <c r="C976" t="s">
        <v>173</v>
      </c>
      <c r="D976" t="s">
        <v>77</v>
      </c>
      <c r="E976" t="s">
        <v>78</v>
      </c>
      <c r="F976" t="s">
        <v>109</v>
      </c>
      <c r="G976" t="s">
        <v>32</v>
      </c>
      <c r="H976">
        <v>8.5</v>
      </c>
      <c r="I976">
        <v>18.100000000000001</v>
      </c>
      <c r="J976" t="s">
        <v>156</v>
      </c>
      <c r="K976" t="s">
        <v>614</v>
      </c>
      <c r="L976" t="s">
        <v>140</v>
      </c>
      <c r="M976" t="s">
        <v>1007</v>
      </c>
      <c r="N976" t="s">
        <v>71</v>
      </c>
      <c r="O976">
        <v>77</v>
      </c>
      <c r="P976" t="s">
        <v>112</v>
      </c>
      <c r="Q976">
        <v>4132</v>
      </c>
      <c r="R976">
        <v>500</v>
      </c>
      <c r="S976" t="s">
        <v>152</v>
      </c>
      <c r="T976" t="s">
        <v>51</v>
      </c>
      <c r="U976" t="s">
        <v>39</v>
      </c>
      <c r="V976" t="s">
        <v>39</v>
      </c>
      <c r="W976" t="s">
        <v>52</v>
      </c>
      <c r="X976">
        <v>2023</v>
      </c>
      <c r="Y976" t="s">
        <v>40</v>
      </c>
      <c r="Z976" t="s">
        <v>41</v>
      </c>
    </row>
    <row r="977" spans="1:26">
      <c r="A977" t="s">
        <v>1975</v>
      </c>
      <c r="B977" t="s">
        <v>116</v>
      </c>
      <c r="C977" t="s">
        <v>76</v>
      </c>
      <c r="D977" t="s">
        <v>29</v>
      </c>
      <c r="E977" t="s">
        <v>244</v>
      </c>
      <c r="F977" t="s">
        <v>238</v>
      </c>
      <c r="G977" t="s">
        <v>58</v>
      </c>
      <c r="H977">
        <v>11.8</v>
      </c>
      <c r="I977">
        <v>1.4</v>
      </c>
      <c r="J977" t="s">
        <v>96</v>
      </c>
      <c r="K977" t="s">
        <v>712</v>
      </c>
      <c r="L977" t="s">
        <v>60</v>
      </c>
      <c r="M977" t="s">
        <v>1472</v>
      </c>
      <c r="N977" t="s">
        <v>100</v>
      </c>
      <c r="O977">
        <v>22</v>
      </c>
      <c r="Q977">
        <v>0</v>
      </c>
      <c r="R977">
        <v>0</v>
      </c>
      <c r="T977" t="s">
        <v>51</v>
      </c>
      <c r="U977" t="s">
        <v>39</v>
      </c>
      <c r="V977" t="s">
        <v>52</v>
      </c>
      <c r="W977" t="s">
        <v>52</v>
      </c>
      <c r="X977">
        <v>2022</v>
      </c>
      <c r="Y977" t="s">
        <v>114</v>
      </c>
      <c r="Z977" t="s">
        <v>41</v>
      </c>
    </row>
    <row r="978" spans="1:26">
      <c r="A978" t="s">
        <v>1976</v>
      </c>
      <c r="B978" t="s">
        <v>116</v>
      </c>
      <c r="C978" t="s">
        <v>67</v>
      </c>
      <c r="D978" t="s">
        <v>29</v>
      </c>
      <c r="E978" t="s">
        <v>45</v>
      </c>
      <c r="F978" t="s">
        <v>46</v>
      </c>
      <c r="G978" t="s">
        <v>32</v>
      </c>
      <c r="H978">
        <v>10.4</v>
      </c>
      <c r="I978">
        <v>2.9</v>
      </c>
      <c r="J978" t="s">
        <v>33</v>
      </c>
      <c r="K978" t="s">
        <v>1032</v>
      </c>
      <c r="L978" t="s">
        <v>140</v>
      </c>
      <c r="M978" t="s">
        <v>560</v>
      </c>
      <c r="N978" t="s">
        <v>71</v>
      </c>
      <c r="O978">
        <v>165</v>
      </c>
      <c r="P978" t="s">
        <v>89</v>
      </c>
      <c r="Q978">
        <v>4773</v>
      </c>
      <c r="R978">
        <v>0</v>
      </c>
      <c r="S978" t="s">
        <v>90</v>
      </c>
      <c r="T978" t="s">
        <v>62</v>
      </c>
      <c r="U978" t="s">
        <v>39</v>
      </c>
      <c r="V978" t="s">
        <v>52</v>
      </c>
      <c r="W978" t="s">
        <v>39</v>
      </c>
      <c r="X978">
        <v>2022</v>
      </c>
      <c r="Y978" t="s">
        <v>114</v>
      </c>
      <c r="Z978" t="s">
        <v>41</v>
      </c>
    </row>
    <row r="979" spans="1:26">
      <c r="A979" t="s">
        <v>1977</v>
      </c>
      <c r="B979" t="s">
        <v>66</v>
      </c>
      <c r="C979" t="s">
        <v>121</v>
      </c>
      <c r="D979" t="s">
        <v>29</v>
      </c>
      <c r="E979" t="s">
        <v>56</v>
      </c>
      <c r="F979" t="s">
        <v>68</v>
      </c>
      <c r="G979" t="s">
        <v>32</v>
      </c>
      <c r="H979">
        <v>4.7</v>
      </c>
      <c r="I979">
        <v>21.9</v>
      </c>
      <c r="J979" t="s">
        <v>96</v>
      </c>
      <c r="K979" t="s">
        <v>785</v>
      </c>
      <c r="L979" t="s">
        <v>98</v>
      </c>
      <c r="M979" t="s">
        <v>1477</v>
      </c>
      <c r="N979" t="s">
        <v>100</v>
      </c>
      <c r="O979">
        <v>134</v>
      </c>
      <c r="Q979">
        <v>0</v>
      </c>
      <c r="R979">
        <v>0</v>
      </c>
      <c r="T979" t="s">
        <v>81</v>
      </c>
      <c r="U979" t="s">
        <v>52</v>
      </c>
      <c r="V979" t="s">
        <v>52</v>
      </c>
      <c r="W979" t="s">
        <v>52</v>
      </c>
      <c r="X979">
        <v>2023</v>
      </c>
      <c r="Y979" t="s">
        <v>211</v>
      </c>
      <c r="Z979" t="s">
        <v>41</v>
      </c>
    </row>
    <row r="980" spans="1:26">
      <c r="A980" t="s">
        <v>1978</v>
      </c>
      <c r="B980" t="s">
        <v>66</v>
      </c>
      <c r="C980" t="s">
        <v>164</v>
      </c>
      <c r="D980" t="s">
        <v>29</v>
      </c>
      <c r="E980" t="s">
        <v>94</v>
      </c>
      <c r="F980" t="s">
        <v>46</v>
      </c>
      <c r="G980" t="s">
        <v>32</v>
      </c>
      <c r="H980">
        <v>10.199999999999999</v>
      </c>
      <c r="I980">
        <v>34.5</v>
      </c>
      <c r="J980" t="s">
        <v>33</v>
      </c>
      <c r="K980" t="s">
        <v>264</v>
      </c>
      <c r="L980" t="s">
        <v>35</v>
      </c>
      <c r="M980" t="s">
        <v>1979</v>
      </c>
      <c r="N980" t="s">
        <v>71</v>
      </c>
      <c r="O980">
        <v>39</v>
      </c>
      <c r="P980" t="s">
        <v>105</v>
      </c>
      <c r="Q980">
        <v>2031</v>
      </c>
      <c r="R980">
        <v>0</v>
      </c>
      <c r="S980" t="s">
        <v>113</v>
      </c>
      <c r="T980" t="s">
        <v>81</v>
      </c>
      <c r="U980" t="s">
        <v>39</v>
      </c>
      <c r="V980" t="s">
        <v>52</v>
      </c>
      <c r="W980" t="s">
        <v>52</v>
      </c>
      <c r="X980">
        <v>2024</v>
      </c>
      <c r="Y980" t="s">
        <v>74</v>
      </c>
      <c r="Z980" t="s">
        <v>54</v>
      </c>
    </row>
    <row r="981" spans="1:26">
      <c r="A981" t="s">
        <v>1980</v>
      </c>
      <c r="B981" t="s">
        <v>108</v>
      </c>
      <c r="C981" t="s">
        <v>76</v>
      </c>
      <c r="D981" t="s">
        <v>77</v>
      </c>
      <c r="E981" t="s">
        <v>143</v>
      </c>
      <c r="F981" t="s">
        <v>95</v>
      </c>
      <c r="G981" t="s">
        <v>58</v>
      </c>
      <c r="H981">
        <v>3.7</v>
      </c>
      <c r="I981">
        <v>3.7</v>
      </c>
      <c r="J981" t="s">
        <v>144</v>
      </c>
      <c r="K981" t="s">
        <v>1188</v>
      </c>
      <c r="L981" t="s">
        <v>60</v>
      </c>
      <c r="M981" t="s">
        <v>1035</v>
      </c>
      <c r="N981" t="s">
        <v>71</v>
      </c>
      <c r="O981">
        <v>52</v>
      </c>
      <c r="P981" t="s">
        <v>112</v>
      </c>
      <c r="Q981">
        <v>3058</v>
      </c>
      <c r="R981">
        <v>2000</v>
      </c>
      <c r="S981" t="s">
        <v>113</v>
      </c>
      <c r="T981" t="s">
        <v>81</v>
      </c>
      <c r="U981" t="s">
        <v>52</v>
      </c>
      <c r="V981" t="s">
        <v>52</v>
      </c>
      <c r="W981" t="s">
        <v>39</v>
      </c>
      <c r="X981">
        <v>2022</v>
      </c>
      <c r="Y981" t="s">
        <v>114</v>
      </c>
      <c r="Z981" t="s">
        <v>41</v>
      </c>
    </row>
    <row r="982" spans="1:26">
      <c r="A982" t="s">
        <v>1981</v>
      </c>
      <c r="B982" t="s">
        <v>93</v>
      </c>
      <c r="C982" t="s">
        <v>121</v>
      </c>
      <c r="D982" t="s">
        <v>29</v>
      </c>
      <c r="E982" t="s">
        <v>45</v>
      </c>
      <c r="F982" t="s">
        <v>149</v>
      </c>
      <c r="G982" t="s">
        <v>32</v>
      </c>
      <c r="H982">
        <v>2.2000000000000002</v>
      </c>
      <c r="I982">
        <v>6.7</v>
      </c>
      <c r="J982" t="s">
        <v>33</v>
      </c>
      <c r="K982" t="s">
        <v>439</v>
      </c>
      <c r="L982" t="s">
        <v>98</v>
      </c>
      <c r="M982" t="s">
        <v>1982</v>
      </c>
      <c r="N982" t="s">
        <v>71</v>
      </c>
      <c r="O982">
        <v>104</v>
      </c>
      <c r="P982" t="s">
        <v>72</v>
      </c>
      <c r="Q982">
        <v>4224</v>
      </c>
      <c r="R982">
        <v>500</v>
      </c>
      <c r="S982" t="s">
        <v>152</v>
      </c>
      <c r="T982" t="s">
        <v>136</v>
      </c>
      <c r="U982" t="s">
        <v>39</v>
      </c>
      <c r="V982" t="s">
        <v>52</v>
      </c>
      <c r="W982" t="s">
        <v>52</v>
      </c>
      <c r="X982">
        <v>2024</v>
      </c>
      <c r="Y982" t="s">
        <v>211</v>
      </c>
      <c r="Z982" t="s">
        <v>41</v>
      </c>
    </row>
    <row r="983" spans="1:26">
      <c r="A983" t="s">
        <v>1983</v>
      </c>
      <c r="B983" t="s">
        <v>108</v>
      </c>
      <c r="C983" t="s">
        <v>44</v>
      </c>
      <c r="D983" t="s">
        <v>77</v>
      </c>
      <c r="E983" t="s">
        <v>220</v>
      </c>
      <c r="F983" t="s">
        <v>109</v>
      </c>
      <c r="G983" t="s">
        <v>58</v>
      </c>
      <c r="H983">
        <v>9.3000000000000007</v>
      </c>
      <c r="I983">
        <v>23.6</v>
      </c>
      <c r="J983" t="s">
        <v>156</v>
      </c>
      <c r="K983" t="s">
        <v>271</v>
      </c>
      <c r="L983" t="s">
        <v>35</v>
      </c>
      <c r="M983" t="s">
        <v>1650</v>
      </c>
      <c r="N983" t="s">
        <v>71</v>
      </c>
      <c r="O983">
        <v>37</v>
      </c>
      <c r="P983" t="s">
        <v>112</v>
      </c>
      <c r="Q983">
        <v>7185</v>
      </c>
      <c r="R983">
        <v>5000</v>
      </c>
      <c r="S983" t="s">
        <v>73</v>
      </c>
      <c r="T983" t="s">
        <v>62</v>
      </c>
      <c r="U983" t="s">
        <v>39</v>
      </c>
      <c r="V983" t="s">
        <v>52</v>
      </c>
      <c r="W983" t="s">
        <v>52</v>
      </c>
      <c r="X983">
        <v>2023</v>
      </c>
      <c r="Y983" t="s">
        <v>91</v>
      </c>
      <c r="Z983" t="s">
        <v>64</v>
      </c>
    </row>
    <row r="984" spans="1:26">
      <c r="A984" t="s">
        <v>1984</v>
      </c>
      <c r="B984" t="s">
        <v>66</v>
      </c>
      <c r="C984" t="s">
        <v>102</v>
      </c>
      <c r="D984" t="s">
        <v>29</v>
      </c>
      <c r="E984" t="s">
        <v>94</v>
      </c>
      <c r="F984" t="s">
        <v>31</v>
      </c>
      <c r="G984" t="s">
        <v>58</v>
      </c>
      <c r="H984">
        <v>2.7</v>
      </c>
      <c r="I984">
        <v>15.8</v>
      </c>
      <c r="J984" t="s">
        <v>96</v>
      </c>
      <c r="K984" t="s">
        <v>999</v>
      </c>
      <c r="L984" t="s">
        <v>35</v>
      </c>
      <c r="M984" t="s">
        <v>1104</v>
      </c>
      <c r="N984" t="s">
        <v>71</v>
      </c>
      <c r="O984">
        <v>45</v>
      </c>
      <c r="P984" t="s">
        <v>72</v>
      </c>
      <c r="Q984">
        <v>3372</v>
      </c>
      <c r="R984">
        <v>2000</v>
      </c>
      <c r="S984" t="s">
        <v>113</v>
      </c>
      <c r="T984" t="s">
        <v>81</v>
      </c>
      <c r="U984" t="s">
        <v>39</v>
      </c>
      <c r="V984" t="s">
        <v>52</v>
      </c>
      <c r="W984" t="s">
        <v>52</v>
      </c>
      <c r="X984">
        <v>2024</v>
      </c>
      <c r="Y984" t="s">
        <v>211</v>
      </c>
      <c r="Z984" t="s">
        <v>41</v>
      </c>
    </row>
    <row r="985" spans="1:26">
      <c r="A985" t="s">
        <v>1985</v>
      </c>
      <c r="B985" t="s">
        <v>66</v>
      </c>
      <c r="C985" t="s">
        <v>173</v>
      </c>
      <c r="D985" t="s">
        <v>85</v>
      </c>
      <c r="E985" t="s">
        <v>208</v>
      </c>
      <c r="F985" t="s">
        <v>124</v>
      </c>
      <c r="G985" t="s">
        <v>58</v>
      </c>
      <c r="H985">
        <v>7.9</v>
      </c>
      <c r="I985">
        <v>20.7</v>
      </c>
      <c r="J985" t="s">
        <v>33</v>
      </c>
      <c r="K985" t="s">
        <v>694</v>
      </c>
      <c r="L985" t="s">
        <v>48</v>
      </c>
      <c r="M985" t="s">
        <v>1986</v>
      </c>
      <c r="N985" t="s">
        <v>171</v>
      </c>
      <c r="O985">
        <v>110</v>
      </c>
      <c r="Q985">
        <v>0</v>
      </c>
      <c r="R985">
        <v>0</v>
      </c>
      <c r="T985" t="s">
        <v>51</v>
      </c>
      <c r="U985" t="s">
        <v>39</v>
      </c>
      <c r="V985" t="s">
        <v>52</v>
      </c>
      <c r="W985" t="s">
        <v>52</v>
      </c>
      <c r="X985">
        <v>2022</v>
      </c>
      <c r="Y985" t="s">
        <v>40</v>
      </c>
      <c r="Z985" t="s">
        <v>41</v>
      </c>
    </row>
    <row r="986" spans="1:26">
      <c r="A986" t="s">
        <v>1987</v>
      </c>
      <c r="B986" t="s">
        <v>66</v>
      </c>
      <c r="C986" t="s">
        <v>121</v>
      </c>
      <c r="D986" t="s">
        <v>77</v>
      </c>
      <c r="E986" t="s">
        <v>363</v>
      </c>
      <c r="F986" t="s">
        <v>149</v>
      </c>
      <c r="G986" t="s">
        <v>58</v>
      </c>
      <c r="H986">
        <v>3.3</v>
      </c>
      <c r="I986">
        <v>4.7</v>
      </c>
      <c r="J986" t="s">
        <v>33</v>
      </c>
      <c r="K986" t="s">
        <v>1708</v>
      </c>
      <c r="L986" t="s">
        <v>126</v>
      </c>
      <c r="M986" t="s">
        <v>1596</v>
      </c>
      <c r="N986" t="s">
        <v>61</v>
      </c>
      <c r="O986">
        <v>143</v>
      </c>
      <c r="Q986">
        <v>0</v>
      </c>
      <c r="R986">
        <v>0</v>
      </c>
      <c r="T986" t="s">
        <v>51</v>
      </c>
      <c r="U986" t="s">
        <v>39</v>
      </c>
      <c r="V986" t="s">
        <v>39</v>
      </c>
      <c r="W986" t="s">
        <v>52</v>
      </c>
      <c r="X986">
        <v>2023</v>
      </c>
      <c r="Y986" t="s">
        <v>91</v>
      </c>
      <c r="Z986" t="s">
        <v>64</v>
      </c>
    </row>
    <row r="987" spans="1:26">
      <c r="A987" t="s">
        <v>1988</v>
      </c>
      <c r="B987" t="s">
        <v>27</v>
      </c>
      <c r="C987" t="s">
        <v>121</v>
      </c>
      <c r="D987" t="s">
        <v>29</v>
      </c>
      <c r="E987" t="s">
        <v>195</v>
      </c>
      <c r="F987" t="s">
        <v>238</v>
      </c>
      <c r="G987" t="s">
        <v>58</v>
      </c>
      <c r="H987">
        <v>2.2000000000000002</v>
      </c>
      <c r="I987">
        <v>15.9</v>
      </c>
      <c r="J987" t="s">
        <v>20</v>
      </c>
      <c r="K987" t="s">
        <v>660</v>
      </c>
      <c r="L987" t="s">
        <v>48</v>
      </c>
      <c r="M987" t="s">
        <v>1495</v>
      </c>
      <c r="N987" t="s">
        <v>50</v>
      </c>
      <c r="O987">
        <v>148</v>
      </c>
      <c r="Q987">
        <v>0</v>
      </c>
      <c r="R987">
        <v>0</v>
      </c>
      <c r="T987" t="s">
        <v>136</v>
      </c>
      <c r="U987" t="s">
        <v>39</v>
      </c>
      <c r="V987" t="s">
        <v>39</v>
      </c>
      <c r="W987" t="s">
        <v>39</v>
      </c>
      <c r="X987">
        <v>2023</v>
      </c>
      <c r="Y987" t="s">
        <v>153</v>
      </c>
      <c r="Z987" t="s">
        <v>54</v>
      </c>
    </row>
    <row r="988" spans="1:26">
      <c r="A988" t="s">
        <v>1989</v>
      </c>
      <c r="B988" t="s">
        <v>93</v>
      </c>
      <c r="C988" t="s">
        <v>164</v>
      </c>
      <c r="D988" t="s">
        <v>122</v>
      </c>
      <c r="E988" t="s">
        <v>148</v>
      </c>
      <c r="F988" t="s">
        <v>31</v>
      </c>
      <c r="G988" t="s">
        <v>58</v>
      </c>
      <c r="H988">
        <v>2.6</v>
      </c>
      <c r="I988">
        <v>24.9</v>
      </c>
      <c r="J988" t="s">
        <v>33</v>
      </c>
      <c r="K988" t="s">
        <v>926</v>
      </c>
      <c r="L988" t="s">
        <v>48</v>
      </c>
      <c r="M988" t="s">
        <v>670</v>
      </c>
      <c r="N988" t="s">
        <v>50</v>
      </c>
      <c r="O988">
        <v>135</v>
      </c>
      <c r="Q988">
        <v>0</v>
      </c>
      <c r="R988">
        <v>0</v>
      </c>
      <c r="T988" t="s">
        <v>38</v>
      </c>
      <c r="U988" t="s">
        <v>39</v>
      </c>
      <c r="V988" t="s">
        <v>39</v>
      </c>
      <c r="W988" t="s">
        <v>52</v>
      </c>
      <c r="X988">
        <v>2024</v>
      </c>
      <c r="Y988" t="s">
        <v>211</v>
      </c>
      <c r="Z988" t="s">
        <v>41</v>
      </c>
    </row>
    <row r="989" spans="1:26">
      <c r="A989" t="s">
        <v>1990</v>
      </c>
      <c r="B989" t="s">
        <v>66</v>
      </c>
      <c r="C989" t="s">
        <v>121</v>
      </c>
      <c r="D989" t="s">
        <v>85</v>
      </c>
      <c r="E989" t="s">
        <v>174</v>
      </c>
      <c r="F989" t="s">
        <v>109</v>
      </c>
      <c r="G989" t="s">
        <v>32</v>
      </c>
      <c r="H989">
        <v>9.1999999999999993</v>
      </c>
      <c r="I989">
        <v>17.399999999999999</v>
      </c>
      <c r="J989" t="s">
        <v>33</v>
      </c>
      <c r="K989" t="s">
        <v>621</v>
      </c>
      <c r="L989" t="s">
        <v>98</v>
      </c>
      <c r="M989" t="s">
        <v>1991</v>
      </c>
      <c r="N989" t="s">
        <v>71</v>
      </c>
      <c r="O989">
        <v>45</v>
      </c>
      <c r="P989" t="s">
        <v>89</v>
      </c>
      <c r="Q989">
        <v>682</v>
      </c>
      <c r="R989">
        <v>0</v>
      </c>
      <c r="S989" t="s">
        <v>152</v>
      </c>
      <c r="T989" t="s">
        <v>62</v>
      </c>
      <c r="U989" t="s">
        <v>39</v>
      </c>
      <c r="V989" t="s">
        <v>39</v>
      </c>
      <c r="W989" t="s">
        <v>52</v>
      </c>
      <c r="X989">
        <v>2023</v>
      </c>
      <c r="Y989" t="s">
        <v>106</v>
      </c>
      <c r="Z989" t="s">
        <v>83</v>
      </c>
    </row>
    <row r="990" spans="1:26">
      <c r="A990" t="s">
        <v>1992</v>
      </c>
      <c r="B990" t="s">
        <v>108</v>
      </c>
      <c r="C990" t="s">
        <v>28</v>
      </c>
      <c r="D990" t="s">
        <v>29</v>
      </c>
      <c r="E990" t="s">
        <v>117</v>
      </c>
      <c r="F990" t="s">
        <v>31</v>
      </c>
      <c r="G990" t="s">
        <v>32</v>
      </c>
      <c r="H990">
        <v>3.4</v>
      </c>
      <c r="I990">
        <v>10.9</v>
      </c>
      <c r="J990" t="s">
        <v>33</v>
      </c>
      <c r="K990" t="s">
        <v>1297</v>
      </c>
      <c r="L990" t="s">
        <v>126</v>
      </c>
      <c r="M990" t="s">
        <v>582</v>
      </c>
      <c r="N990" t="s">
        <v>37</v>
      </c>
      <c r="O990">
        <v>11</v>
      </c>
      <c r="Q990">
        <v>0</v>
      </c>
      <c r="R990">
        <v>0</v>
      </c>
      <c r="T990" t="s">
        <v>38</v>
      </c>
      <c r="U990" t="s">
        <v>39</v>
      </c>
      <c r="V990" t="s">
        <v>39</v>
      </c>
      <c r="W990" t="s">
        <v>52</v>
      </c>
      <c r="X990">
        <v>2022</v>
      </c>
      <c r="Y990" t="s">
        <v>53</v>
      </c>
      <c r="Z990" t="s">
        <v>54</v>
      </c>
    </row>
    <row r="991" spans="1:26">
      <c r="A991" t="s">
        <v>1993</v>
      </c>
      <c r="B991" t="s">
        <v>93</v>
      </c>
      <c r="C991" t="s">
        <v>102</v>
      </c>
      <c r="D991" t="s">
        <v>77</v>
      </c>
      <c r="E991" t="s">
        <v>143</v>
      </c>
      <c r="F991" t="s">
        <v>149</v>
      </c>
      <c r="G991" t="s">
        <v>32</v>
      </c>
      <c r="H991">
        <v>4.2</v>
      </c>
      <c r="I991">
        <v>1.3</v>
      </c>
      <c r="J991" t="s">
        <v>156</v>
      </c>
      <c r="K991" t="s">
        <v>1994</v>
      </c>
      <c r="L991" t="s">
        <v>98</v>
      </c>
      <c r="M991" t="s">
        <v>887</v>
      </c>
      <c r="N991" t="s">
        <v>71</v>
      </c>
      <c r="O991">
        <v>39</v>
      </c>
      <c r="P991" t="s">
        <v>105</v>
      </c>
      <c r="Q991">
        <v>7807</v>
      </c>
      <c r="R991">
        <v>2000</v>
      </c>
      <c r="S991" t="s">
        <v>113</v>
      </c>
      <c r="T991" t="s">
        <v>38</v>
      </c>
      <c r="U991" t="s">
        <v>39</v>
      </c>
      <c r="V991" t="s">
        <v>39</v>
      </c>
      <c r="W991" t="s">
        <v>52</v>
      </c>
      <c r="X991">
        <v>2022</v>
      </c>
      <c r="Y991" t="s">
        <v>82</v>
      </c>
      <c r="Z991" t="s">
        <v>83</v>
      </c>
    </row>
    <row r="992" spans="1:26">
      <c r="A992" t="s">
        <v>1995</v>
      </c>
      <c r="B992" t="s">
        <v>108</v>
      </c>
      <c r="C992" t="s">
        <v>76</v>
      </c>
      <c r="D992" t="s">
        <v>77</v>
      </c>
      <c r="E992" t="s">
        <v>143</v>
      </c>
      <c r="F992" t="s">
        <v>68</v>
      </c>
      <c r="G992" t="s">
        <v>58</v>
      </c>
      <c r="H992">
        <v>7.3</v>
      </c>
      <c r="I992">
        <v>4.5</v>
      </c>
      <c r="J992" t="s">
        <v>33</v>
      </c>
      <c r="K992" t="s">
        <v>1991</v>
      </c>
      <c r="L992" t="s">
        <v>48</v>
      </c>
      <c r="M992" t="s">
        <v>1996</v>
      </c>
      <c r="N992" t="s">
        <v>50</v>
      </c>
      <c r="O992">
        <v>176</v>
      </c>
      <c r="Q992">
        <v>0</v>
      </c>
      <c r="R992">
        <v>0</v>
      </c>
      <c r="T992" t="s">
        <v>81</v>
      </c>
      <c r="U992" t="s">
        <v>39</v>
      </c>
      <c r="V992" t="s">
        <v>52</v>
      </c>
      <c r="W992" t="s">
        <v>52</v>
      </c>
      <c r="X992">
        <v>2023</v>
      </c>
      <c r="Y992" t="s">
        <v>312</v>
      </c>
      <c r="Z992" t="s">
        <v>83</v>
      </c>
    </row>
    <row r="993" spans="1:26">
      <c r="A993" t="s">
        <v>1997</v>
      </c>
      <c r="B993" t="s">
        <v>116</v>
      </c>
      <c r="C993" t="s">
        <v>44</v>
      </c>
      <c r="D993" t="s">
        <v>85</v>
      </c>
      <c r="E993" t="s">
        <v>86</v>
      </c>
      <c r="F993" t="s">
        <v>57</v>
      </c>
      <c r="G993" t="s">
        <v>58</v>
      </c>
      <c r="H993">
        <v>9</v>
      </c>
      <c r="I993">
        <v>3.6</v>
      </c>
      <c r="J993" t="s">
        <v>33</v>
      </c>
      <c r="K993" t="s">
        <v>1455</v>
      </c>
      <c r="L993" t="s">
        <v>48</v>
      </c>
      <c r="M993" t="s">
        <v>443</v>
      </c>
      <c r="N993" t="s">
        <v>71</v>
      </c>
      <c r="O993">
        <v>14</v>
      </c>
      <c r="P993" t="s">
        <v>230</v>
      </c>
      <c r="Q993">
        <v>2981</v>
      </c>
      <c r="R993">
        <v>5000</v>
      </c>
      <c r="S993" t="s">
        <v>73</v>
      </c>
      <c r="T993" t="s">
        <v>62</v>
      </c>
      <c r="U993" t="s">
        <v>39</v>
      </c>
      <c r="V993" t="s">
        <v>52</v>
      </c>
      <c r="W993" t="s">
        <v>52</v>
      </c>
      <c r="X993">
        <v>2022</v>
      </c>
      <c r="Y993" t="s">
        <v>91</v>
      </c>
      <c r="Z993" t="s">
        <v>64</v>
      </c>
    </row>
    <row r="994" spans="1:26">
      <c r="A994" t="s">
        <v>1998</v>
      </c>
      <c r="B994" t="s">
        <v>108</v>
      </c>
      <c r="C994" t="s">
        <v>44</v>
      </c>
      <c r="D994" t="s">
        <v>122</v>
      </c>
      <c r="E994" t="s">
        <v>202</v>
      </c>
      <c r="F994" t="s">
        <v>46</v>
      </c>
      <c r="G994" t="s">
        <v>58</v>
      </c>
      <c r="H994">
        <v>0.5</v>
      </c>
      <c r="I994">
        <v>20.2</v>
      </c>
      <c r="J994" t="s">
        <v>20</v>
      </c>
      <c r="K994" t="s">
        <v>1524</v>
      </c>
      <c r="L994" t="s">
        <v>35</v>
      </c>
      <c r="M994" t="s">
        <v>999</v>
      </c>
      <c r="N994" t="s">
        <v>37</v>
      </c>
      <c r="O994">
        <v>64</v>
      </c>
      <c r="Q994">
        <v>0</v>
      </c>
      <c r="R994">
        <v>0</v>
      </c>
      <c r="T994" t="s">
        <v>81</v>
      </c>
      <c r="U994" t="s">
        <v>52</v>
      </c>
      <c r="V994" t="s">
        <v>52</v>
      </c>
      <c r="W994" t="s">
        <v>52</v>
      </c>
      <c r="X994">
        <v>2024</v>
      </c>
      <c r="Y994" t="s">
        <v>153</v>
      </c>
      <c r="Z994" t="s">
        <v>54</v>
      </c>
    </row>
    <row r="995" spans="1:26">
      <c r="A995" t="s">
        <v>1999</v>
      </c>
      <c r="B995" t="s">
        <v>66</v>
      </c>
      <c r="C995" t="s">
        <v>44</v>
      </c>
      <c r="D995" t="s">
        <v>29</v>
      </c>
      <c r="E995" t="s">
        <v>30</v>
      </c>
      <c r="F995" t="s">
        <v>109</v>
      </c>
      <c r="G995" t="s">
        <v>58</v>
      </c>
      <c r="H995">
        <v>3.5</v>
      </c>
      <c r="I995">
        <v>27.7</v>
      </c>
      <c r="J995" t="s">
        <v>33</v>
      </c>
      <c r="K995" t="s">
        <v>707</v>
      </c>
      <c r="L995" t="s">
        <v>35</v>
      </c>
      <c r="M995" t="s">
        <v>835</v>
      </c>
      <c r="N995" t="s">
        <v>71</v>
      </c>
      <c r="O995">
        <v>73</v>
      </c>
      <c r="P995" t="s">
        <v>105</v>
      </c>
      <c r="Q995">
        <v>1911</v>
      </c>
      <c r="R995">
        <v>0</v>
      </c>
      <c r="S995" t="s">
        <v>152</v>
      </c>
      <c r="T995" t="s">
        <v>81</v>
      </c>
      <c r="U995" t="s">
        <v>39</v>
      </c>
      <c r="V995" t="s">
        <v>52</v>
      </c>
      <c r="W995" t="s">
        <v>52</v>
      </c>
      <c r="X995">
        <v>2022</v>
      </c>
      <c r="Y995" t="s">
        <v>128</v>
      </c>
      <c r="Z995" t="s">
        <v>64</v>
      </c>
    </row>
    <row r="996" spans="1:26">
      <c r="A996" t="s">
        <v>2000</v>
      </c>
      <c r="B996" t="s">
        <v>108</v>
      </c>
      <c r="C996" t="s">
        <v>28</v>
      </c>
      <c r="D996" t="s">
        <v>85</v>
      </c>
      <c r="E996" t="s">
        <v>208</v>
      </c>
      <c r="F996" t="s">
        <v>238</v>
      </c>
      <c r="G996" t="s">
        <v>58</v>
      </c>
      <c r="H996">
        <v>11.9</v>
      </c>
      <c r="I996">
        <v>12.6</v>
      </c>
      <c r="J996" t="s">
        <v>156</v>
      </c>
      <c r="K996" t="s">
        <v>1489</v>
      </c>
      <c r="L996" t="s">
        <v>98</v>
      </c>
      <c r="M996" t="s">
        <v>1742</v>
      </c>
      <c r="N996" t="s">
        <v>37</v>
      </c>
      <c r="O996">
        <v>152</v>
      </c>
      <c r="Q996">
        <v>0</v>
      </c>
      <c r="R996">
        <v>500</v>
      </c>
      <c r="T996" t="s">
        <v>62</v>
      </c>
      <c r="U996" t="s">
        <v>39</v>
      </c>
      <c r="V996" t="s">
        <v>39</v>
      </c>
      <c r="W996" t="s">
        <v>52</v>
      </c>
      <c r="X996">
        <v>2022</v>
      </c>
      <c r="Y996" t="s">
        <v>82</v>
      </c>
      <c r="Z996" t="s">
        <v>83</v>
      </c>
    </row>
    <row r="997" spans="1:26">
      <c r="A997" t="s">
        <v>2001</v>
      </c>
      <c r="B997" t="s">
        <v>27</v>
      </c>
      <c r="C997" t="s">
        <v>67</v>
      </c>
      <c r="D997" t="s">
        <v>77</v>
      </c>
      <c r="E997" t="s">
        <v>143</v>
      </c>
      <c r="F997" t="s">
        <v>109</v>
      </c>
      <c r="G997" t="s">
        <v>32</v>
      </c>
      <c r="H997">
        <v>2.4</v>
      </c>
      <c r="I997">
        <v>32.799999999999997</v>
      </c>
      <c r="J997" t="s">
        <v>144</v>
      </c>
      <c r="K997" t="s">
        <v>1307</v>
      </c>
      <c r="L997" t="s">
        <v>60</v>
      </c>
      <c r="M997" t="s">
        <v>1462</v>
      </c>
      <c r="N997" t="s">
        <v>71</v>
      </c>
      <c r="O997">
        <v>117</v>
      </c>
      <c r="P997" t="s">
        <v>89</v>
      </c>
      <c r="Q997">
        <v>4162</v>
      </c>
      <c r="R997">
        <v>0</v>
      </c>
      <c r="S997" t="s">
        <v>113</v>
      </c>
      <c r="T997" t="s">
        <v>38</v>
      </c>
      <c r="U997" t="s">
        <v>39</v>
      </c>
      <c r="V997" t="s">
        <v>39</v>
      </c>
      <c r="W997" t="s">
        <v>52</v>
      </c>
      <c r="X997">
        <v>2023</v>
      </c>
      <c r="Y997" t="s">
        <v>74</v>
      </c>
      <c r="Z997" t="s">
        <v>54</v>
      </c>
    </row>
    <row r="998" spans="1:26">
      <c r="A998" t="s">
        <v>2002</v>
      </c>
      <c r="B998" t="s">
        <v>108</v>
      </c>
      <c r="C998" t="s">
        <v>102</v>
      </c>
      <c r="D998" t="s">
        <v>77</v>
      </c>
      <c r="E998" t="s">
        <v>216</v>
      </c>
      <c r="F998" t="s">
        <v>109</v>
      </c>
      <c r="G998" t="s">
        <v>32</v>
      </c>
      <c r="H998">
        <v>1.6</v>
      </c>
      <c r="I998">
        <v>21.7</v>
      </c>
      <c r="J998" t="s">
        <v>33</v>
      </c>
      <c r="K998" t="s">
        <v>2003</v>
      </c>
      <c r="L998" t="s">
        <v>35</v>
      </c>
      <c r="M998" t="s">
        <v>1271</v>
      </c>
      <c r="N998" t="s">
        <v>100</v>
      </c>
      <c r="O998">
        <v>14</v>
      </c>
      <c r="Q998">
        <v>0</v>
      </c>
      <c r="R998">
        <v>0</v>
      </c>
      <c r="T998" t="s">
        <v>81</v>
      </c>
      <c r="U998" t="s">
        <v>39</v>
      </c>
      <c r="V998" t="s">
        <v>52</v>
      </c>
      <c r="W998" t="s">
        <v>39</v>
      </c>
      <c r="X998">
        <v>2024</v>
      </c>
      <c r="Y998" t="s">
        <v>114</v>
      </c>
      <c r="Z998" t="s">
        <v>41</v>
      </c>
    </row>
    <row r="999" spans="1:26">
      <c r="A999" t="s">
        <v>2004</v>
      </c>
      <c r="B999" t="s">
        <v>66</v>
      </c>
      <c r="C999" t="s">
        <v>28</v>
      </c>
      <c r="D999" t="s">
        <v>85</v>
      </c>
      <c r="E999" t="s">
        <v>86</v>
      </c>
      <c r="F999" t="s">
        <v>46</v>
      </c>
      <c r="G999" t="s">
        <v>32</v>
      </c>
      <c r="H999">
        <v>1.6</v>
      </c>
      <c r="I999">
        <v>10.199999999999999</v>
      </c>
      <c r="J999" t="s">
        <v>33</v>
      </c>
      <c r="K999" t="s">
        <v>2005</v>
      </c>
      <c r="L999" t="s">
        <v>48</v>
      </c>
      <c r="M999" t="s">
        <v>409</v>
      </c>
      <c r="N999" t="s">
        <v>37</v>
      </c>
      <c r="O999">
        <v>106</v>
      </c>
      <c r="Q999">
        <v>0</v>
      </c>
      <c r="R999">
        <v>0</v>
      </c>
      <c r="T999" t="s">
        <v>38</v>
      </c>
      <c r="U999" t="s">
        <v>39</v>
      </c>
      <c r="V999" t="s">
        <v>52</v>
      </c>
      <c r="W999" t="s">
        <v>52</v>
      </c>
      <c r="X999">
        <v>2022</v>
      </c>
      <c r="Y999" t="s">
        <v>82</v>
      </c>
      <c r="Z999" t="s">
        <v>83</v>
      </c>
    </row>
    <row r="1000" spans="1:26">
      <c r="A1000" t="s">
        <v>2006</v>
      </c>
      <c r="B1000" t="s">
        <v>66</v>
      </c>
      <c r="C1000" t="s">
        <v>121</v>
      </c>
      <c r="D1000" t="s">
        <v>77</v>
      </c>
      <c r="E1000" t="s">
        <v>363</v>
      </c>
      <c r="F1000" t="s">
        <v>46</v>
      </c>
      <c r="G1000" t="s">
        <v>32</v>
      </c>
      <c r="H1000">
        <v>11.5</v>
      </c>
      <c r="I1000">
        <v>20</v>
      </c>
      <c r="J1000" t="s">
        <v>96</v>
      </c>
      <c r="K1000" t="s">
        <v>1652</v>
      </c>
      <c r="L1000" t="s">
        <v>60</v>
      </c>
      <c r="M1000" t="s">
        <v>602</v>
      </c>
      <c r="N1000" t="s">
        <v>71</v>
      </c>
      <c r="O1000">
        <v>32</v>
      </c>
      <c r="P1000" t="s">
        <v>105</v>
      </c>
      <c r="Q1000">
        <v>5975</v>
      </c>
      <c r="R1000">
        <v>500</v>
      </c>
      <c r="S1000" t="s">
        <v>73</v>
      </c>
      <c r="T1000" t="s">
        <v>51</v>
      </c>
      <c r="U1000" t="s">
        <v>52</v>
      </c>
      <c r="V1000" t="s">
        <v>52</v>
      </c>
      <c r="W1000" t="s">
        <v>52</v>
      </c>
      <c r="X1000">
        <v>2022</v>
      </c>
      <c r="Y1000" t="s">
        <v>53</v>
      </c>
      <c r="Z1000" t="s">
        <v>54</v>
      </c>
    </row>
    <row r="1001" spans="1:26">
      <c r="A1001" t="s">
        <v>2007</v>
      </c>
      <c r="B1001" t="s">
        <v>93</v>
      </c>
      <c r="C1001" t="s">
        <v>121</v>
      </c>
      <c r="D1001" t="s">
        <v>122</v>
      </c>
      <c r="E1001" t="s">
        <v>155</v>
      </c>
      <c r="F1001" t="s">
        <v>57</v>
      </c>
      <c r="G1001" t="s">
        <v>58</v>
      </c>
      <c r="H1001">
        <v>5.8</v>
      </c>
      <c r="I1001">
        <v>4.2</v>
      </c>
      <c r="J1001" t="s">
        <v>33</v>
      </c>
      <c r="K1001" t="s">
        <v>196</v>
      </c>
      <c r="L1001" t="s">
        <v>35</v>
      </c>
      <c r="M1001" t="s">
        <v>1753</v>
      </c>
      <c r="N1001" t="s">
        <v>37</v>
      </c>
      <c r="O1001">
        <v>45</v>
      </c>
      <c r="Q1001">
        <v>0</v>
      </c>
      <c r="R1001">
        <v>500</v>
      </c>
      <c r="T1001" t="s">
        <v>62</v>
      </c>
      <c r="U1001" t="s">
        <v>39</v>
      </c>
      <c r="V1001" t="s">
        <v>39</v>
      </c>
      <c r="W1001" t="s">
        <v>39</v>
      </c>
      <c r="X1001">
        <v>2024</v>
      </c>
      <c r="Y1001" t="s">
        <v>53</v>
      </c>
      <c r="Z1001" t="s">
        <v>54</v>
      </c>
    </row>
    <row r="1002" spans="1:26">
      <c r="A1002" t="s">
        <v>2008</v>
      </c>
      <c r="B1002" t="s">
        <v>116</v>
      </c>
      <c r="C1002" t="s">
        <v>121</v>
      </c>
      <c r="D1002" t="s">
        <v>77</v>
      </c>
      <c r="E1002" t="s">
        <v>363</v>
      </c>
      <c r="F1002" t="s">
        <v>68</v>
      </c>
      <c r="G1002" t="s">
        <v>32</v>
      </c>
      <c r="H1002">
        <v>5.4</v>
      </c>
      <c r="I1002">
        <v>10</v>
      </c>
      <c r="J1002" t="s">
        <v>20</v>
      </c>
      <c r="K1002" t="s">
        <v>2009</v>
      </c>
      <c r="L1002" t="s">
        <v>35</v>
      </c>
      <c r="M1002" t="s">
        <v>1498</v>
      </c>
      <c r="N1002" t="s">
        <v>37</v>
      </c>
      <c r="O1002">
        <v>106</v>
      </c>
      <c r="Q1002">
        <v>0</v>
      </c>
      <c r="R1002">
        <v>0</v>
      </c>
      <c r="T1002" t="s">
        <v>62</v>
      </c>
      <c r="U1002" t="s">
        <v>39</v>
      </c>
      <c r="V1002" t="s">
        <v>52</v>
      </c>
      <c r="W1002" t="s">
        <v>39</v>
      </c>
      <c r="X1002">
        <v>2022</v>
      </c>
      <c r="Y1002" t="s">
        <v>82</v>
      </c>
      <c r="Z1002" t="s">
        <v>83</v>
      </c>
    </row>
    <row r="1003" spans="1:26">
      <c r="A1003" t="s">
        <v>2010</v>
      </c>
      <c r="B1003" t="s">
        <v>43</v>
      </c>
      <c r="C1003" t="s">
        <v>76</v>
      </c>
      <c r="D1003" t="s">
        <v>122</v>
      </c>
      <c r="E1003" t="s">
        <v>130</v>
      </c>
      <c r="F1003" t="s">
        <v>57</v>
      </c>
      <c r="G1003" t="s">
        <v>32</v>
      </c>
      <c r="H1003">
        <v>8.5</v>
      </c>
      <c r="I1003">
        <v>16.5</v>
      </c>
      <c r="J1003" t="s">
        <v>33</v>
      </c>
      <c r="K1003" t="s">
        <v>1447</v>
      </c>
      <c r="L1003" t="s">
        <v>48</v>
      </c>
      <c r="M1003" t="s">
        <v>1245</v>
      </c>
      <c r="N1003" t="s">
        <v>71</v>
      </c>
      <c r="O1003">
        <v>38</v>
      </c>
      <c r="P1003" t="s">
        <v>230</v>
      </c>
      <c r="Q1003">
        <v>943</v>
      </c>
      <c r="R1003">
        <v>0</v>
      </c>
      <c r="S1003" t="s">
        <v>90</v>
      </c>
      <c r="T1003" t="s">
        <v>81</v>
      </c>
      <c r="U1003" t="s">
        <v>39</v>
      </c>
      <c r="V1003" t="s">
        <v>39</v>
      </c>
      <c r="W1003" t="s">
        <v>39</v>
      </c>
      <c r="X1003">
        <v>2022</v>
      </c>
      <c r="Y1003" t="s">
        <v>211</v>
      </c>
      <c r="Z1003" t="s">
        <v>41</v>
      </c>
    </row>
    <row r="1004" spans="1:26">
      <c r="A1004" t="s">
        <v>2011</v>
      </c>
      <c r="B1004" t="s">
        <v>116</v>
      </c>
      <c r="C1004" t="s">
        <v>102</v>
      </c>
      <c r="D1004" t="s">
        <v>29</v>
      </c>
      <c r="E1004" t="s">
        <v>56</v>
      </c>
      <c r="F1004" t="s">
        <v>238</v>
      </c>
      <c r="G1004" t="s">
        <v>58</v>
      </c>
      <c r="H1004">
        <v>2.5</v>
      </c>
      <c r="I1004">
        <v>14.3</v>
      </c>
      <c r="J1004" t="s">
        <v>20</v>
      </c>
      <c r="K1004" t="s">
        <v>1616</v>
      </c>
      <c r="L1004" t="s">
        <v>126</v>
      </c>
      <c r="M1004" t="s">
        <v>127</v>
      </c>
      <c r="N1004" t="s">
        <v>50</v>
      </c>
      <c r="O1004">
        <v>71</v>
      </c>
      <c r="Q1004">
        <v>0</v>
      </c>
      <c r="R1004">
        <v>500</v>
      </c>
      <c r="T1004" t="s">
        <v>81</v>
      </c>
      <c r="U1004" t="s">
        <v>39</v>
      </c>
      <c r="V1004" t="s">
        <v>52</v>
      </c>
      <c r="W1004" t="s">
        <v>52</v>
      </c>
      <c r="X1004">
        <v>2024</v>
      </c>
      <c r="Y1004" t="s">
        <v>63</v>
      </c>
      <c r="Z1004" t="s">
        <v>64</v>
      </c>
    </row>
    <row r="1005" spans="1:26">
      <c r="A1005" t="s">
        <v>2012</v>
      </c>
      <c r="B1005" t="s">
        <v>27</v>
      </c>
      <c r="C1005" t="s">
        <v>76</v>
      </c>
      <c r="D1005" t="s">
        <v>77</v>
      </c>
      <c r="E1005" t="s">
        <v>94</v>
      </c>
      <c r="F1005" t="s">
        <v>46</v>
      </c>
      <c r="G1005" t="s">
        <v>58</v>
      </c>
      <c r="H1005">
        <v>6</v>
      </c>
      <c r="I1005">
        <v>7.6</v>
      </c>
      <c r="J1005" t="s">
        <v>156</v>
      </c>
      <c r="K1005" t="s">
        <v>1526</v>
      </c>
      <c r="L1005" t="s">
        <v>48</v>
      </c>
      <c r="M1005" t="s">
        <v>475</v>
      </c>
      <c r="N1005" t="s">
        <v>61</v>
      </c>
      <c r="O1005">
        <v>153</v>
      </c>
      <c r="Q1005">
        <v>0</v>
      </c>
      <c r="R1005">
        <v>0</v>
      </c>
      <c r="T1005" t="s">
        <v>62</v>
      </c>
      <c r="U1005" t="s">
        <v>52</v>
      </c>
      <c r="V1005" t="s">
        <v>39</v>
      </c>
      <c r="W1005" t="s">
        <v>52</v>
      </c>
      <c r="X1005">
        <v>2024</v>
      </c>
      <c r="Y1005" t="s">
        <v>53</v>
      </c>
      <c r="Z1005" t="s">
        <v>54</v>
      </c>
    </row>
    <row r="1006" spans="1:26">
      <c r="A1006" t="s">
        <v>2013</v>
      </c>
      <c r="B1006" t="s">
        <v>27</v>
      </c>
      <c r="C1006" t="s">
        <v>28</v>
      </c>
      <c r="D1006" t="s">
        <v>29</v>
      </c>
      <c r="E1006" t="s">
        <v>195</v>
      </c>
      <c r="F1006" t="s">
        <v>109</v>
      </c>
      <c r="G1006" t="s">
        <v>58</v>
      </c>
      <c r="H1006">
        <v>9.9</v>
      </c>
      <c r="I1006">
        <v>3.2</v>
      </c>
      <c r="J1006" t="s">
        <v>96</v>
      </c>
      <c r="K1006" t="s">
        <v>1149</v>
      </c>
      <c r="L1006" t="s">
        <v>48</v>
      </c>
      <c r="M1006" t="s">
        <v>139</v>
      </c>
      <c r="N1006" t="s">
        <v>100</v>
      </c>
      <c r="O1006">
        <v>101</v>
      </c>
      <c r="Q1006">
        <v>0</v>
      </c>
      <c r="R1006">
        <v>0</v>
      </c>
      <c r="T1006" t="s">
        <v>136</v>
      </c>
      <c r="U1006" t="s">
        <v>39</v>
      </c>
      <c r="V1006" t="s">
        <v>39</v>
      </c>
      <c r="W1006" t="s">
        <v>39</v>
      </c>
      <c r="X1006">
        <v>2024</v>
      </c>
      <c r="Y1006" t="s">
        <v>153</v>
      </c>
      <c r="Z1006" t="s">
        <v>54</v>
      </c>
    </row>
    <row r="1007" spans="1:26">
      <c r="A1007" t="s">
        <v>2014</v>
      </c>
      <c r="B1007" t="s">
        <v>116</v>
      </c>
      <c r="C1007" t="s">
        <v>28</v>
      </c>
      <c r="D1007" t="s">
        <v>29</v>
      </c>
      <c r="E1007" t="s">
        <v>117</v>
      </c>
      <c r="F1007" t="s">
        <v>238</v>
      </c>
      <c r="G1007" t="s">
        <v>32</v>
      </c>
      <c r="H1007">
        <v>7.6</v>
      </c>
      <c r="I1007">
        <v>1.4</v>
      </c>
      <c r="J1007" t="s">
        <v>20</v>
      </c>
      <c r="K1007" t="s">
        <v>598</v>
      </c>
      <c r="L1007" t="s">
        <v>126</v>
      </c>
      <c r="M1007" t="s">
        <v>2015</v>
      </c>
      <c r="N1007" t="s">
        <v>71</v>
      </c>
      <c r="O1007">
        <v>109</v>
      </c>
      <c r="P1007" t="s">
        <v>112</v>
      </c>
      <c r="Q1007">
        <v>2772</v>
      </c>
      <c r="R1007">
        <v>0</v>
      </c>
      <c r="S1007" t="s">
        <v>73</v>
      </c>
      <c r="T1007" t="s">
        <v>51</v>
      </c>
      <c r="U1007" t="s">
        <v>39</v>
      </c>
      <c r="V1007" t="s">
        <v>39</v>
      </c>
      <c r="W1007" t="s">
        <v>52</v>
      </c>
      <c r="X1007">
        <v>2024</v>
      </c>
      <c r="Y1007" t="s">
        <v>74</v>
      </c>
      <c r="Z1007" t="s">
        <v>54</v>
      </c>
    </row>
    <row r="1008" spans="1:26">
      <c r="A1008" t="s">
        <v>2016</v>
      </c>
      <c r="B1008" t="s">
        <v>66</v>
      </c>
      <c r="C1008" t="s">
        <v>28</v>
      </c>
      <c r="D1008" t="s">
        <v>77</v>
      </c>
      <c r="E1008" t="s">
        <v>363</v>
      </c>
      <c r="F1008" t="s">
        <v>46</v>
      </c>
      <c r="G1008" t="s">
        <v>58</v>
      </c>
      <c r="H1008">
        <v>6.9</v>
      </c>
      <c r="I1008">
        <v>11.4</v>
      </c>
      <c r="J1008" t="s">
        <v>33</v>
      </c>
      <c r="K1008" t="s">
        <v>145</v>
      </c>
      <c r="L1008" t="s">
        <v>60</v>
      </c>
      <c r="M1008" t="s">
        <v>1214</v>
      </c>
      <c r="N1008" t="s">
        <v>61</v>
      </c>
      <c r="O1008">
        <v>145</v>
      </c>
      <c r="Q1008">
        <v>0</v>
      </c>
      <c r="R1008">
        <v>0</v>
      </c>
      <c r="T1008" t="s">
        <v>62</v>
      </c>
      <c r="U1008" t="s">
        <v>39</v>
      </c>
      <c r="V1008" t="s">
        <v>52</v>
      </c>
      <c r="W1008" t="s">
        <v>52</v>
      </c>
      <c r="X1008">
        <v>2022</v>
      </c>
      <c r="Y1008" t="s">
        <v>53</v>
      </c>
      <c r="Z1008" t="s">
        <v>54</v>
      </c>
    </row>
    <row r="1009" spans="1:26">
      <c r="A1009" t="s">
        <v>2017</v>
      </c>
      <c r="B1009" t="s">
        <v>27</v>
      </c>
      <c r="C1009" t="s">
        <v>121</v>
      </c>
      <c r="D1009" t="s">
        <v>77</v>
      </c>
      <c r="E1009" t="s">
        <v>78</v>
      </c>
      <c r="F1009" t="s">
        <v>95</v>
      </c>
      <c r="G1009" t="s">
        <v>32</v>
      </c>
      <c r="H1009">
        <v>7.8</v>
      </c>
      <c r="I1009">
        <v>7.4</v>
      </c>
      <c r="J1009" t="s">
        <v>144</v>
      </c>
      <c r="K1009" t="s">
        <v>612</v>
      </c>
      <c r="L1009" t="s">
        <v>140</v>
      </c>
      <c r="M1009" t="s">
        <v>461</v>
      </c>
      <c r="N1009" t="s">
        <v>50</v>
      </c>
      <c r="O1009">
        <v>156</v>
      </c>
      <c r="Q1009">
        <v>0</v>
      </c>
      <c r="R1009">
        <v>0</v>
      </c>
      <c r="T1009" t="s">
        <v>62</v>
      </c>
      <c r="U1009" t="s">
        <v>39</v>
      </c>
      <c r="V1009" t="s">
        <v>39</v>
      </c>
      <c r="W1009" t="s">
        <v>52</v>
      </c>
      <c r="X1009">
        <v>2024</v>
      </c>
      <c r="Y1009" t="s">
        <v>312</v>
      </c>
      <c r="Z1009" t="s">
        <v>83</v>
      </c>
    </row>
    <row r="1010" spans="1:26">
      <c r="A1010" t="s">
        <v>2018</v>
      </c>
      <c r="B1010" t="s">
        <v>27</v>
      </c>
      <c r="C1010" t="s">
        <v>173</v>
      </c>
      <c r="D1010" t="s">
        <v>85</v>
      </c>
      <c r="E1010" t="s">
        <v>174</v>
      </c>
      <c r="F1010" t="s">
        <v>124</v>
      </c>
      <c r="G1010" t="s">
        <v>58</v>
      </c>
      <c r="H1010">
        <v>11.4</v>
      </c>
      <c r="I1010">
        <v>17.2</v>
      </c>
      <c r="J1010" t="s">
        <v>96</v>
      </c>
      <c r="K1010" t="s">
        <v>499</v>
      </c>
      <c r="L1010" t="s">
        <v>48</v>
      </c>
      <c r="M1010" t="s">
        <v>88</v>
      </c>
      <c r="N1010" t="s">
        <v>50</v>
      </c>
      <c r="O1010">
        <v>56</v>
      </c>
      <c r="Q1010">
        <v>0</v>
      </c>
      <c r="R1010">
        <v>500</v>
      </c>
      <c r="T1010" t="s">
        <v>51</v>
      </c>
      <c r="U1010" t="s">
        <v>52</v>
      </c>
      <c r="V1010" t="s">
        <v>39</v>
      </c>
      <c r="W1010" t="s">
        <v>52</v>
      </c>
      <c r="X1010">
        <v>2022</v>
      </c>
      <c r="Y1010" t="s">
        <v>128</v>
      </c>
      <c r="Z1010" t="s">
        <v>64</v>
      </c>
    </row>
    <row r="1011" spans="1:26">
      <c r="A1011" t="s">
        <v>2019</v>
      </c>
      <c r="B1011" t="s">
        <v>93</v>
      </c>
      <c r="C1011" t="s">
        <v>164</v>
      </c>
      <c r="D1011" t="s">
        <v>29</v>
      </c>
      <c r="E1011" t="s">
        <v>94</v>
      </c>
      <c r="F1011" t="s">
        <v>57</v>
      </c>
      <c r="G1011" t="s">
        <v>58</v>
      </c>
      <c r="H1011">
        <v>9.6999999999999993</v>
      </c>
      <c r="I1011">
        <v>2.8</v>
      </c>
      <c r="J1011" t="s">
        <v>33</v>
      </c>
      <c r="K1011" t="s">
        <v>2020</v>
      </c>
      <c r="L1011" t="s">
        <v>48</v>
      </c>
      <c r="M1011" t="s">
        <v>2021</v>
      </c>
      <c r="N1011" t="s">
        <v>71</v>
      </c>
      <c r="O1011">
        <v>150</v>
      </c>
      <c r="P1011" t="s">
        <v>112</v>
      </c>
      <c r="Q1011">
        <v>4000</v>
      </c>
      <c r="R1011">
        <v>500</v>
      </c>
      <c r="S1011" t="s">
        <v>73</v>
      </c>
      <c r="T1011" t="s">
        <v>62</v>
      </c>
      <c r="U1011" t="s">
        <v>52</v>
      </c>
      <c r="V1011" t="s">
        <v>52</v>
      </c>
      <c r="W1011" t="s">
        <v>52</v>
      </c>
      <c r="X1011">
        <v>2023</v>
      </c>
      <c r="Y1011" t="s">
        <v>211</v>
      </c>
      <c r="Z1011" t="s">
        <v>41</v>
      </c>
    </row>
    <row r="1012" spans="1:26">
      <c r="A1012" t="s">
        <v>2022</v>
      </c>
      <c r="B1012" t="s">
        <v>66</v>
      </c>
      <c r="C1012" t="s">
        <v>173</v>
      </c>
      <c r="D1012" t="s">
        <v>29</v>
      </c>
      <c r="E1012" t="s">
        <v>30</v>
      </c>
      <c r="F1012" t="s">
        <v>95</v>
      </c>
      <c r="G1012" t="s">
        <v>58</v>
      </c>
      <c r="H1012">
        <v>7.9</v>
      </c>
      <c r="I1012">
        <v>22.3</v>
      </c>
      <c r="J1012" t="s">
        <v>33</v>
      </c>
      <c r="K1012" t="s">
        <v>131</v>
      </c>
      <c r="L1012" t="s">
        <v>60</v>
      </c>
      <c r="M1012" t="s">
        <v>1413</v>
      </c>
      <c r="N1012" t="s">
        <v>71</v>
      </c>
      <c r="O1012">
        <v>15</v>
      </c>
      <c r="P1012" t="s">
        <v>105</v>
      </c>
      <c r="Q1012">
        <v>4206</v>
      </c>
      <c r="R1012">
        <v>2000</v>
      </c>
      <c r="S1012" t="s">
        <v>90</v>
      </c>
      <c r="T1012" t="s">
        <v>81</v>
      </c>
      <c r="U1012" t="s">
        <v>39</v>
      </c>
      <c r="V1012" t="s">
        <v>39</v>
      </c>
      <c r="W1012" t="s">
        <v>52</v>
      </c>
      <c r="X1012">
        <v>2024</v>
      </c>
      <c r="Y1012" t="s">
        <v>74</v>
      </c>
      <c r="Z1012" t="s">
        <v>54</v>
      </c>
    </row>
    <row r="1013" spans="1:26">
      <c r="A1013" t="s">
        <v>2023</v>
      </c>
      <c r="B1013" t="s">
        <v>43</v>
      </c>
      <c r="C1013" t="s">
        <v>164</v>
      </c>
      <c r="D1013" t="s">
        <v>77</v>
      </c>
      <c r="E1013" t="s">
        <v>168</v>
      </c>
      <c r="F1013" t="s">
        <v>95</v>
      </c>
      <c r="G1013" t="s">
        <v>32</v>
      </c>
      <c r="H1013">
        <v>10.7</v>
      </c>
      <c r="I1013">
        <v>11</v>
      </c>
      <c r="J1013" t="s">
        <v>33</v>
      </c>
      <c r="K1013" t="s">
        <v>718</v>
      </c>
      <c r="L1013" t="s">
        <v>140</v>
      </c>
      <c r="M1013" t="s">
        <v>2024</v>
      </c>
      <c r="N1013" t="s">
        <v>71</v>
      </c>
      <c r="O1013">
        <v>8</v>
      </c>
      <c r="P1013" t="s">
        <v>105</v>
      </c>
      <c r="Q1013">
        <v>7477</v>
      </c>
      <c r="R1013">
        <v>500</v>
      </c>
      <c r="S1013" t="s">
        <v>113</v>
      </c>
      <c r="T1013" t="s">
        <v>62</v>
      </c>
      <c r="U1013" t="s">
        <v>52</v>
      </c>
      <c r="V1013" t="s">
        <v>52</v>
      </c>
      <c r="W1013" t="s">
        <v>52</v>
      </c>
      <c r="X1013">
        <v>2024</v>
      </c>
      <c r="Y1013" t="s">
        <v>128</v>
      </c>
      <c r="Z1013" t="s">
        <v>64</v>
      </c>
    </row>
    <row r="1014" spans="1:26">
      <c r="A1014" t="s">
        <v>2025</v>
      </c>
      <c r="B1014" t="s">
        <v>108</v>
      </c>
      <c r="C1014" t="s">
        <v>28</v>
      </c>
      <c r="D1014" t="s">
        <v>77</v>
      </c>
      <c r="E1014" t="s">
        <v>220</v>
      </c>
      <c r="F1014" t="s">
        <v>68</v>
      </c>
      <c r="G1014" t="s">
        <v>58</v>
      </c>
      <c r="H1014">
        <v>0.7</v>
      </c>
      <c r="I1014">
        <v>16.899999999999999</v>
      </c>
      <c r="J1014" t="s">
        <v>144</v>
      </c>
      <c r="K1014" t="s">
        <v>354</v>
      </c>
      <c r="L1014" t="s">
        <v>140</v>
      </c>
      <c r="M1014" t="s">
        <v>394</v>
      </c>
      <c r="N1014" t="s">
        <v>71</v>
      </c>
      <c r="O1014">
        <v>16</v>
      </c>
      <c r="P1014" t="s">
        <v>230</v>
      </c>
      <c r="Q1014">
        <v>5125</v>
      </c>
      <c r="R1014">
        <v>1000</v>
      </c>
      <c r="S1014" t="s">
        <v>152</v>
      </c>
      <c r="T1014" t="s">
        <v>62</v>
      </c>
      <c r="U1014" t="s">
        <v>52</v>
      </c>
      <c r="V1014" t="s">
        <v>39</v>
      </c>
      <c r="W1014" t="s">
        <v>39</v>
      </c>
      <c r="X1014">
        <v>2022</v>
      </c>
      <c r="Y1014" t="s">
        <v>63</v>
      </c>
      <c r="Z1014" t="s">
        <v>64</v>
      </c>
    </row>
    <row r="1015" spans="1:26">
      <c r="A1015" t="s">
        <v>2026</v>
      </c>
      <c r="B1015" t="s">
        <v>108</v>
      </c>
      <c r="C1015" t="s">
        <v>44</v>
      </c>
      <c r="D1015" t="s">
        <v>77</v>
      </c>
      <c r="E1015" t="s">
        <v>78</v>
      </c>
      <c r="F1015" t="s">
        <v>31</v>
      </c>
      <c r="G1015" t="s">
        <v>32</v>
      </c>
      <c r="H1015">
        <v>6.8</v>
      </c>
      <c r="I1015">
        <v>17.899999999999999</v>
      </c>
      <c r="J1015" t="s">
        <v>156</v>
      </c>
      <c r="K1015" t="s">
        <v>226</v>
      </c>
      <c r="L1015" t="s">
        <v>98</v>
      </c>
      <c r="M1015" t="s">
        <v>793</v>
      </c>
      <c r="N1015" t="s">
        <v>100</v>
      </c>
      <c r="O1015">
        <v>43</v>
      </c>
      <c r="Q1015">
        <v>0</v>
      </c>
      <c r="R1015">
        <v>0</v>
      </c>
      <c r="T1015" t="s">
        <v>38</v>
      </c>
      <c r="U1015" t="s">
        <v>39</v>
      </c>
      <c r="V1015" t="s">
        <v>39</v>
      </c>
      <c r="W1015" t="s">
        <v>52</v>
      </c>
      <c r="X1015">
        <v>2023</v>
      </c>
      <c r="Y1015" t="s">
        <v>40</v>
      </c>
      <c r="Z1015" t="s">
        <v>41</v>
      </c>
    </row>
    <row r="1016" spans="1:26">
      <c r="A1016" t="s">
        <v>2027</v>
      </c>
      <c r="B1016" t="s">
        <v>108</v>
      </c>
      <c r="C1016" t="s">
        <v>102</v>
      </c>
      <c r="D1016" t="s">
        <v>77</v>
      </c>
      <c r="E1016" t="s">
        <v>143</v>
      </c>
      <c r="F1016" t="s">
        <v>68</v>
      </c>
      <c r="G1016" t="s">
        <v>32</v>
      </c>
      <c r="H1016">
        <v>1.4</v>
      </c>
      <c r="I1016">
        <v>15.2</v>
      </c>
      <c r="J1016" t="s">
        <v>33</v>
      </c>
      <c r="K1016" t="s">
        <v>1625</v>
      </c>
      <c r="L1016" t="s">
        <v>98</v>
      </c>
      <c r="M1016" t="s">
        <v>1116</v>
      </c>
      <c r="N1016" t="s">
        <v>100</v>
      </c>
      <c r="O1016">
        <v>23</v>
      </c>
      <c r="Q1016">
        <v>0</v>
      </c>
      <c r="R1016">
        <v>0</v>
      </c>
      <c r="T1016" t="s">
        <v>62</v>
      </c>
      <c r="U1016" t="s">
        <v>39</v>
      </c>
      <c r="V1016" t="s">
        <v>52</v>
      </c>
      <c r="W1016" t="s">
        <v>52</v>
      </c>
      <c r="X1016">
        <v>2023</v>
      </c>
      <c r="Y1016" t="s">
        <v>153</v>
      </c>
      <c r="Z1016" t="s">
        <v>54</v>
      </c>
    </row>
    <row r="1017" spans="1:26">
      <c r="A1017" t="s">
        <v>2028</v>
      </c>
      <c r="B1017" t="s">
        <v>27</v>
      </c>
      <c r="C1017" t="s">
        <v>44</v>
      </c>
      <c r="D1017" t="s">
        <v>122</v>
      </c>
      <c r="E1017" t="s">
        <v>123</v>
      </c>
      <c r="F1017" t="s">
        <v>160</v>
      </c>
      <c r="G1017" t="s">
        <v>32</v>
      </c>
      <c r="H1017">
        <v>2.2999999999999998</v>
      </c>
      <c r="I1017">
        <v>22.6</v>
      </c>
      <c r="J1017" t="s">
        <v>144</v>
      </c>
      <c r="K1017" t="s">
        <v>651</v>
      </c>
      <c r="L1017" t="s">
        <v>140</v>
      </c>
      <c r="M1017" t="s">
        <v>294</v>
      </c>
      <c r="N1017" t="s">
        <v>100</v>
      </c>
      <c r="O1017">
        <v>149</v>
      </c>
      <c r="Q1017">
        <v>0</v>
      </c>
      <c r="R1017">
        <v>0</v>
      </c>
      <c r="T1017" t="s">
        <v>81</v>
      </c>
      <c r="U1017" t="s">
        <v>39</v>
      </c>
      <c r="V1017" t="s">
        <v>52</v>
      </c>
      <c r="W1017" t="s">
        <v>52</v>
      </c>
      <c r="X1017">
        <v>2024</v>
      </c>
      <c r="Y1017" t="s">
        <v>40</v>
      </c>
      <c r="Z1017" t="s">
        <v>41</v>
      </c>
    </row>
    <row r="1018" spans="1:26">
      <c r="A1018" t="s">
        <v>2029</v>
      </c>
      <c r="B1018" t="s">
        <v>43</v>
      </c>
      <c r="C1018" t="s">
        <v>67</v>
      </c>
      <c r="D1018" t="s">
        <v>77</v>
      </c>
      <c r="E1018" t="s">
        <v>168</v>
      </c>
      <c r="F1018" t="s">
        <v>95</v>
      </c>
      <c r="G1018" t="s">
        <v>32</v>
      </c>
      <c r="H1018">
        <v>1.9</v>
      </c>
      <c r="I1018">
        <v>15.8</v>
      </c>
      <c r="J1018" t="s">
        <v>33</v>
      </c>
      <c r="K1018" t="s">
        <v>197</v>
      </c>
      <c r="L1018" t="s">
        <v>48</v>
      </c>
      <c r="M1018" t="s">
        <v>1553</v>
      </c>
      <c r="N1018" t="s">
        <v>61</v>
      </c>
      <c r="O1018">
        <v>131</v>
      </c>
      <c r="Q1018">
        <v>0</v>
      </c>
      <c r="R1018">
        <v>0</v>
      </c>
      <c r="T1018" t="s">
        <v>51</v>
      </c>
      <c r="U1018" t="s">
        <v>39</v>
      </c>
      <c r="V1018" t="s">
        <v>52</v>
      </c>
      <c r="W1018" t="s">
        <v>52</v>
      </c>
      <c r="X1018">
        <v>2024</v>
      </c>
      <c r="Y1018" t="s">
        <v>40</v>
      </c>
      <c r="Z1018" t="s">
        <v>41</v>
      </c>
    </row>
    <row r="1019" spans="1:26">
      <c r="A1019" t="s">
        <v>2030</v>
      </c>
      <c r="B1019" t="s">
        <v>27</v>
      </c>
      <c r="C1019" t="s">
        <v>102</v>
      </c>
      <c r="D1019" t="s">
        <v>29</v>
      </c>
      <c r="E1019" t="s">
        <v>244</v>
      </c>
      <c r="F1019" t="s">
        <v>31</v>
      </c>
      <c r="G1019" t="s">
        <v>58</v>
      </c>
      <c r="H1019">
        <v>6.5</v>
      </c>
      <c r="I1019">
        <v>18.899999999999999</v>
      </c>
      <c r="J1019" t="s">
        <v>144</v>
      </c>
      <c r="K1019" t="s">
        <v>1034</v>
      </c>
      <c r="L1019" t="s">
        <v>48</v>
      </c>
      <c r="M1019" t="s">
        <v>1245</v>
      </c>
      <c r="N1019" t="s">
        <v>37</v>
      </c>
      <c r="O1019">
        <v>1</v>
      </c>
      <c r="Q1019">
        <v>0</v>
      </c>
      <c r="R1019">
        <v>500</v>
      </c>
      <c r="T1019" t="s">
        <v>51</v>
      </c>
      <c r="U1019" t="s">
        <v>52</v>
      </c>
      <c r="V1019" t="s">
        <v>52</v>
      </c>
      <c r="W1019" t="s">
        <v>52</v>
      </c>
      <c r="X1019">
        <v>2022</v>
      </c>
      <c r="Y1019" t="s">
        <v>114</v>
      </c>
      <c r="Z1019" t="s">
        <v>41</v>
      </c>
    </row>
    <row r="1020" spans="1:26">
      <c r="A1020" t="s">
        <v>2031</v>
      </c>
      <c r="B1020" t="s">
        <v>43</v>
      </c>
      <c r="C1020" t="s">
        <v>28</v>
      </c>
      <c r="D1020" t="s">
        <v>29</v>
      </c>
      <c r="E1020" t="s">
        <v>117</v>
      </c>
      <c r="F1020" t="s">
        <v>31</v>
      </c>
      <c r="G1020" t="s">
        <v>58</v>
      </c>
      <c r="H1020">
        <v>0.9</v>
      </c>
      <c r="I1020">
        <v>10.8</v>
      </c>
      <c r="J1020" t="s">
        <v>33</v>
      </c>
      <c r="K1020" t="s">
        <v>145</v>
      </c>
      <c r="L1020" t="s">
        <v>98</v>
      </c>
      <c r="M1020" t="s">
        <v>1540</v>
      </c>
      <c r="N1020" t="s">
        <v>71</v>
      </c>
      <c r="O1020">
        <v>109</v>
      </c>
      <c r="P1020" t="s">
        <v>105</v>
      </c>
      <c r="Q1020">
        <v>4052</v>
      </c>
      <c r="R1020">
        <v>5000</v>
      </c>
      <c r="S1020" t="s">
        <v>113</v>
      </c>
      <c r="T1020" t="s">
        <v>81</v>
      </c>
      <c r="U1020" t="s">
        <v>52</v>
      </c>
      <c r="V1020" t="s">
        <v>39</v>
      </c>
      <c r="W1020" t="s">
        <v>52</v>
      </c>
      <c r="X1020">
        <v>2022</v>
      </c>
      <c r="Y1020" t="s">
        <v>53</v>
      </c>
      <c r="Z1020" t="s">
        <v>54</v>
      </c>
    </row>
    <row r="1021" spans="1:26">
      <c r="A1021" t="s">
        <v>2032</v>
      </c>
      <c r="B1021" t="s">
        <v>93</v>
      </c>
      <c r="C1021" t="s">
        <v>67</v>
      </c>
      <c r="D1021" t="s">
        <v>77</v>
      </c>
      <c r="E1021" t="s">
        <v>78</v>
      </c>
      <c r="F1021" t="s">
        <v>109</v>
      </c>
      <c r="G1021" t="s">
        <v>58</v>
      </c>
      <c r="H1021">
        <v>2.2999999999999998</v>
      </c>
      <c r="I1021">
        <v>9.1</v>
      </c>
      <c r="J1021" t="s">
        <v>144</v>
      </c>
      <c r="K1021" t="s">
        <v>2033</v>
      </c>
      <c r="L1021" t="s">
        <v>60</v>
      </c>
      <c r="M1021" t="s">
        <v>1464</v>
      </c>
      <c r="N1021" t="s">
        <v>171</v>
      </c>
      <c r="O1021">
        <v>1</v>
      </c>
      <c r="Q1021">
        <v>0</v>
      </c>
      <c r="R1021">
        <v>0</v>
      </c>
      <c r="T1021" t="s">
        <v>38</v>
      </c>
      <c r="U1021" t="s">
        <v>39</v>
      </c>
      <c r="V1021" t="s">
        <v>52</v>
      </c>
      <c r="W1021" t="s">
        <v>52</v>
      </c>
      <c r="X1021">
        <v>2024</v>
      </c>
      <c r="Y1021" t="s">
        <v>74</v>
      </c>
      <c r="Z1021" t="s">
        <v>54</v>
      </c>
    </row>
    <row r="1022" spans="1:26">
      <c r="A1022" t="s">
        <v>2034</v>
      </c>
      <c r="B1022" t="s">
        <v>43</v>
      </c>
      <c r="C1022" t="s">
        <v>173</v>
      </c>
      <c r="D1022" t="s">
        <v>29</v>
      </c>
      <c r="E1022" t="s">
        <v>117</v>
      </c>
      <c r="F1022" t="s">
        <v>160</v>
      </c>
      <c r="G1022" t="s">
        <v>58</v>
      </c>
      <c r="H1022">
        <v>5.2</v>
      </c>
      <c r="I1022">
        <v>22.9</v>
      </c>
      <c r="J1022" t="s">
        <v>96</v>
      </c>
      <c r="K1022" t="s">
        <v>2035</v>
      </c>
      <c r="L1022" t="s">
        <v>140</v>
      </c>
      <c r="M1022" t="s">
        <v>355</v>
      </c>
      <c r="N1022" t="s">
        <v>71</v>
      </c>
      <c r="O1022">
        <v>68</v>
      </c>
      <c r="P1022" t="s">
        <v>112</v>
      </c>
      <c r="Q1022">
        <v>4024</v>
      </c>
      <c r="R1022">
        <v>0</v>
      </c>
      <c r="S1022" t="s">
        <v>90</v>
      </c>
      <c r="T1022" t="s">
        <v>38</v>
      </c>
      <c r="U1022" t="s">
        <v>52</v>
      </c>
      <c r="V1022" t="s">
        <v>52</v>
      </c>
      <c r="W1022" t="s">
        <v>52</v>
      </c>
      <c r="X1022">
        <v>2022</v>
      </c>
      <c r="Y1022" t="s">
        <v>91</v>
      </c>
      <c r="Z1022" t="s">
        <v>64</v>
      </c>
    </row>
    <row r="1023" spans="1:26">
      <c r="A1023" t="s">
        <v>2036</v>
      </c>
      <c r="B1023" t="s">
        <v>27</v>
      </c>
      <c r="C1023" t="s">
        <v>76</v>
      </c>
      <c r="D1023" t="s">
        <v>29</v>
      </c>
      <c r="E1023" t="s">
        <v>195</v>
      </c>
      <c r="F1023" t="s">
        <v>109</v>
      </c>
      <c r="G1023" t="s">
        <v>58</v>
      </c>
      <c r="H1023">
        <v>7.2</v>
      </c>
      <c r="I1023">
        <v>20.3</v>
      </c>
      <c r="J1023" t="s">
        <v>96</v>
      </c>
      <c r="K1023" t="s">
        <v>539</v>
      </c>
      <c r="L1023" t="s">
        <v>126</v>
      </c>
      <c r="M1023" t="s">
        <v>710</v>
      </c>
      <c r="N1023" t="s">
        <v>61</v>
      </c>
      <c r="O1023">
        <v>33</v>
      </c>
      <c r="Q1023">
        <v>0</v>
      </c>
      <c r="R1023">
        <v>0</v>
      </c>
      <c r="T1023" t="s">
        <v>136</v>
      </c>
      <c r="U1023" t="s">
        <v>39</v>
      </c>
      <c r="V1023" t="s">
        <v>39</v>
      </c>
      <c r="W1023" t="s">
        <v>52</v>
      </c>
      <c r="X1023">
        <v>2024</v>
      </c>
      <c r="Y1023" t="s">
        <v>128</v>
      </c>
      <c r="Z1023" t="s">
        <v>64</v>
      </c>
    </row>
    <row r="1024" spans="1:26">
      <c r="A1024" t="s">
        <v>2037</v>
      </c>
      <c r="B1024" t="s">
        <v>108</v>
      </c>
      <c r="C1024" t="s">
        <v>44</v>
      </c>
      <c r="D1024" t="s">
        <v>29</v>
      </c>
      <c r="E1024" t="s">
        <v>117</v>
      </c>
      <c r="F1024" t="s">
        <v>160</v>
      </c>
      <c r="G1024" t="s">
        <v>32</v>
      </c>
      <c r="H1024">
        <v>10.1</v>
      </c>
      <c r="I1024">
        <v>22</v>
      </c>
      <c r="J1024" t="s">
        <v>20</v>
      </c>
      <c r="K1024" t="s">
        <v>1605</v>
      </c>
      <c r="L1024" t="s">
        <v>98</v>
      </c>
      <c r="M1024" t="s">
        <v>1961</v>
      </c>
      <c r="N1024" t="s">
        <v>71</v>
      </c>
      <c r="O1024">
        <v>106</v>
      </c>
      <c r="P1024" t="s">
        <v>105</v>
      </c>
      <c r="Q1024">
        <v>4724</v>
      </c>
      <c r="R1024">
        <v>0</v>
      </c>
      <c r="S1024" t="s">
        <v>113</v>
      </c>
      <c r="T1024" t="s">
        <v>62</v>
      </c>
      <c r="U1024" t="s">
        <v>52</v>
      </c>
      <c r="V1024" t="s">
        <v>52</v>
      </c>
      <c r="W1024" t="s">
        <v>52</v>
      </c>
      <c r="X1024">
        <v>2023</v>
      </c>
      <c r="Y1024" t="s">
        <v>40</v>
      </c>
      <c r="Z1024" t="s">
        <v>41</v>
      </c>
    </row>
    <row r="1025" spans="1:26">
      <c r="A1025" t="s">
        <v>2038</v>
      </c>
      <c r="B1025" t="s">
        <v>93</v>
      </c>
      <c r="C1025" t="s">
        <v>67</v>
      </c>
      <c r="D1025" t="s">
        <v>29</v>
      </c>
      <c r="E1025" t="s">
        <v>244</v>
      </c>
      <c r="F1025" t="s">
        <v>31</v>
      </c>
      <c r="G1025" t="s">
        <v>32</v>
      </c>
      <c r="H1025">
        <v>8.3000000000000007</v>
      </c>
      <c r="I1025">
        <v>30.4</v>
      </c>
      <c r="J1025" t="s">
        <v>33</v>
      </c>
      <c r="K1025" t="s">
        <v>773</v>
      </c>
      <c r="L1025" t="s">
        <v>98</v>
      </c>
      <c r="M1025" t="s">
        <v>2039</v>
      </c>
      <c r="N1025" t="s">
        <v>61</v>
      </c>
      <c r="O1025">
        <v>146</v>
      </c>
      <c r="Q1025">
        <v>0</v>
      </c>
      <c r="R1025">
        <v>0</v>
      </c>
      <c r="T1025" t="s">
        <v>38</v>
      </c>
      <c r="U1025" t="s">
        <v>39</v>
      </c>
      <c r="V1025" t="s">
        <v>39</v>
      </c>
      <c r="W1025" t="s">
        <v>52</v>
      </c>
      <c r="X1025">
        <v>2024</v>
      </c>
      <c r="Y1025" t="s">
        <v>82</v>
      </c>
      <c r="Z1025" t="s">
        <v>83</v>
      </c>
    </row>
    <row r="1026" spans="1:26">
      <c r="A1026" t="s">
        <v>2040</v>
      </c>
      <c r="B1026" t="s">
        <v>66</v>
      </c>
      <c r="C1026" t="s">
        <v>76</v>
      </c>
      <c r="D1026" t="s">
        <v>77</v>
      </c>
      <c r="E1026" t="s">
        <v>216</v>
      </c>
      <c r="F1026" t="s">
        <v>46</v>
      </c>
      <c r="G1026" t="s">
        <v>58</v>
      </c>
      <c r="H1026">
        <v>3</v>
      </c>
      <c r="I1026">
        <v>32.5</v>
      </c>
      <c r="J1026" t="s">
        <v>33</v>
      </c>
      <c r="K1026" t="s">
        <v>2041</v>
      </c>
      <c r="L1026" t="s">
        <v>126</v>
      </c>
      <c r="M1026" t="s">
        <v>2042</v>
      </c>
      <c r="N1026" t="s">
        <v>50</v>
      </c>
      <c r="O1026">
        <v>176</v>
      </c>
      <c r="Q1026">
        <v>0</v>
      </c>
      <c r="R1026">
        <v>500</v>
      </c>
      <c r="T1026" t="s">
        <v>38</v>
      </c>
      <c r="U1026" t="s">
        <v>52</v>
      </c>
      <c r="V1026" t="s">
        <v>52</v>
      </c>
      <c r="W1026" t="s">
        <v>39</v>
      </c>
      <c r="X1026">
        <v>2022</v>
      </c>
      <c r="Y1026" t="s">
        <v>74</v>
      </c>
      <c r="Z1026" t="s">
        <v>54</v>
      </c>
    </row>
    <row r="1027" spans="1:26">
      <c r="A1027" t="s">
        <v>2043</v>
      </c>
      <c r="B1027" t="s">
        <v>66</v>
      </c>
      <c r="C1027" t="s">
        <v>164</v>
      </c>
      <c r="D1027" t="s">
        <v>77</v>
      </c>
      <c r="E1027" t="s">
        <v>94</v>
      </c>
      <c r="F1027" t="s">
        <v>95</v>
      </c>
      <c r="G1027" t="s">
        <v>32</v>
      </c>
      <c r="H1027">
        <v>3.1</v>
      </c>
      <c r="I1027">
        <v>34.200000000000003</v>
      </c>
      <c r="J1027" t="s">
        <v>33</v>
      </c>
      <c r="K1027" t="s">
        <v>389</v>
      </c>
      <c r="L1027" t="s">
        <v>60</v>
      </c>
      <c r="M1027" t="s">
        <v>1897</v>
      </c>
      <c r="N1027" t="s">
        <v>171</v>
      </c>
      <c r="O1027">
        <v>108</v>
      </c>
      <c r="Q1027">
        <v>0</v>
      </c>
      <c r="R1027">
        <v>0</v>
      </c>
      <c r="T1027" t="s">
        <v>62</v>
      </c>
      <c r="U1027" t="s">
        <v>39</v>
      </c>
      <c r="V1027" t="s">
        <v>52</v>
      </c>
      <c r="W1027" t="s">
        <v>52</v>
      </c>
      <c r="X1027">
        <v>2023</v>
      </c>
      <c r="Y1027" t="s">
        <v>312</v>
      </c>
      <c r="Z1027" t="s">
        <v>83</v>
      </c>
    </row>
    <row r="1028" spans="1:26">
      <c r="A1028" t="s">
        <v>2044</v>
      </c>
      <c r="B1028" t="s">
        <v>27</v>
      </c>
      <c r="C1028" t="s">
        <v>173</v>
      </c>
      <c r="D1028" t="s">
        <v>77</v>
      </c>
      <c r="E1028" t="s">
        <v>220</v>
      </c>
      <c r="F1028" t="s">
        <v>68</v>
      </c>
      <c r="G1028" t="s">
        <v>58</v>
      </c>
      <c r="H1028">
        <v>9.6999999999999993</v>
      </c>
      <c r="I1028">
        <v>10.8</v>
      </c>
      <c r="J1028" t="s">
        <v>33</v>
      </c>
      <c r="K1028" t="s">
        <v>2045</v>
      </c>
      <c r="L1028" t="s">
        <v>126</v>
      </c>
      <c r="M1028" t="s">
        <v>957</v>
      </c>
      <c r="N1028" t="s">
        <v>61</v>
      </c>
      <c r="O1028">
        <v>153</v>
      </c>
      <c r="Q1028">
        <v>0</v>
      </c>
      <c r="R1028">
        <v>0</v>
      </c>
      <c r="T1028" t="s">
        <v>136</v>
      </c>
      <c r="U1028" t="s">
        <v>39</v>
      </c>
      <c r="V1028" t="s">
        <v>52</v>
      </c>
      <c r="W1028" t="s">
        <v>52</v>
      </c>
      <c r="X1028">
        <v>2022</v>
      </c>
      <c r="Y1028" t="s">
        <v>82</v>
      </c>
      <c r="Z1028" t="s">
        <v>83</v>
      </c>
    </row>
    <row r="1029" spans="1:26">
      <c r="A1029" t="s">
        <v>2046</v>
      </c>
      <c r="B1029" t="s">
        <v>116</v>
      </c>
      <c r="C1029" t="s">
        <v>173</v>
      </c>
      <c r="D1029" t="s">
        <v>85</v>
      </c>
      <c r="E1029" t="s">
        <v>86</v>
      </c>
      <c r="F1029" t="s">
        <v>46</v>
      </c>
      <c r="G1029" t="s">
        <v>32</v>
      </c>
      <c r="H1029">
        <v>9.5</v>
      </c>
      <c r="I1029">
        <v>9.5</v>
      </c>
      <c r="J1029" t="s">
        <v>96</v>
      </c>
      <c r="K1029" t="s">
        <v>1722</v>
      </c>
      <c r="L1029" t="s">
        <v>60</v>
      </c>
      <c r="M1029" t="s">
        <v>428</v>
      </c>
      <c r="N1029" t="s">
        <v>171</v>
      </c>
      <c r="O1029">
        <v>13</v>
      </c>
      <c r="Q1029">
        <v>0</v>
      </c>
      <c r="R1029">
        <v>0</v>
      </c>
      <c r="T1029" t="s">
        <v>136</v>
      </c>
      <c r="U1029" t="s">
        <v>52</v>
      </c>
      <c r="V1029" t="s">
        <v>52</v>
      </c>
      <c r="W1029" t="s">
        <v>39</v>
      </c>
      <c r="X1029">
        <v>2024</v>
      </c>
      <c r="Y1029" t="s">
        <v>74</v>
      </c>
      <c r="Z1029" t="s">
        <v>54</v>
      </c>
    </row>
    <row r="1030" spans="1:26">
      <c r="A1030" t="s">
        <v>2047</v>
      </c>
      <c r="B1030" t="s">
        <v>116</v>
      </c>
      <c r="C1030" t="s">
        <v>44</v>
      </c>
      <c r="D1030" t="s">
        <v>77</v>
      </c>
      <c r="E1030" t="s">
        <v>78</v>
      </c>
      <c r="F1030" t="s">
        <v>68</v>
      </c>
      <c r="G1030" t="s">
        <v>58</v>
      </c>
      <c r="H1030">
        <v>9.4</v>
      </c>
      <c r="I1030">
        <v>28.3</v>
      </c>
      <c r="J1030" t="s">
        <v>96</v>
      </c>
      <c r="K1030" t="s">
        <v>875</v>
      </c>
      <c r="L1030" t="s">
        <v>60</v>
      </c>
      <c r="M1030" t="s">
        <v>1375</v>
      </c>
      <c r="N1030" t="s">
        <v>37</v>
      </c>
      <c r="O1030">
        <v>82</v>
      </c>
      <c r="Q1030">
        <v>0</v>
      </c>
      <c r="R1030">
        <v>0</v>
      </c>
      <c r="T1030" t="s">
        <v>51</v>
      </c>
      <c r="U1030" t="s">
        <v>52</v>
      </c>
      <c r="V1030" t="s">
        <v>52</v>
      </c>
      <c r="W1030" t="s">
        <v>52</v>
      </c>
      <c r="X1030">
        <v>2023</v>
      </c>
      <c r="Y1030" t="s">
        <v>114</v>
      </c>
      <c r="Z1030" t="s">
        <v>41</v>
      </c>
    </row>
    <row r="1031" spans="1:26">
      <c r="A1031" t="s">
        <v>2048</v>
      </c>
      <c r="B1031" t="s">
        <v>93</v>
      </c>
      <c r="C1031" t="s">
        <v>67</v>
      </c>
      <c r="D1031" t="s">
        <v>77</v>
      </c>
      <c r="E1031" t="s">
        <v>94</v>
      </c>
      <c r="F1031" t="s">
        <v>124</v>
      </c>
      <c r="G1031" t="s">
        <v>58</v>
      </c>
      <c r="H1031">
        <v>0.7</v>
      </c>
      <c r="I1031">
        <v>14.2</v>
      </c>
      <c r="J1031" t="s">
        <v>33</v>
      </c>
      <c r="K1031" t="s">
        <v>2049</v>
      </c>
      <c r="L1031" t="s">
        <v>98</v>
      </c>
      <c r="M1031" t="s">
        <v>724</v>
      </c>
      <c r="N1031" t="s">
        <v>61</v>
      </c>
      <c r="O1031">
        <v>180</v>
      </c>
      <c r="Q1031">
        <v>0</v>
      </c>
      <c r="R1031">
        <v>0</v>
      </c>
      <c r="T1031" t="s">
        <v>136</v>
      </c>
      <c r="U1031" t="s">
        <v>39</v>
      </c>
      <c r="V1031" t="s">
        <v>39</v>
      </c>
      <c r="W1031" t="s">
        <v>39</v>
      </c>
      <c r="X1031">
        <v>2023</v>
      </c>
      <c r="Y1031" t="s">
        <v>128</v>
      </c>
      <c r="Z1031" t="s">
        <v>64</v>
      </c>
    </row>
    <row r="1032" spans="1:26">
      <c r="A1032" t="s">
        <v>2050</v>
      </c>
      <c r="B1032" t="s">
        <v>66</v>
      </c>
      <c r="C1032" t="s">
        <v>121</v>
      </c>
      <c r="D1032" t="s">
        <v>77</v>
      </c>
      <c r="E1032" t="s">
        <v>216</v>
      </c>
      <c r="F1032" t="s">
        <v>160</v>
      </c>
      <c r="G1032" t="s">
        <v>32</v>
      </c>
      <c r="H1032">
        <v>11.6</v>
      </c>
      <c r="I1032">
        <v>17</v>
      </c>
      <c r="J1032" t="s">
        <v>33</v>
      </c>
      <c r="K1032" t="s">
        <v>1432</v>
      </c>
      <c r="L1032" t="s">
        <v>60</v>
      </c>
      <c r="M1032" t="s">
        <v>1007</v>
      </c>
      <c r="N1032" t="s">
        <v>50</v>
      </c>
      <c r="O1032">
        <v>47</v>
      </c>
      <c r="Q1032">
        <v>0</v>
      </c>
      <c r="R1032">
        <v>1000</v>
      </c>
      <c r="T1032" t="s">
        <v>62</v>
      </c>
      <c r="U1032" t="s">
        <v>39</v>
      </c>
      <c r="V1032" t="s">
        <v>52</v>
      </c>
      <c r="W1032" t="s">
        <v>39</v>
      </c>
      <c r="X1032">
        <v>2023</v>
      </c>
      <c r="Y1032" t="s">
        <v>211</v>
      </c>
      <c r="Z1032" t="s">
        <v>41</v>
      </c>
    </row>
    <row r="1033" spans="1:26">
      <c r="A1033" t="s">
        <v>2051</v>
      </c>
      <c r="B1033" t="s">
        <v>93</v>
      </c>
      <c r="C1033" t="s">
        <v>44</v>
      </c>
      <c r="D1033" t="s">
        <v>29</v>
      </c>
      <c r="E1033" t="s">
        <v>30</v>
      </c>
      <c r="F1033" t="s">
        <v>238</v>
      </c>
      <c r="G1033" t="s">
        <v>58</v>
      </c>
      <c r="H1033">
        <v>10.9</v>
      </c>
      <c r="I1033">
        <v>29.9</v>
      </c>
      <c r="J1033" t="s">
        <v>96</v>
      </c>
      <c r="K1033" t="s">
        <v>1698</v>
      </c>
      <c r="L1033" t="s">
        <v>140</v>
      </c>
      <c r="M1033" t="s">
        <v>310</v>
      </c>
      <c r="N1033" t="s">
        <v>71</v>
      </c>
      <c r="O1033">
        <v>72</v>
      </c>
      <c r="P1033" t="s">
        <v>230</v>
      </c>
      <c r="Q1033">
        <v>1878</v>
      </c>
      <c r="R1033">
        <v>0</v>
      </c>
      <c r="S1033" t="s">
        <v>73</v>
      </c>
      <c r="T1033" t="s">
        <v>136</v>
      </c>
      <c r="U1033" t="s">
        <v>52</v>
      </c>
      <c r="V1033" t="s">
        <v>52</v>
      </c>
      <c r="W1033" t="s">
        <v>52</v>
      </c>
      <c r="X1033">
        <v>2022</v>
      </c>
      <c r="Y1033" t="s">
        <v>63</v>
      </c>
      <c r="Z1033" t="s">
        <v>64</v>
      </c>
    </row>
    <row r="1034" spans="1:26">
      <c r="A1034" t="s">
        <v>2052</v>
      </c>
      <c r="B1034" t="s">
        <v>116</v>
      </c>
      <c r="C1034" t="s">
        <v>173</v>
      </c>
      <c r="D1034" t="s">
        <v>29</v>
      </c>
      <c r="E1034" t="s">
        <v>45</v>
      </c>
      <c r="F1034" t="s">
        <v>149</v>
      </c>
      <c r="G1034" t="s">
        <v>58</v>
      </c>
      <c r="H1034">
        <v>10.6</v>
      </c>
      <c r="I1034">
        <v>12.9</v>
      </c>
      <c r="J1034" t="s">
        <v>156</v>
      </c>
      <c r="K1034" t="s">
        <v>861</v>
      </c>
      <c r="L1034" t="s">
        <v>126</v>
      </c>
      <c r="M1034" t="s">
        <v>1189</v>
      </c>
      <c r="N1034" t="s">
        <v>71</v>
      </c>
      <c r="O1034">
        <v>21</v>
      </c>
      <c r="P1034" t="s">
        <v>72</v>
      </c>
      <c r="Q1034">
        <v>3866</v>
      </c>
      <c r="R1034">
        <v>1000</v>
      </c>
      <c r="S1034" t="s">
        <v>113</v>
      </c>
      <c r="T1034" t="s">
        <v>136</v>
      </c>
      <c r="U1034" t="s">
        <v>39</v>
      </c>
      <c r="V1034" t="s">
        <v>39</v>
      </c>
      <c r="W1034" t="s">
        <v>39</v>
      </c>
      <c r="X1034">
        <v>2023</v>
      </c>
      <c r="Y1034" t="s">
        <v>82</v>
      </c>
      <c r="Z1034" t="s">
        <v>83</v>
      </c>
    </row>
    <row r="1035" spans="1:26">
      <c r="A1035" t="s">
        <v>2053</v>
      </c>
      <c r="B1035" t="s">
        <v>108</v>
      </c>
      <c r="C1035" t="s">
        <v>67</v>
      </c>
      <c r="D1035" t="s">
        <v>77</v>
      </c>
      <c r="E1035" t="s">
        <v>220</v>
      </c>
      <c r="F1035" t="s">
        <v>124</v>
      </c>
      <c r="G1035" t="s">
        <v>32</v>
      </c>
      <c r="H1035">
        <v>2.8</v>
      </c>
      <c r="I1035">
        <v>26.7</v>
      </c>
      <c r="J1035" t="s">
        <v>33</v>
      </c>
      <c r="K1035" t="s">
        <v>420</v>
      </c>
      <c r="L1035" t="s">
        <v>98</v>
      </c>
      <c r="M1035" t="s">
        <v>226</v>
      </c>
      <c r="N1035" t="s">
        <v>61</v>
      </c>
      <c r="O1035">
        <v>136</v>
      </c>
      <c r="Q1035">
        <v>0</v>
      </c>
      <c r="R1035">
        <v>0</v>
      </c>
      <c r="T1035" t="s">
        <v>62</v>
      </c>
      <c r="U1035" t="s">
        <v>52</v>
      </c>
      <c r="V1035" t="s">
        <v>52</v>
      </c>
      <c r="W1035" t="s">
        <v>39</v>
      </c>
      <c r="X1035">
        <v>2023</v>
      </c>
      <c r="Y1035" t="s">
        <v>82</v>
      </c>
      <c r="Z1035" t="s">
        <v>83</v>
      </c>
    </row>
    <row r="1036" spans="1:26">
      <c r="A1036" t="s">
        <v>2054</v>
      </c>
      <c r="B1036" t="s">
        <v>43</v>
      </c>
      <c r="C1036" t="s">
        <v>28</v>
      </c>
      <c r="D1036" t="s">
        <v>77</v>
      </c>
      <c r="E1036" t="s">
        <v>260</v>
      </c>
      <c r="F1036" t="s">
        <v>109</v>
      </c>
      <c r="G1036" t="s">
        <v>58</v>
      </c>
      <c r="H1036">
        <v>11.4</v>
      </c>
      <c r="I1036">
        <v>6.5</v>
      </c>
      <c r="J1036" t="s">
        <v>20</v>
      </c>
      <c r="K1036" t="s">
        <v>2055</v>
      </c>
      <c r="L1036" t="s">
        <v>60</v>
      </c>
      <c r="M1036" t="s">
        <v>1627</v>
      </c>
      <c r="N1036" t="s">
        <v>61</v>
      </c>
      <c r="O1036">
        <v>95</v>
      </c>
      <c r="Q1036">
        <v>0</v>
      </c>
      <c r="R1036">
        <v>0</v>
      </c>
      <c r="T1036" t="s">
        <v>51</v>
      </c>
      <c r="U1036" t="s">
        <v>39</v>
      </c>
      <c r="V1036" t="s">
        <v>52</v>
      </c>
      <c r="W1036" t="s">
        <v>39</v>
      </c>
      <c r="X1036">
        <v>2022</v>
      </c>
      <c r="Y1036" t="s">
        <v>63</v>
      </c>
      <c r="Z1036" t="s">
        <v>64</v>
      </c>
    </row>
    <row r="1037" spans="1:26">
      <c r="A1037" t="s">
        <v>2056</v>
      </c>
      <c r="B1037" t="s">
        <v>66</v>
      </c>
      <c r="C1037" t="s">
        <v>164</v>
      </c>
      <c r="D1037" t="s">
        <v>77</v>
      </c>
      <c r="E1037" t="s">
        <v>94</v>
      </c>
      <c r="F1037" t="s">
        <v>124</v>
      </c>
      <c r="G1037" t="s">
        <v>58</v>
      </c>
      <c r="H1037">
        <v>3.5</v>
      </c>
      <c r="I1037">
        <v>16.600000000000001</v>
      </c>
      <c r="J1037" t="s">
        <v>33</v>
      </c>
      <c r="K1037" t="s">
        <v>218</v>
      </c>
      <c r="L1037" t="s">
        <v>48</v>
      </c>
      <c r="M1037" t="s">
        <v>1906</v>
      </c>
      <c r="N1037" t="s">
        <v>171</v>
      </c>
      <c r="O1037">
        <v>79</v>
      </c>
      <c r="Q1037">
        <v>0</v>
      </c>
      <c r="R1037">
        <v>0</v>
      </c>
      <c r="T1037" t="s">
        <v>81</v>
      </c>
      <c r="U1037" t="s">
        <v>39</v>
      </c>
      <c r="V1037" t="s">
        <v>52</v>
      </c>
      <c r="W1037" t="s">
        <v>52</v>
      </c>
      <c r="X1037">
        <v>2023</v>
      </c>
      <c r="Y1037" t="s">
        <v>153</v>
      </c>
      <c r="Z1037" t="s">
        <v>54</v>
      </c>
    </row>
    <row r="1038" spans="1:26">
      <c r="A1038" t="s">
        <v>2057</v>
      </c>
      <c r="B1038" t="s">
        <v>43</v>
      </c>
      <c r="C1038" t="s">
        <v>102</v>
      </c>
      <c r="D1038" t="s">
        <v>29</v>
      </c>
      <c r="E1038" t="s">
        <v>195</v>
      </c>
      <c r="F1038" t="s">
        <v>160</v>
      </c>
      <c r="G1038" t="s">
        <v>58</v>
      </c>
      <c r="H1038">
        <v>10.8</v>
      </c>
      <c r="I1038">
        <v>14.2</v>
      </c>
      <c r="J1038" t="s">
        <v>144</v>
      </c>
      <c r="K1038" t="s">
        <v>709</v>
      </c>
      <c r="L1038" t="s">
        <v>48</v>
      </c>
      <c r="M1038" t="s">
        <v>127</v>
      </c>
      <c r="N1038" t="s">
        <v>71</v>
      </c>
      <c r="O1038">
        <v>175</v>
      </c>
      <c r="P1038" t="s">
        <v>230</v>
      </c>
      <c r="Q1038">
        <v>3346</v>
      </c>
      <c r="R1038">
        <v>500</v>
      </c>
      <c r="S1038" t="s">
        <v>113</v>
      </c>
      <c r="T1038" t="s">
        <v>62</v>
      </c>
      <c r="U1038" t="s">
        <v>52</v>
      </c>
      <c r="V1038" t="s">
        <v>52</v>
      </c>
      <c r="W1038" t="s">
        <v>52</v>
      </c>
      <c r="X1038">
        <v>2024</v>
      </c>
      <c r="Y1038" t="s">
        <v>91</v>
      </c>
      <c r="Z1038" t="s">
        <v>64</v>
      </c>
    </row>
    <row r="1039" spans="1:26">
      <c r="A1039" t="s">
        <v>2058</v>
      </c>
      <c r="B1039" t="s">
        <v>43</v>
      </c>
      <c r="C1039" t="s">
        <v>76</v>
      </c>
      <c r="D1039" t="s">
        <v>29</v>
      </c>
      <c r="E1039" t="s">
        <v>117</v>
      </c>
      <c r="F1039" t="s">
        <v>160</v>
      </c>
      <c r="G1039" t="s">
        <v>32</v>
      </c>
      <c r="H1039">
        <v>0.9</v>
      </c>
      <c r="I1039">
        <v>27.5</v>
      </c>
      <c r="J1039" t="s">
        <v>156</v>
      </c>
      <c r="K1039" t="s">
        <v>2059</v>
      </c>
      <c r="L1039" t="s">
        <v>98</v>
      </c>
      <c r="M1039" t="s">
        <v>1521</v>
      </c>
      <c r="N1039" t="s">
        <v>71</v>
      </c>
      <c r="O1039">
        <v>4</v>
      </c>
      <c r="P1039" t="s">
        <v>89</v>
      </c>
      <c r="Q1039">
        <v>4781</v>
      </c>
      <c r="R1039">
        <v>5000</v>
      </c>
      <c r="S1039" t="s">
        <v>73</v>
      </c>
      <c r="T1039" t="s">
        <v>136</v>
      </c>
      <c r="U1039" t="s">
        <v>39</v>
      </c>
      <c r="V1039" t="s">
        <v>52</v>
      </c>
      <c r="W1039" t="s">
        <v>52</v>
      </c>
      <c r="X1039">
        <v>2023</v>
      </c>
      <c r="Y1039" t="s">
        <v>63</v>
      </c>
      <c r="Z1039" t="s">
        <v>64</v>
      </c>
    </row>
    <row r="1040" spans="1:26">
      <c r="A1040" t="s">
        <v>2060</v>
      </c>
      <c r="B1040" t="s">
        <v>66</v>
      </c>
      <c r="C1040" t="s">
        <v>28</v>
      </c>
      <c r="D1040" t="s">
        <v>29</v>
      </c>
      <c r="E1040" t="s">
        <v>244</v>
      </c>
      <c r="F1040" t="s">
        <v>109</v>
      </c>
      <c r="G1040" t="s">
        <v>58</v>
      </c>
      <c r="H1040">
        <v>0.2</v>
      </c>
      <c r="I1040">
        <v>30.1</v>
      </c>
      <c r="J1040" t="s">
        <v>156</v>
      </c>
      <c r="K1040" t="s">
        <v>1895</v>
      </c>
      <c r="L1040" t="s">
        <v>126</v>
      </c>
      <c r="M1040" t="s">
        <v>1605</v>
      </c>
      <c r="N1040" t="s">
        <v>37</v>
      </c>
      <c r="O1040">
        <v>85</v>
      </c>
      <c r="Q1040">
        <v>0</v>
      </c>
      <c r="R1040">
        <v>500</v>
      </c>
      <c r="T1040" t="s">
        <v>136</v>
      </c>
      <c r="U1040" t="s">
        <v>52</v>
      </c>
      <c r="V1040" t="s">
        <v>52</v>
      </c>
      <c r="W1040" t="s">
        <v>52</v>
      </c>
      <c r="X1040">
        <v>2023</v>
      </c>
      <c r="Y1040" t="s">
        <v>74</v>
      </c>
      <c r="Z1040" t="s">
        <v>54</v>
      </c>
    </row>
    <row r="1041" spans="1:26">
      <c r="A1041" t="s">
        <v>2061</v>
      </c>
      <c r="B1041" t="s">
        <v>93</v>
      </c>
      <c r="C1041" t="s">
        <v>173</v>
      </c>
      <c r="D1041" t="s">
        <v>29</v>
      </c>
      <c r="E1041" t="s">
        <v>30</v>
      </c>
      <c r="F1041" t="s">
        <v>160</v>
      </c>
      <c r="G1041" t="s">
        <v>32</v>
      </c>
      <c r="H1041">
        <v>3.1</v>
      </c>
      <c r="I1041">
        <v>23.6</v>
      </c>
      <c r="J1041" t="s">
        <v>33</v>
      </c>
      <c r="K1041" t="s">
        <v>196</v>
      </c>
      <c r="L1041" t="s">
        <v>140</v>
      </c>
      <c r="M1041" t="s">
        <v>926</v>
      </c>
      <c r="N1041" t="s">
        <v>71</v>
      </c>
      <c r="O1041">
        <v>89</v>
      </c>
      <c r="P1041" t="s">
        <v>89</v>
      </c>
      <c r="Q1041">
        <v>2642</v>
      </c>
      <c r="R1041">
        <v>0</v>
      </c>
      <c r="S1041" t="s">
        <v>152</v>
      </c>
      <c r="T1041" t="s">
        <v>38</v>
      </c>
      <c r="U1041" t="s">
        <v>52</v>
      </c>
      <c r="V1041" t="s">
        <v>52</v>
      </c>
      <c r="W1041" t="s">
        <v>52</v>
      </c>
      <c r="X1041">
        <v>2024</v>
      </c>
      <c r="Y1041" t="s">
        <v>53</v>
      </c>
      <c r="Z1041" t="s">
        <v>54</v>
      </c>
    </row>
    <row r="1042" spans="1:26">
      <c r="A1042" t="s">
        <v>2062</v>
      </c>
      <c r="B1042" t="s">
        <v>43</v>
      </c>
      <c r="C1042" t="s">
        <v>121</v>
      </c>
      <c r="D1042" t="s">
        <v>77</v>
      </c>
      <c r="E1042" t="s">
        <v>143</v>
      </c>
      <c r="F1042" t="s">
        <v>109</v>
      </c>
      <c r="G1042" t="s">
        <v>32</v>
      </c>
      <c r="H1042">
        <v>3</v>
      </c>
      <c r="I1042">
        <v>21.1</v>
      </c>
      <c r="J1042" t="s">
        <v>96</v>
      </c>
      <c r="K1042" t="s">
        <v>2063</v>
      </c>
      <c r="L1042" t="s">
        <v>140</v>
      </c>
      <c r="M1042" t="s">
        <v>1287</v>
      </c>
      <c r="N1042" t="s">
        <v>171</v>
      </c>
      <c r="O1042">
        <v>165</v>
      </c>
      <c r="Q1042">
        <v>0</v>
      </c>
      <c r="R1042">
        <v>0</v>
      </c>
      <c r="T1042" t="s">
        <v>136</v>
      </c>
      <c r="U1042" t="s">
        <v>52</v>
      </c>
      <c r="V1042" t="s">
        <v>52</v>
      </c>
      <c r="W1042" t="s">
        <v>52</v>
      </c>
      <c r="X1042">
        <v>2022</v>
      </c>
      <c r="Y1042" t="s">
        <v>82</v>
      </c>
      <c r="Z1042" t="s">
        <v>83</v>
      </c>
    </row>
    <row r="1043" spans="1:26">
      <c r="A1043" t="s">
        <v>2064</v>
      </c>
      <c r="B1043" t="s">
        <v>108</v>
      </c>
      <c r="C1043" t="s">
        <v>164</v>
      </c>
      <c r="D1043" t="s">
        <v>77</v>
      </c>
      <c r="E1043" t="s">
        <v>220</v>
      </c>
      <c r="F1043" t="s">
        <v>160</v>
      </c>
      <c r="G1043" t="s">
        <v>32</v>
      </c>
      <c r="H1043">
        <v>10.1</v>
      </c>
      <c r="I1043">
        <v>4.0999999999999996</v>
      </c>
      <c r="J1043" t="s">
        <v>33</v>
      </c>
      <c r="K1043" t="s">
        <v>36</v>
      </c>
      <c r="L1043" t="s">
        <v>35</v>
      </c>
      <c r="M1043" t="s">
        <v>918</v>
      </c>
      <c r="N1043" t="s">
        <v>50</v>
      </c>
      <c r="O1043">
        <v>81</v>
      </c>
      <c r="Q1043">
        <v>0</v>
      </c>
      <c r="R1043">
        <v>0</v>
      </c>
      <c r="T1043" t="s">
        <v>38</v>
      </c>
      <c r="U1043" t="s">
        <v>52</v>
      </c>
      <c r="V1043" t="s">
        <v>52</v>
      </c>
      <c r="W1043" t="s">
        <v>52</v>
      </c>
      <c r="X1043">
        <v>2023</v>
      </c>
      <c r="Y1043" t="s">
        <v>114</v>
      </c>
      <c r="Z1043" t="s">
        <v>41</v>
      </c>
    </row>
    <row r="1044" spans="1:26">
      <c r="A1044" t="s">
        <v>2065</v>
      </c>
      <c r="B1044" t="s">
        <v>27</v>
      </c>
      <c r="C1044" t="s">
        <v>28</v>
      </c>
      <c r="D1044" t="s">
        <v>77</v>
      </c>
      <c r="E1044" t="s">
        <v>168</v>
      </c>
      <c r="F1044" t="s">
        <v>68</v>
      </c>
      <c r="G1044" t="s">
        <v>58</v>
      </c>
      <c r="H1044">
        <v>2</v>
      </c>
      <c r="I1044">
        <v>8.6</v>
      </c>
      <c r="J1044" t="s">
        <v>156</v>
      </c>
      <c r="K1044" t="s">
        <v>577</v>
      </c>
      <c r="L1044" t="s">
        <v>98</v>
      </c>
      <c r="M1044" t="s">
        <v>157</v>
      </c>
      <c r="N1044" t="s">
        <v>37</v>
      </c>
      <c r="O1044">
        <v>53</v>
      </c>
      <c r="Q1044">
        <v>0</v>
      </c>
      <c r="R1044">
        <v>1000</v>
      </c>
      <c r="T1044" t="s">
        <v>62</v>
      </c>
      <c r="U1044" t="s">
        <v>52</v>
      </c>
      <c r="V1044" t="s">
        <v>39</v>
      </c>
      <c r="W1044" t="s">
        <v>52</v>
      </c>
      <c r="X1044">
        <v>2022</v>
      </c>
      <c r="Y1044" t="s">
        <v>114</v>
      </c>
      <c r="Z1044" t="s">
        <v>41</v>
      </c>
    </row>
    <row r="1045" spans="1:26">
      <c r="A1045" t="s">
        <v>2066</v>
      </c>
      <c r="B1045" t="s">
        <v>116</v>
      </c>
      <c r="C1045" t="s">
        <v>76</v>
      </c>
      <c r="D1045" t="s">
        <v>77</v>
      </c>
      <c r="E1045" t="s">
        <v>363</v>
      </c>
      <c r="F1045" t="s">
        <v>95</v>
      </c>
      <c r="G1045" t="s">
        <v>58</v>
      </c>
      <c r="H1045">
        <v>11.1</v>
      </c>
      <c r="I1045">
        <v>6.3</v>
      </c>
      <c r="J1045" t="s">
        <v>33</v>
      </c>
      <c r="K1045" t="s">
        <v>354</v>
      </c>
      <c r="L1045" t="s">
        <v>48</v>
      </c>
      <c r="M1045" t="s">
        <v>636</v>
      </c>
      <c r="N1045" t="s">
        <v>71</v>
      </c>
      <c r="O1045">
        <v>133</v>
      </c>
      <c r="P1045" t="s">
        <v>89</v>
      </c>
      <c r="Q1045">
        <v>7735</v>
      </c>
      <c r="R1045">
        <v>1000</v>
      </c>
      <c r="S1045" t="s">
        <v>73</v>
      </c>
      <c r="T1045" t="s">
        <v>38</v>
      </c>
      <c r="U1045" t="s">
        <v>39</v>
      </c>
      <c r="V1045" t="s">
        <v>52</v>
      </c>
      <c r="W1045" t="s">
        <v>52</v>
      </c>
      <c r="X1045">
        <v>2022</v>
      </c>
      <c r="Y1045" t="s">
        <v>63</v>
      </c>
      <c r="Z1045" t="s">
        <v>64</v>
      </c>
    </row>
    <row r="1046" spans="1:26">
      <c r="A1046" t="s">
        <v>2067</v>
      </c>
      <c r="B1046" t="s">
        <v>27</v>
      </c>
      <c r="C1046" t="s">
        <v>121</v>
      </c>
      <c r="D1046" t="s">
        <v>77</v>
      </c>
      <c r="E1046" t="s">
        <v>94</v>
      </c>
      <c r="F1046" t="s">
        <v>57</v>
      </c>
      <c r="G1046" t="s">
        <v>58</v>
      </c>
      <c r="H1046">
        <v>10.1</v>
      </c>
      <c r="I1046">
        <v>21.1</v>
      </c>
      <c r="J1046" t="s">
        <v>33</v>
      </c>
      <c r="K1046" t="s">
        <v>79</v>
      </c>
      <c r="L1046" t="s">
        <v>140</v>
      </c>
      <c r="M1046" t="s">
        <v>859</v>
      </c>
      <c r="N1046" t="s">
        <v>71</v>
      </c>
      <c r="O1046">
        <v>30</v>
      </c>
      <c r="P1046" t="s">
        <v>230</v>
      </c>
      <c r="Q1046">
        <v>3244</v>
      </c>
      <c r="R1046">
        <v>1000</v>
      </c>
      <c r="S1046" t="s">
        <v>152</v>
      </c>
      <c r="T1046" t="s">
        <v>81</v>
      </c>
      <c r="U1046" t="s">
        <v>39</v>
      </c>
      <c r="V1046" t="s">
        <v>52</v>
      </c>
      <c r="W1046" t="s">
        <v>39</v>
      </c>
      <c r="X1046">
        <v>2024</v>
      </c>
      <c r="Y1046" t="s">
        <v>82</v>
      </c>
      <c r="Z1046" t="s">
        <v>83</v>
      </c>
    </row>
    <row r="1047" spans="1:26">
      <c r="A1047" t="s">
        <v>2068</v>
      </c>
      <c r="B1047" t="s">
        <v>66</v>
      </c>
      <c r="C1047" t="s">
        <v>28</v>
      </c>
      <c r="D1047" t="s">
        <v>29</v>
      </c>
      <c r="E1047" t="s">
        <v>30</v>
      </c>
      <c r="F1047" t="s">
        <v>31</v>
      </c>
      <c r="G1047" t="s">
        <v>58</v>
      </c>
      <c r="H1047">
        <v>11.1</v>
      </c>
      <c r="I1047">
        <v>22.9</v>
      </c>
      <c r="J1047" t="s">
        <v>96</v>
      </c>
      <c r="K1047" t="s">
        <v>933</v>
      </c>
      <c r="L1047" t="s">
        <v>126</v>
      </c>
      <c r="M1047" t="s">
        <v>2069</v>
      </c>
      <c r="N1047" t="s">
        <v>61</v>
      </c>
      <c r="O1047">
        <v>142</v>
      </c>
      <c r="Q1047">
        <v>0</v>
      </c>
      <c r="R1047">
        <v>0</v>
      </c>
      <c r="T1047" t="s">
        <v>51</v>
      </c>
      <c r="U1047" t="s">
        <v>52</v>
      </c>
      <c r="V1047" t="s">
        <v>52</v>
      </c>
      <c r="W1047" t="s">
        <v>52</v>
      </c>
      <c r="X1047">
        <v>2023</v>
      </c>
      <c r="Y1047" t="s">
        <v>74</v>
      </c>
      <c r="Z1047" t="s">
        <v>54</v>
      </c>
    </row>
    <row r="1048" spans="1:26">
      <c r="A1048" t="s">
        <v>2070</v>
      </c>
      <c r="B1048" t="s">
        <v>116</v>
      </c>
      <c r="C1048" t="s">
        <v>76</v>
      </c>
      <c r="D1048" t="s">
        <v>77</v>
      </c>
      <c r="E1048" t="s">
        <v>260</v>
      </c>
      <c r="F1048" t="s">
        <v>124</v>
      </c>
      <c r="G1048" t="s">
        <v>58</v>
      </c>
      <c r="H1048">
        <v>10</v>
      </c>
      <c r="I1048">
        <v>27.8</v>
      </c>
      <c r="J1048" t="s">
        <v>144</v>
      </c>
      <c r="K1048" t="s">
        <v>1018</v>
      </c>
      <c r="L1048" t="s">
        <v>126</v>
      </c>
      <c r="M1048" t="s">
        <v>1008</v>
      </c>
      <c r="N1048" t="s">
        <v>171</v>
      </c>
      <c r="O1048">
        <v>105</v>
      </c>
      <c r="Q1048">
        <v>0</v>
      </c>
      <c r="R1048">
        <v>0</v>
      </c>
      <c r="T1048" t="s">
        <v>81</v>
      </c>
      <c r="U1048" t="s">
        <v>39</v>
      </c>
      <c r="V1048" t="s">
        <v>52</v>
      </c>
      <c r="W1048" t="s">
        <v>52</v>
      </c>
      <c r="X1048">
        <v>2023</v>
      </c>
      <c r="Y1048" t="s">
        <v>114</v>
      </c>
      <c r="Z1048" t="s">
        <v>41</v>
      </c>
    </row>
    <row r="1049" spans="1:26">
      <c r="A1049" t="s">
        <v>2071</v>
      </c>
      <c r="B1049" t="s">
        <v>108</v>
      </c>
      <c r="C1049" t="s">
        <v>44</v>
      </c>
      <c r="D1049" t="s">
        <v>122</v>
      </c>
      <c r="E1049" t="s">
        <v>202</v>
      </c>
      <c r="F1049" t="s">
        <v>57</v>
      </c>
      <c r="G1049" t="s">
        <v>32</v>
      </c>
      <c r="H1049">
        <v>10.8</v>
      </c>
      <c r="I1049">
        <v>2.1</v>
      </c>
      <c r="J1049" t="s">
        <v>33</v>
      </c>
      <c r="K1049" t="s">
        <v>296</v>
      </c>
      <c r="L1049" t="s">
        <v>35</v>
      </c>
      <c r="M1049" t="s">
        <v>180</v>
      </c>
      <c r="N1049" t="s">
        <v>71</v>
      </c>
      <c r="O1049">
        <v>113</v>
      </c>
      <c r="P1049" t="s">
        <v>230</v>
      </c>
      <c r="Q1049">
        <v>1857</v>
      </c>
      <c r="R1049">
        <v>0</v>
      </c>
      <c r="S1049" t="s">
        <v>90</v>
      </c>
      <c r="T1049" t="s">
        <v>51</v>
      </c>
      <c r="U1049" t="s">
        <v>39</v>
      </c>
      <c r="V1049" t="s">
        <v>39</v>
      </c>
      <c r="W1049" t="s">
        <v>39</v>
      </c>
      <c r="X1049">
        <v>2024</v>
      </c>
      <c r="Y1049" t="s">
        <v>82</v>
      </c>
      <c r="Z1049" t="s">
        <v>83</v>
      </c>
    </row>
    <row r="1050" spans="1:26">
      <c r="A1050" t="s">
        <v>2072</v>
      </c>
      <c r="B1050" t="s">
        <v>27</v>
      </c>
      <c r="C1050" t="s">
        <v>173</v>
      </c>
      <c r="D1050" t="s">
        <v>77</v>
      </c>
      <c r="E1050" t="s">
        <v>168</v>
      </c>
      <c r="F1050" t="s">
        <v>31</v>
      </c>
      <c r="G1050" t="s">
        <v>32</v>
      </c>
      <c r="H1050">
        <v>1.3</v>
      </c>
      <c r="I1050">
        <v>21.7</v>
      </c>
      <c r="J1050" t="s">
        <v>33</v>
      </c>
      <c r="K1050" t="s">
        <v>1278</v>
      </c>
      <c r="L1050" t="s">
        <v>140</v>
      </c>
      <c r="M1050" t="s">
        <v>2073</v>
      </c>
      <c r="N1050" t="s">
        <v>171</v>
      </c>
      <c r="O1050">
        <v>115</v>
      </c>
      <c r="Q1050">
        <v>0</v>
      </c>
      <c r="R1050">
        <v>0</v>
      </c>
      <c r="T1050" t="s">
        <v>62</v>
      </c>
      <c r="U1050" t="s">
        <v>39</v>
      </c>
      <c r="V1050" t="s">
        <v>52</v>
      </c>
      <c r="W1050" t="s">
        <v>52</v>
      </c>
      <c r="X1050">
        <v>2022</v>
      </c>
      <c r="Y1050" t="s">
        <v>106</v>
      </c>
      <c r="Z1050" t="s">
        <v>83</v>
      </c>
    </row>
    <row r="1051" spans="1:26">
      <c r="A1051" t="s">
        <v>2074</v>
      </c>
      <c r="B1051" t="s">
        <v>108</v>
      </c>
      <c r="C1051" t="s">
        <v>164</v>
      </c>
      <c r="D1051" t="s">
        <v>85</v>
      </c>
      <c r="E1051" t="s">
        <v>86</v>
      </c>
      <c r="F1051" t="s">
        <v>57</v>
      </c>
      <c r="G1051" t="s">
        <v>32</v>
      </c>
      <c r="H1051">
        <v>8.6999999999999993</v>
      </c>
      <c r="I1051">
        <v>20</v>
      </c>
      <c r="J1051" t="s">
        <v>96</v>
      </c>
      <c r="K1051" t="s">
        <v>413</v>
      </c>
      <c r="L1051" t="s">
        <v>35</v>
      </c>
      <c r="M1051" t="s">
        <v>267</v>
      </c>
      <c r="N1051" t="s">
        <v>71</v>
      </c>
      <c r="O1051">
        <v>76</v>
      </c>
      <c r="P1051" t="s">
        <v>105</v>
      </c>
      <c r="Q1051">
        <v>2047</v>
      </c>
      <c r="R1051">
        <v>1000</v>
      </c>
      <c r="S1051" t="s">
        <v>113</v>
      </c>
      <c r="T1051" t="s">
        <v>62</v>
      </c>
      <c r="U1051" t="s">
        <v>52</v>
      </c>
      <c r="V1051" t="s">
        <v>52</v>
      </c>
      <c r="W1051" t="s">
        <v>39</v>
      </c>
      <c r="X1051">
        <v>2023</v>
      </c>
      <c r="Y1051" t="s">
        <v>82</v>
      </c>
      <c r="Z1051" t="s">
        <v>83</v>
      </c>
    </row>
    <row r="1052" spans="1:26">
      <c r="A1052" t="s">
        <v>2075</v>
      </c>
      <c r="B1052" t="s">
        <v>108</v>
      </c>
      <c r="C1052" t="s">
        <v>28</v>
      </c>
      <c r="D1052" t="s">
        <v>77</v>
      </c>
      <c r="E1052" t="s">
        <v>78</v>
      </c>
      <c r="F1052" t="s">
        <v>31</v>
      </c>
      <c r="G1052" t="s">
        <v>32</v>
      </c>
      <c r="H1052">
        <v>7.1</v>
      </c>
      <c r="I1052">
        <v>6.7</v>
      </c>
      <c r="J1052" t="s">
        <v>144</v>
      </c>
      <c r="K1052" t="s">
        <v>898</v>
      </c>
      <c r="L1052" t="s">
        <v>35</v>
      </c>
      <c r="M1052" t="s">
        <v>1142</v>
      </c>
      <c r="N1052" t="s">
        <v>71</v>
      </c>
      <c r="O1052">
        <v>94</v>
      </c>
      <c r="P1052" t="s">
        <v>105</v>
      </c>
      <c r="Q1052">
        <v>6039</v>
      </c>
      <c r="R1052">
        <v>5000</v>
      </c>
      <c r="S1052" t="s">
        <v>113</v>
      </c>
      <c r="T1052" t="s">
        <v>81</v>
      </c>
      <c r="U1052" t="s">
        <v>39</v>
      </c>
      <c r="V1052" t="s">
        <v>39</v>
      </c>
      <c r="W1052" t="s">
        <v>52</v>
      </c>
      <c r="X1052">
        <v>2022</v>
      </c>
      <c r="Y1052" t="s">
        <v>53</v>
      </c>
      <c r="Z1052" t="s">
        <v>54</v>
      </c>
    </row>
    <row r="1053" spans="1:26">
      <c r="A1053" t="s">
        <v>2076</v>
      </c>
      <c r="B1053" t="s">
        <v>116</v>
      </c>
      <c r="C1053" t="s">
        <v>67</v>
      </c>
      <c r="D1053" t="s">
        <v>85</v>
      </c>
      <c r="E1053" t="s">
        <v>402</v>
      </c>
      <c r="F1053" t="s">
        <v>68</v>
      </c>
      <c r="G1053" t="s">
        <v>58</v>
      </c>
      <c r="H1053">
        <v>3.7</v>
      </c>
      <c r="I1053">
        <v>3.2</v>
      </c>
      <c r="J1053" t="s">
        <v>96</v>
      </c>
      <c r="K1053" t="s">
        <v>1415</v>
      </c>
      <c r="L1053" t="s">
        <v>126</v>
      </c>
      <c r="M1053" t="s">
        <v>619</v>
      </c>
      <c r="N1053" t="s">
        <v>71</v>
      </c>
      <c r="O1053">
        <v>162</v>
      </c>
      <c r="P1053" t="s">
        <v>72</v>
      </c>
      <c r="Q1053">
        <v>2057</v>
      </c>
      <c r="R1053">
        <v>0</v>
      </c>
      <c r="S1053" t="s">
        <v>152</v>
      </c>
      <c r="T1053" t="s">
        <v>62</v>
      </c>
      <c r="U1053" t="s">
        <v>39</v>
      </c>
      <c r="V1053" t="s">
        <v>39</v>
      </c>
      <c r="W1053" t="s">
        <v>52</v>
      </c>
      <c r="X1053">
        <v>2024</v>
      </c>
      <c r="Y1053" t="s">
        <v>40</v>
      </c>
      <c r="Z1053" t="s">
        <v>41</v>
      </c>
    </row>
    <row r="1054" spans="1:26">
      <c r="A1054" t="s">
        <v>2077</v>
      </c>
      <c r="B1054" t="s">
        <v>116</v>
      </c>
      <c r="C1054" t="s">
        <v>28</v>
      </c>
      <c r="D1054" t="s">
        <v>77</v>
      </c>
      <c r="E1054" t="s">
        <v>78</v>
      </c>
      <c r="F1054" t="s">
        <v>109</v>
      </c>
      <c r="G1054" t="s">
        <v>58</v>
      </c>
      <c r="H1054">
        <v>4.7</v>
      </c>
      <c r="I1054">
        <v>6.9</v>
      </c>
      <c r="J1054" t="s">
        <v>33</v>
      </c>
      <c r="K1054" t="s">
        <v>782</v>
      </c>
      <c r="L1054" t="s">
        <v>35</v>
      </c>
      <c r="M1054" t="s">
        <v>1086</v>
      </c>
      <c r="N1054" t="s">
        <v>71</v>
      </c>
      <c r="O1054">
        <v>24</v>
      </c>
      <c r="P1054" t="s">
        <v>105</v>
      </c>
      <c r="Q1054">
        <v>6999</v>
      </c>
      <c r="R1054">
        <v>0</v>
      </c>
      <c r="S1054" t="s">
        <v>90</v>
      </c>
      <c r="T1054" t="s">
        <v>81</v>
      </c>
      <c r="U1054" t="s">
        <v>52</v>
      </c>
      <c r="V1054" t="s">
        <v>52</v>
      </c>
      <c r="W1054" t="s">
        <v>52</v>
      </c>
      <c r="X1054">
        <v>2023</v>
      </c>
      <c r="Y1054" t="s">
        <v>211</v>
      </c>
      <c r="Z1054" t="s">
        <v>41</v>
      </c>
    </row>
    <row r="1055" spans="1:26">
      <c r="A1055" t="s">
        <v>2078</v>
      </c>
      <c r="B1055" t="s">
        <v>93</v>
      </c>
      <c r="C1055" t="s">
        <v>67</v>
      </c>
      <c r="D1055" t="s">
        <v>77</v>
      </c>
      <c r="E1055" t="s">
        <v>216</v>
      </c>
      <c r="F1055" t="s">
        <v>160</v>
      </c>
      <c r="G1055" t="s">
        <v>58</v>
      </c>
      <c r="H1055">
        <v>9.8000000000000007</v>
      </c>
      <c r="I1055">
        <v>30.9</v>
      </c>
      <c r="J1055" t="s">
        <v>33</v>
      </c>
      <c r="K1055" t="s">
        <v>435</v>
      </c>
      <c r="L1055" t="s">
        <v>140</v>
      </c>
      <c r="M1055" t="s">
        <v>535</v>
      </c>
      <c r="N1055" t="s">
        <v>71</v>
      </c>
      <c r="O1055">
        <v>86</v>
      </c>
      <c r="P1055" t="s">
        <v>72</v>
      </c>
      <c r="Q1055">
        <v>6680</v>
      </c>
      <c r="R1055">
        <v>0</v>
      </c>
      <c r="S1055" t="s">
        <v>152</v>
      </c>
      <c r="T1055" t="s">
        <v>51</v>
      </c>
      <c r="U1055" t="s">
        <v>52</v>
      </c>
      <c r="V1055" t="s">
        <v>39</v>
      </c>
      <c r="W1055" t="s">
        <v>52</v>
      </c>
      <c r="X1055">
        <v>2024</v>
      </c>
      <c r="Y1055" t="s">
        <v>114</v>
      </c>
      <c r="Z1055" t="s">
        <v>41</v>
      </c>
    </row>
    <row r="1056" spans="1:26">
      <c r="A1056" t="s">
        <v>2079</v>
      </c>
      <c r="B1056" t="s">
        <v>116</v>
      </c>
      <c r="C1056" t="s">
        <v>76</v>
      </c>
      <c r="D1056" t="s">
        <v>85</v>
      </c>
      <c r="E1056" t="s">
        <v>138</v>
      </c>
      <c r="F1056" t="s">
        <v>238</v>
      </c>
      <c r="G1056" t="s">
        <v>58</v>
      </c>
      <c r="H1056">
        <v>10.4</v>
      </c>
      <c r="I1056">
        <v>17.600000000000001</v>
      </c>
      <c r="J1056" t="s">
        <v>156</v>
      </c>
      <c r="K1056" t="s">
        <v>1188</v>
      </c>
      <c r="L1056" t="s">
        <v>126</v>
      </c>
      <c r="M1056" t="s">
        <v>760</v>
      </c>
      <c r="N1056" t="s">
        <v>71</v>
      </c>
      <c r="O1056">
        <v>1</v>
      </c>
      <c r="P1056" t="s">
        <v>89</v>
      </c>
      <c r="Q1056">
        <v>1017</v>
      </c>
      <c r="R1056">
        <v>5000</v>
      </c>
      <c r="S1056" t="s">
        <v>152</v>
      </c>
      <c r="T1056" t="s">
        <v>136</v>
      </c>
      <c r="U1056" t="s">
        <v>39</v>
      </c>
      <c r="V1056" t="s">
        <v>39</v>
      </c>
      <c r="W1056" t="s">
        <v>52</v>
      </c>
      <c r="X1056">
        <v>2022</v>
      </c>
      <c r="Y1056" t="s">
        <v>114</v>
      </c>
      <c r="Z1056" t="s">
        <v>41</v>
      </c>
    </row>
    <row r="1057" spans="1:26">
      <c r="A1057" t="s">
        <v>2080</v>
      </c>
      <c r="B1057" t="s">
        <v>27</v>
      </c>
      <c r="C1057" t="s">
        <v>67</v>
      </c>
      <c r="D1057" t="s">
        <v>77</v>
      </c>
      <c r="E1057" t="s">
        <v>363</v>
      </c>
      <c r="F1057" t="s">
        <v>160</v>
      </c>
      <c r="G1057" t="s">
        <v>58</v>
      </c>
      <c r="H1057">
        <v>6.1</v>
      </c>
      <c r="I1057">
        <v>32.200000000000003</v>
      </c>
      <c r="J1057" t="s">
        <v>33</v>
      </c>
      <c r="K1057" t="s">
        <v>1900</v>
      </c>
      <c r="L1057" t="s">
        <v>35</v>
      </c>
      <c r="M1057" t="s">
        <v>2081</v>
      </c>
      <c r="N1057" t="s">
        <v>50</v>
      </c>
      <c r="O1057">
        <v>72</v>
      </c>
      <c r="Q1057">
        <v>0</v>
      </c>
      <c r="R1057">
        <v>0</v>
      </c>
      <c r="T1057" t="s">
        <v>136</v>
      </c>
      <c r="U1057" t="s">
        <v>39</v>
      </c>
      <c r="V1057" t="s">
        <v>39</v>
      </c>
      <c r="W1057" t="s">
        <v>52</v>
      </c>
      <c r="X1057">
        <v>2022</v>
      </c>
      <c r="Y1057" t="s">
        <v>91</v>
      </c>
      <c r="Z1057" t="s">
        <v>64</v>
      </c>
    </row>
    <row r="1058" spans="1:26">
      <c r="A1058" t="s">
        <v>2082</v>
      </c>
      <c r="B1058" t="s">
        <v>27</v>
      </c>
      <c r="C1058" t="s">
        <v>67</v>
      </c>
      <c r="D1058" t="s">
        <v>77</v>
      </c>
      <c r="E1058" t="s">
        <v>363</v>
      </c>
      <c r="F1058" t="s">
        <v>238</v>
      </c>
      <c r="G1058" t="s">
        <v>32</v>
      </c>
      <c r="H1058">
        <v>1</v>
      </c>
      <c r="I1058">
        <v>33</v>
      </c>
      <c r="J1058" t="s">
        <v>33</v>
      </c>
      <c r="K1058" t="s">
        <v>410</v>
      </c>
      <c r="L1058" t="s">
        <v>35</v>
      </c>
      <c r="M1058" t="s">
        <v>1447</v>
      </c>
      <c r="N1058" t="s">
        <v>100</v>
      </c>
      <c r="O1058">
        <v>35</v>
      </c>
      <c r="Q1058">
        <v>0</v>
      </c>
      <c r="R1058">
        <v>0</v>
      </c>
      <c r="T1058" t="s">
        <v>51</v>
      </c>
      <c r="U1058" t="s">
        <v>39</v>
      </c>
      <c r="V1058" t="s">
        <v>39</v>
      </c>
      <c r="W1058" t="s">
        <v>39</v>
      </c>
      <c r="X1058">
        <v>2022</v>
      </c>
      <c r="Y1058" t="s">
        <v>40</v>
      </c>
      <c r="Z1058" t="s">
        <v>41</v>
      </c>
    </row>
    <row r="1059" spans="1:26">
      <c r="A1059" t="s">
        <v>2083</v>
      </c>
      <c r="B1059" t="s">
        <v>116</v>
      </c>
      <c r="C1059" t="s">
        <v>67</v>
      </c>
      <c r="D1059" t="s">
        <v>77</v>
      </c>
      <c r="E1059" t="s">
        <v>260</v>
      </c>
      <c r="F1059" t="s">
        <v>68</v>
      </c>
      <c r="G1059" t="s">
        <v>32</v>
      </c>
      <c r="H1059">
        <v>1.4</v>
      </c>
      <c r="I1059">
        <v>28.7</v>
      </c>
      <c r="J1059" t="s">
        <v>33</v>
      </c>
      <c r="K1059" t="s">
        <v>2084</v>
      </c>
      <c r="L1059" t="s">
        <v>98</v>
      </c>
      <c r="M1059" t="s">
        <v>2085</v>
      </c>
      <c r="N1059" t="s">
        <v>71</v>
      </c>
      <c r="O1059">
        <v>157</v>
      </c>
      <c r="P1059" t="s">
        <v>230</v>
      </c>
      <c r="Q1059">
        <v>6799</v>
      </c>
      <c r="R1059">
        <v>5000</v>
      </c>
      <c r="S1059" t="s">
        <v>152</v>
      </c>
      <c r="T1059" t="s">
        <v>81</v>
      </c>
      <c r="U1059" t="s">
        <v>52</v>
      </c>
      <c r="V1059" t="s">
        <v>39</v>
      </c>
      <c r="W1059" t="s">
        <v>52</v>
      </c>
      <c r="X1059">
        <v>2022</v>
      </c>
      <c r="Y1059" t="s">
        <v>106</v>
      </c>
      <c r="Z1059" t="s">
        <v>83</v>
      </c>
    </row>
    <row r="1060" spans="1:26">
      <c r="A1060" t="s">
        <v>2086</v>
      </c>
      <c r="B1060" t="s">
        <v>108</v>
      </c>
      <c r="C1060" t="s">
        <v>173</v>
      </c>
      <c r="D1060" t="s">
        <v>77</v>
      </c>
      <c r="E1060" t="s">
        <v>220</v>
      </c>
      <c r="F1060" t="s">
        <v>95</v>
      </c>
      <c r="G1060" t="s">
        <v>32</v>
      </c>
      <c r="H1060">
        <v>3.8</v>
      </c>
      <c r="I1060">
        <v>1</v>
      </c>
      <c r="J1060" t="s">
        <v>20</v>
      </c>
      <c r="K1060" t="s">
        <v>2087</v>
      </c>
      <c r="L1060" t="s">
        <v>98</v>
      </c>
      <c r="M1060" t="s">
        <v>2088</v>
      </c>
      <c r="N1060" t="s">
        <v>71</v>
      </c>
      <c r="O1060">
        <v>119</v>
      </c>
      <c r="P1060" t="s">
        <v>72</v>
      </c>
      <c r="Q1060">
        <v>6524</v>
      </c>
      <c r="R1060">
        <v>1000</v>
      </c>
      <c r="S1060" t="s">
        <v>152</v>
      </c>
      <c r="T1060" t="s">
        <v>81</v>
      </c>
      <c r="U1060" t="s">
        <v>39</v>
      </c>
      <c r="V1060" t="s">
        <v>52</v>
      </c>
      <c r="W1060" t="s">
        <v>52</v>
      </c>
      <c r="X1060">
        <v>2022</v>
      </c>
      <c r="Y1060" t="s">
        <v>312</v>
      </c>
      <c r="Z1060" t="s">
        <v>83</v>
      </c>
    </row>
    <row r="1061" spans="1:26">
      <c r="A1061" t="s">
        <v>2089</v>
      </c>
      <c r="B1061" t="s">
        <v>108</v>
      </c>
      <c r="C1061" t="s">
        <v>28</v>
      </c>
      <c r="D1061" t="s">
        <v>85</v>
      </c>
      <c r="E1061" t="s">
        <v>138</v>
      </c>
      <c r="F1061" t="s">
        <v>57</v>
      </c>
      <c r="G1061" t="s">
        <v>58</v>
      </c>
      <c r="H1061">
        <v>1.7</v>
      </c>
      <c r="I1061">
        <v>9.4</v>
      </c>
      <c r="J1061" t="s">
        <v>20</v>
      </c>
      <c r="K1061" t="s">
        <v>158</v>
      </c>
      <c r="L1061" t="s">
        <v>98</v>
      </c>
      <c r="M1061" t="s">
        <v>961</v>
      </c>
      <c r="N1061" t="s">
        <v>171</v>
      </c>
      <c r="O1061">
        <v>106</v>
      </c>
      <c r="Q1061">
        <v>0</v>
      </c>
      <c r="R1061">
        <v>0</v>
      </c>
      <c r="T1061" t="s">
        <v>62</v>
      </c>
      <c r="U1061" t="s">
        <v>39</v>
      </c>
      <c r="V1061" t="s">
        <v>52</v>
      </c>
      <c r="W1061" t="s">
        <v>52</v>
      </c>
      <c r="X1061">
        <v>2023</v>
      </c>
      <c r="Y1061" t="s">
        <v>312</v>
      </c>
      <c r="Z1061" t="s">
        <v>83</v>
      </c>
    </row>
    <row r="1062" spans="1:26">
      <c r="A1062" t="s">
        <v>2090</v>
      </c>
      <c r="B1062" t="s">
        <v>27</v>
      </c>
      <c r="C1062" t="s">
        <v>44</v>
      </c>
      <c r="D1062" t="s">
        <v>29</v>
      </c>
      <c r="E1062" t="s">
        <v>195</v>
      </c>
      <c r="F1062" t="s">
        <v>124</v>
      </c>
      <c r="G1062" t="s">
        <v>58</v>
      </c>
      <c r="H1062">
        <v>4.0999999999999996</v>
      </c>
      <c r="I1062">
        <v>5.8</v>
      </c>
      <c r="J1062" t="s">
        <v>33</v>
      </c>
      <c r="K1062" t="s">
        <v>549</v>
      </c>
      <c r="L1062" t="s">
        <v>126</v>
      </c>
      <c r="M1062" t="s">
        <v>1958</v>
      </c>
      <c r="N1062" t="s">
        <v>71</v>
      </c>
      <c r="O1062">
        <v>55</v>
      </c>
      <c r="P1062" t="s">
        <v>72</v>
      </c>
      <c r="Q1062">
        <v>1645</v>
      </c>
      <c r="R1062">
        <v>0</v>
      </c>
      <c r="S1062" t="s">
        <v>113</v>
      </c>
      <c r="T1062" t="s">
        <v>51</v>
      </c>
      <c r="U1062" t="s">
        <v>52</v>
      </c>
      <c r="V1062" t="s">
        <v>52</v>
      </c>
      <c r="W1062" t="s">
        <v>52</v>
      </c>
      <c r="X1062">
        <v>2022</v>
      </c>
      <c r="Y1062" t="s">
        <v>153</v>
      </c>
      <c r="Z1062" t="s">
        <v>54</v>
      </c>
    </row>
    <row r="1063" spans="1:26">
      <c r="A1063" t="s">
        <v>2091</v>
      </c>
      <c r="B1063" t="s">
        <v>116</v>
      </c>
      <c r="C1063" t="s">
        <v>44</v>
      </c>
      <c r="D1063" t="s">
        <v>122</v>
      </c>
      <c r="E1063" t="s">
        <v>148</v>
      </c>
      <c r="F1063" t="s">
        <v>149</v>
      </c>
      <c r="G1063" t="s">
        <v>58</v>
      </c>
      <c r="H1063">
        <v>3.3</v>
      </c>
      <c r="I1063">
        <v>19.3</v>
      </c>
      <c r="J1063" t="s">
        <v>20</v>
      </c>
      <c r="K1063" t="s">
        <v>2092</v>
      </c>
      <c r="L1063" t="s">
        <v>140</v>
      </c>
      <c r="M1063" t="s">
        <v>516</v>
      </c>
      <c r="N1063" t="s">
        <v>71</v>
      </c>
      <c r="O1063">
        <v>136</v>
      </c>
      <c r="P1063" t="s">
        <v>89</v>
      </c>
      <c r="Q1063">
        <v>2161</v>
      </c>
      <c r="R1063">
        <v>5000</v>
      </c>
      <c r="S1063" t="s">
        <v>152</v>
      </c>
      <c r="T1063" t="s">
        <v>51</v>
      </c>
      <c r="U1063" t="s">
        <v>39</v>
      </c>
      <c r="V1063" t="s">
        <v>52</v>
      </c>
      <c r="W1063" t="s">
        <v>52</v>
      </c>
      <c r="X1063">
        <v>2024</v>
      </c>
      <c r="Y1063" t="s">
        <v>53</v>
      </c>
      <c r="Z1063" t="s">
        <v>54</v>
      </c>
    </row>
    <row r="1064" spans="1:26">
      <c r="A1064" t="s">
        <v>2093</v>
      </c>
      <c r="B1064" t="s">
        <v>116</v>
      </c>
      <c r="C1064" t="s">
        <v>67</v>
      </c>
      <c r="D1064" t="s">
        <v>77</v>
      </c>
      <c r="E1064" t="s">
        <v>260</v>
      </c>
      <c r="F1064" t="s">
        <v>46</v>
      </c>
      <c r="G1064" t="s">
        <v>58</v>
      </c>
      <c r="H1064">
        <v>4.9000000000000004</v>
      </c>
      <c r="I1064">
        <v>5.3</v>
      </c>
      <c r="J1064" t="s">
        <v>144</v>
      </c>
      <c r="K1064" t="s">
        <v>69</v>
      </c>
      <c r="L1064" t="s">
        <v>126</v>
      </c>
      <c r="M1064" t="s">
        <v>1426</v>
      </c>
      <c r="N1064" t="s">
        <v>61</v>
      </c>
      <c r="O1064">
        <v>98</v>
      </c>
      <c r="Q1064">
        <v>0</v>
      </c>
      <c r="R1064">
        <v>0</v>
      </c>
      <c r="T1064" t="s">
        <v>51</v>
      </c>
      <c r="U1064" t="s">
        <v>39</v>
      </c>
      <c r="V1064" t="s">
        <v>52</v>
      </c>
      <c r="W1064" t="s">
        <v>52</v>
      </c>
      <c r="X1064">
        <v>2023</v>
      </c>
      <c r="Y1064" t="s">
        <v>74</v>
      </c>
      <c r="Z1064" t="s">
        <v>54</v>
      </c>
    </row>
    <row r="1065" spans="1:26">
      <c r="A1065" t="s">
        <v>2094</v>
      </c>
      <c r="B1065" t="s">
        <v>27</v>
      </c>
      <c r="C1065" t="s">
        <v>164</v>
      </c>
      <c r="D1065" t="s">
        <v>77</v>
      </c>
      <c r="E1065" t="s">
        <v>260</v>
      </c>
      <c r="F1065" t="s">
        <v>238</v>
      </c>
      <c r="G1065" t="s">
        <v>58</v>
      </c>
      <c r="H1065">
        <v>11.5</v>
      </c>
      <c r="I1065">
        <v>6</v>
      </c>
      <c r="J1065" t="s">
        <v>20</v>
      </c>
      <c r="K1065" t="s">
        <v>1439</v>
      </c>
      <c r="L1065" t="s">
        <v>60</v>
      </c>
      <c r="M1065" t="s">
        <v>2021</v>
      </c>
      <c r="N1065" t="s">
        <v>171</v>
      </c>
      <c r="O1065">
        <v>21</v>
      </c>
      <c r="Q1065">
        <v>0</v>
      </c>
      <c r="R1065">
        <v>0</v>
      </c>
      <c r="T1065" t="s">
        <v>51</v>
      </c>
      <c r="U1065" t="s">
        <v>39</v>
      </c>
      <c r="V1065" t="s">
        <v>39</v>
      </c>
      <c r="W1065" t="s">
        <v>52</v>
      </c>
      <c r="X1065">
        <v>2023</v>
      </c>
      <c r="Y1065" t="s">
        <v>63</v>
      </c>
      <c r="Z1065" t="s">
        <v>64</v>
      </c>
    </row>
    <row r="1066" spans="1:26">
      <c r="A1066" t="s">
        <v>2095</v>
      </c>
      <c r="B1066" t="s">
        <v>108</v>
      </c>
      <c r="C1066" t="s">
        <v>44</v>
      </c>
      <c r="D1066" t="s">
        <v>29</v>
      </c>
      <c r="E1066" t="s">
        <v>94</v>
      </c>
      <c r="F1066" t="s">
        <v>95</v>
      </c>
      <c r="G1066" t="s">
        <v>58</v>
      </c>
      <c r="H1066">
        <v>11.4</v>
      </c>
      <c r="I1066">
        <v>34.9</v>
      </c>
      <c r="J1066" t="s">
        <v>33</v>
      </c>
      <c r="K1066" t="s">
        <v>2096</v>
      </c>
      <c r="L1066" t="s">
        <v>60</v>
      </c>
      <c r="M1066" t="s">
        <v>1129</v>
      </c>
      <c r="N1066" t="s">
        <v>71</v>
      </c>
      <c r="O1066">
        <v>171</v>
      </c>
      <c r="P1066" t="s">
        <v>72</v>
      </c>
      <c r="Q1066">
        <v>2456</v>
      </c>
      <c r="R1066">
        <v>0</v>
      </c>
      <c r="S1066" t="s">
        <v>90</v>
      </c>
      <c r="T1066" t="s">
        <v>136</v>
      </c>
      <c r="U1066" t="s">
        <v>39</v>
      </c>
      <c r="V1066" t="s">
        <v>52</v>
      </c>
      <c r="W1066" t="s">
        <v>52</v>
      </c>
      <c r="X1066">
        <v>2022</v>
      </c>
      <c r="Y1066" t="s">
        <v>82</v>
      </c>
      <c r="Z1066" t="s">
        <v>83</v>
      </c>
    </row>
    <row r="1067" spans="1:26">
      <c r="A1067" t="s">
        <v>2097</v>
      </c>
      <c r="B1067" t="s">
        <v>93</v>
      </c>
      <c r="C1067" t="s">
        <v>28</v>
      </c>
      <c r="D1067" t="s">
        <v>77</v>
      </c>
      <c r="E1067" t="s">
        <v>220</v>
      </c>
      <c r="F1067" t="s">
        <v>68</v>
      </c>
      <c r="G1067" t="s">
        <v>58</v>
      </c>
      <c r="H1067">
        <v>11</v>
      </c>
      <c r="I1067">
        <v>11.4</v>
      </c>
      <c r="J1067" t="s">
        <v>33</v>
      </c>
      <c r="K1067" t="s">
        <v>690</v>
      </c>
      <c r="L1067" t="s">
        <v>98</v>
      </c>
      <c r="M1067" t="s">
        <v>210</v>
      </c>
      <c r="N1067" t="s">
        <v>171</v>
      </c>
      <c r="O1067">
        <v>159</v>
      </c>
      <c r="Q1067">
        <v>0</v>
      </c>
      <c r="R1067">
        <v>0</v>
      </c>
      <c r="T1067" t="s">
        <v>81</v>
      </c>
      <c r="U1067" t="s">
        <v>39</v>
      </c>
      <c r="V1067" t="s">
        <v>52</v>
      </c>
      <c r="W1067" t="s">
        <v>52</v>
      </c>
      <c r="X1067">
        <v>2024</v>
      </c>
      <c r="Y1067" t="s">
        <v>74</v>
      </c>
      <c r="Z1067" t="s">
        <v>54</v>
      </c>
    </row>
    <row r="1068" spans="1:26">
      <c r="A1068" t="s">
        <v>2098</v>
      </c>
      <c r="B1068" t="s">
        <v>116</v>
      </c>
      <c r="C1068" t="s">
        <v>67</v>
      </c>
      <c r="D1068" t="s">
        <v>77</v>
      </c>
      <c r="E1068" t="s">
        <v>260</v>
      </c>
      <c r="F1068" t="s">
        <v>95</v>
      </c>
      <c r="G1068" t="s">
        <v>32</v>
      </c>
      <c r="H1068">
        <v>9.8000000000000007</v>
      </c>
      <c r="I1068">
        <v>32.200000000000003</v>
      </c>
      <c r="J1068" t="s">
        <v>33</v>
      </c>
      <c r="K1068" t="s">
        <v>555</v>
      </c>
      <c r="L1068" t="s">
        <v>98</v>
      </c>
      <c r="M1068" t="s">
        <v>1297</v>
      </c>
      <c r="N1068" t="s">
        <v>71</v>
      </c>
      <c r="O1068">
        <v>3</v>
      </c>
      <c r="P1068" t="s">
        <v>89</v>
      </c>
      <c r="Q1068">
        <v>6421</v>
      </c>
      <c r="R1068">
        <v>5000</v>
      </c>
      <c r="S1068" t="s">
        <v>152</v>
      </c>
      <c r="T1068" t="s">
        <v>62</v>
      </c>
      <c r="U1068" t="s">
        <v>39</v>
      </c>
      <c r="V1068" t="s">
        <v>52</v>
      </c>
      <c r="W1068" t="s">
        <v>52</v>
      </c>
      <c r="X1068">
        <v>2022</v>
      </c>
      <c r="Y1068" t="s">
        <v>53</v>
      </c>
      <c r="Z1068" t="s">
        <v>54</v>
      </c>
    </row>
    <row r="1069" spans="1:26">
      <c r="A1069" t="s">
        <v>2099</v>
      </c>
      <c r="B1069" t="s">
        <v>43</v>
      </c>
      <c r="C1069" t="s">
        <v>121</v>
      </c>
      <c r="D1069" t="s">
        <v>77</v>
      </c>
      <c r="E1069" t="s">
        <v>78</v>
      </c>
      <c r="F1069" t="s">
        <v>31</v>
      </c>
      <c r="G1069" t="s">
        <v>58</v>
      </c>
      <c r="H1069">
        <v>9.1999999999999993</v>
      </c>
      <c r="I1069">
        <v>24.8</v>
      </c>
      <c r="J1069" t="s">
        <v>33</v>
      </c>
      <c r="K1069" t="s">
        <v>166</v>
      </c>
      <c r="L1069" t="s">
        <v>98</v>
      </c>
      <c r="M1069" t="s">
        <v>2100</v>
      </c>
      <c r="N1069" t="s">
        <v>50</v>
      </c>
      <c r="O1069">
        <v>12</v>
      </c>
      <c r="Q1069">
        <v>0</v>
      </c>
      <c r="R1069">
        <v>0</v>
      </c>
      <c r="T1069" t="s">
        <v>62</v>
      </c>
      <c r="U1069" t="s">
        <v>39</v>
      </c>
      <c r="V1069" t="s">
        <v>52</v>
      </c>
      <c r="W1069" t="s">
        <v>39</v>
      </c>
      <c r="X1069">
        <v>2023</v>
      </c>
      <c r="Y1069" t="s">
        <v>211</v>
      </c>
      <c r="Z1069" t="s">
        <v>41</v>
      </c>
    </row>
    <row r="1070" spans="1:26">
      <c r="A1070" t="s">
        <v>2101</v>
      </c>
      <c r="B1070" t="s">
        <v>43</v>
      </c>
      <c r="C1070" t="s">
        <v>173</v>
      </c>
      <c r="D1070" t="s">
        <v>77</v>
      </c>
      <c r="E1070" t="s">
        <v>143</v>
      </c>
      <c r="F1070" t="s">
        <v>238</v>
      </c>
      <c r="G1070" t="s">
        <v>58</v>
      </c>
      <c r="H1070">
        <v>3.5</v>
      </c>
      <c r="I1070">
        <v>23.9</v>
      </c>
      <c r="J1070" t="s">
        <v>156</v>
      </c>
      <c r="K1070" t="s">
        <v>1920</v>
      </c>
      <c r="L1070" t="s">
        <v>140</v>
      </c>
      <c r="M1070" t="s">
        <v>820</v>
      </c>
      <c r="N1070" t="s">
        <v>100</v>
      </c>
      <c r="O1070">
        <v>3</v>
      </c>
      <c r="Q1070">
        <v>0</v>
      </c>
      <c r="R1070">
        <v>0</v>
      </c>
      <c r="T1070" t="s">
        <v>38</v>
      </c>
      <c r="U1070" t="s">
        <v>39</v>
      </c>
      <c r="V1070" t="s">
        <v>52</v>
      </c>
      <c r="W1070" t="s">
        <v>52</v>
      </c>
      <c r="X1070">
        <v>2022</v>
      </c>
      <c r="Y1070" t="s">
        <v>74</v>
      </c>
      <c r="Z1070" t="s">
        <v>54</v>
      </c>
    </row>
    <row r="1071" spans="1:26">
      <c r="A1071" t="s">
        <v>2102</v>
      </c>
      <c r="B1071" t="s">
        <v>116</v>
      </c>
      <c r="C1071" t="s">
        <v>28</v>
      </c>
      <c r="D1071" t="s">
        <v>77</v>
      </c>
      <c r="E1071" t="s">
        <v>220</v>
      </c>
      <c r="F1071" t="s">
        <v>109</v>
      </c>
      <c r="G1071" t="s">
        <v>32</v>
      </c>
      <c r="H1071">
        <v>8.4</v>
      </c>
      <c r="I1071">
        <v>26.7</v>
      </c>
      <c r="J1071" t="s">
        <v>156</v>
      </c>
      <c r="K1071" t="s">
        <v>1379</v>
      </c>
      <c r="L1071" t="s">
        <v>140</v>
      </c>
      <c r="M1071" t="s">
        <v>1170</v>
      </c>
      <c r="N1071" t="s">
        <v>71</v>
      </c>
      <c r="O1071">
        <v>110</v>
      </c>
      <c r="P1071" t="s">
        <v>230</v>
      </c>
      <c r="Q1071">
        <v>7149</v>
      </c>
      <c r="R1071">
        <v>1000</v>
      </c>
      <c r="S1071" t="s">
        <v>113</v>
      </c>
      <c r="T1071" t="s">
        <v>51</v>
      </c>
      <c r="U1071" t="s">
        <v>39</v>
      </c>
      <c r="V1071" t="s">
        <v>52</v>
      </c>
      <c r="W1071" t="s">
        <v>52</v>
      </c>
      <c r="X1071">
        <v>2023</v>
      </c>
      <c r="Y1071" t="s">
        <v>312</v>
      </c>
      <c r="Z1071" t="s">
        <v>83</v>
      </c>
    </row>
    <row r="1072" spans="1:26">
      <c r="A1072" t="s">
        <v>2103</v>
      </c>
      <c r="B1072" t="s">
        <v>116</v>
      </c>
      <c r="C1072" t="s">
        <v>76</v>
      </c>
      <c r="D1072" t="s">
        <v>122</v>
      </c>
      <c r="E1072" t="s">
        <v>148</v>
      </c>
      <c r="F1072" t="s">
        <v>238</v>
      </c>
      <c r="G1072" t="s">
        <v>32</v>
      </c>
      <c r="H1072">
        <v>1.8</v>
      </c>
      <c r="I1072">
        <v>13</v>
      </c>
      <c r="J1072" t="s">
        <v>144</v>
      </c>
      <c r="K1072" t="s">
        <v>1219</v>
      </c>
      <c r="L1072" t="s">
        <v>140</v>
      </c>
      <c r="M1072" t="s">
        <v>2104</v>
      </c>
      <c r="N1072" t="s">
        <v>171</v>
      </c>
      <c r="O1072">
        <v>176</v>
      </c>
      <c r="Q1072">
        <v>0</v>
      </c>
      <c r="R1072">
        <v>0</v>
      </c>
      <c r="T1072" t="s">
        <v>62</v>
      </c>
      <c r="U1072" t="s">
        <v>39</v>
      </c>
      <c r="V1072" t="s">
        <v>52</v>
      </c>
      <c r="W1072" t="s">
        <v>39</v>
      </c>
      <c r="X1072">
        <v>2024</v>
      </c>
      <c r="Y1072" t="s">
        <v>82</v>
      </c>
      <c r="Z1072" t="s">
        <v>83</v>
      </c>
    </row>
    <row r="1073" spans="1:26">
      <c r="A1073" t="s">
        <v>2105</v>
      </c>
      <c r="B1073" t="s">
        <v>93</v>
      </c>
      <c r="C1073" t="s">
        <v>76</v>
      </c>
      <c r="D1073" t="s">
        <v>85</v>
      </c>
      <c r="E1073" t="s">
        <v>138</v>
      </c>
      <c r="F1073" t="s">
        <v>124</v>
      </c>
      <c r="G1073" t="s">
        <v>32</v>
      </c>
      <c r="H1073">
        <v>4.7</v>
      </c>
      <c r="I1073">
        <v>15.7</v>
      </c>
      <c r="J1073" t="s">
        <v>20</v>
      </c>
      <c r="K1073" t="s">
        <v>119</v>
      </c>
      <c r="L1073" t="s">
        <v>60</v>
      </c>
      <c r="M1073" t="s">
        <v>407</v>
      </c>
      <c r="N1073" t="s">
        <v>71</v>
      </c>
      <c r="O1073">
        <v>141</v>
      </c>
      <c r="P1073" t="s">
        <v>89</v>
      </c>
      <c r="Q1073">
        <v>801</v>
      </c>
      <c r="R1073">
        <v>1000</v>
      </c>
      <c r="S1073" t="s">
        <v>113</v>
      </c>
      <c r="T1073" t="s">
        <v>81</v>
      </c>
      <c r="U1073" t="s">
        <v>39</v>
      </c>
      <c r="V1073" t="s">
        <v>52</v>
      </c>
      <c r="W1073" t="s">
        <v>52</v>
      </c>
      <c r="X1073">
        <v>2024</v>
      </c>
      <c r="Y1073" t="s">
        <v>53</v>
      </c>
      <c r="Z1073" t="s">
        <v>54</v>
      </c>
    </row>
    <row r="1074" spans="1:26">
      <c r="A1074" t="s">
        <v>2106</v>
      </c>
      <c r="B1074" t="s">
        <v>43</v>
      </c>
      <c r="C1074" t="s">
        <v>67</v>
      </c>
      <c r="D1074" t="s">
        <v>77</v>
      </c>
      <c r="E1074" t="s">
        <v>220</v>
      </c>
      <c r="F1074" t="s">
        <v>46</v>
      </c>
      <c r="G1074" t="s">
        <v>58</v>
      </c>
      <c r="H1074">
        <v>4.5999999999999996</v>
      </c>
      <c r="I1074">
        <v>29.8</v>
      </c>
      <c r="J1074" t="s">
        <v>33</v>
      </c>
      <c r="K1074" t="s">
        <v>2107</v>
      </c>
      <c r="L1074" t="s">
        <v>48</v>
      </c>
      <c r="M1074" t="s">
        <v>564</v>
      </c>
      <c r="N1074" t="s">
        <v>50</v>
      </c>
      <c r="O1074">
        <v>101</v>
      </c>
      <c r="Q1074">
        <v>0</v>
      </c>
      <c r="R1074">
        <v>1000</v>
      </c>
      <c r="T1074" t="s">
        <v>51</v>
      </c>
      <c r="U1074" t="s">
        <v>39</v>
      </c>
      <c r="V1074" t="s">
        <v>39</v>
      </c>
      <c r="W1074" t="s">
        <v>52</v>
      </c>
      <c r="X1074">
        <v>2022</v>
      </c>
      <c r="Y1074" t="s">
        <v>106</v>
      </c>
      <c r="Z1074" t="s">
        <v>83</v>
      </c>
    </row>
    <row r="1075" spans="1:26">
      <c r="A1075" t="s">
        <v>2108</v>
      </c>
      <c r="B1075" t="s">
        <v>93</v>
      </c>
      <c r="C1075" t="s">
        <v>164</v>
      </c>
      <c r="D1075" t="s">
        <v>77</v>
      </c>
      <c r="E1075" t="s">
        <v>94</v>
      </c>
      <c r="F1075" t="s">
        <v>31</v>
      </c>
      <c r="G1075" t="s">
        <v>58</v>
      </c>
      <c r="H1075">
        <v>3.5</v>
      </c>
      <c r="I1075">
        <v>16.3</v>
      </c>
      <c r="J1075" t="s">
        <v>156</v>
      </c>
      <c r="K1075" t="s">
        <v>750</v>
      </c>
      <c r="L1075" t="s">
        <v>48</v>
      </c>
      <c r="M1075" t="s">
        <v>918</v>
      </c>
      <c r="N1075" t="s">
        <v>71</v>
      </c>
      <c r="O1075">
        <v>66</v>
      </c>
      <c r="P1075" t="s">
        <v>105</v>
      </c>
      <c r="Q1075">
        <v>6204</v>
      </c>
      <c r="R1075">
        <v>0</v>
      </c>
      <c r="S1075" t="s">
        <v>113</v>
      </c>
      <c r="T1075" t="s">
        <v>81</v>
      </c>
      <c r="U1075" t="s">
        <v>39</v>
      </c>
      <c r="V1075" t="s">
        <v>52</v>
      </c>
      <c r="W1075" t="s">
        <v>52</v>
      </c>
      <c r="X1075">
        <v>2023</v>
      </c>
      <c r="Y1075" t="s">
        <v>91</v>
      </c>
      <c r="Z1075" t="s">
        <v>64</v>
      </c>
    </row>
    <row r="1076" spans="1:26">
      <c r="A1076" t="s">
        <v>2109</v>
      </c>
      <c r="B1076" t="s">
        <v>43</v>
      </c>
      <c r="C1076" t="s">
        <v>76</v>
      </c>
      <c r="D1076" t="s">
        <v>29</v>
      </c>
      <c r="E1076" t="s">
        <v>30</v>
      </c>
      <c r="F1076" t="s">
        <v>109</v>
      </c>
      <c r="G1076" t="s">
        <v>32</v>
      </c>
      <c r="H1076">
        <v>10.1</v>
      </c>
      <c r="I1076">
        <v>2.1</v>
      </c>
      <c r="J1076" t="s">
        <v>20</v>
      </c>
      <c r="K1076" t="s">
        <v>2063</v>
      </c>
      <c r="L1076" t="s">
        <v>60</v>
      </c>
      <c r="M1076" t="s">
        <v>2110</v>
      </c>
      <c r="N1076" t="s">
        <v>71</v>
      </c>
      <c r="O1076">
        <v>9</v>
      </c>
      <c r="P1076" t="s">
        <v>89</v>
      </c>
      <c r="Q1076">
        <v>4134</v>
      </c>
      <c r="R1076">
        <v>500</v>
      </c>
      <c r="S1076" t="s">
        <v>73</v>
      </c>
      <c r="T1076" t="s">
        <v>81</v>
      </c>
      <c r="U1076" t="s">
        <v>39</v>
      </c>
      <c r="V1076" t="s">
        <v>39</v>
      </c>
      <c r="W1076" t="s">
        <v>52</v>
      </c>
      <c r="X1076">
        <v>2022</v>
      </c>
      <c r="Y1076" t="s">
        <v>82</v>
      </c>
      <c r="Z1076" t="s">
        <v>83</v>
      </c>
    </row>
    <row r="1077" spans="1:26">
      <c r="A1077" t="s">
        <v>2111</v>
      </c>
      <c r="B1077" t="s">
        <v>108</v>
      </c>
      <c r="C1077" t="s">
        <v>67</v>
      </c>
      <c r="D1077" t="s">
        <v>85</v>
      </c>
      <c r="E1077" t="s">
        <v>86</v>
      </c>
      <c r="F1077" t="s">
        <v>31</v>
      </c>
      <c r="G1077" t="s">
        <v>32</v>
      </c>
      <c r="H1077">
        <v>4.0999999999999996</v>
      </c>
      <c r="I1077">
        <v>34.1</v>
      </c>
      <c r="J1077" t="s">
        <v>33</v>
      </c>
      <c r="K1077" t="s">
        <v>877</v>
      </c>
      <c r="L1077" t="s">
        <v>140</v>
      </c>
      <c r="M1077" t="s">
        <v>662</v>
      </c>
      <c r="N1077" t="s">
        <v>71</v>
      </c>
      <c r="O1077">
        <v>35</v>
      </c>
      <c r="P1077" t="s">
        <v>89</v>
      </c>
      <c r="Q1077">
        <v>1653</v>
      </c>
      <c r="R1077">
        <v>2000</v>
      </c>
      <c r="S1077" t="s">
        <v>73</v>
      </c>
      <c r="T1077" t="s">
        <v>81</v>
      </c>
      <c r="U1077" t="s">
        <v>52</v>
      </c>
      <c r="V1077" t="s">
        <v>52</v>
      </c>
      <c r="W1077" t="s">
        <v>52</v>
      </c>
      <c r="X1077">
        <v>2023</v>
      </c>
      <c r="Y1077" t="s">
        <v>312</v>
      </c>
      <c r="Z1077" t="s">
        <v>83</v>
      </c>
    </row>
    <row r="1078" spans="1:26">
      <c r="A1078" t="s">
        <v>2112</v>
      </c>
      <c r="B1078" t="s">
        <v>116</v>
      </c>
      <c r="C1078" t="s">
        <v>164</v>
      </c>
      <c r="D1078" t="s">
        <v>85</v>
      </c>
      <c r="E1078" t="s">
        <v>174</v>
      </c>
      <c r="F1078" t="s">
        <v>149</v>
      </c>
      <c r="G1078" t="s">
        <v>32</v>
      </c>
      <c r="H1078">
        <v>8.1</v>
      </c>
      <c r="I1078">
        <v>30.9</v>
      </c>
      <c r="J1078" t="s">
        <v>33</v>
      </c>
      <c r="K1078" t="s">
        <v>1787</v>
      </c>
      <c r="L1078" t="s">
        <v>140</v>
      </c>
      <c r="M1078" t="s">
        <v>524</v>
      </c>
      <c r="N1078" t="s">
        <v>100</v>
      </c>
      <c r="O1078">
        <v>62</v>
      </c>
      <c r="Q1078">
        <v>0</v>
      </c>
      <c r="R1078">
        <v>0</v>
      </c>
      <c r="T1078" t="s">
        <v>81</v>
      </c>
      <c r="U1078" t="s">
        <v>39</v>
      </c>
      <c r="V1078" t="s">
        <v>52</v>
      </c>
      <c r="W1078" t="s">
        <v>52</v>
      </c>
      <c r="X1078">
        <v>2023</v>
      </c>
      <c r="Y1078" t="s">
        <v>74</v>
      </c>
      <c r="Z1078" t="s">
        <v>54</v>
      </c>
    </row>
    <row r="1079" spans="1:26">
      <c r="A1079" t="s">
        <v>2113</v>
      </c>
      <c r="B1079" t="s">
        <v>43</v>
      </c>
      <c r="C1079" t="s">
        <v>102</v>
      </c>
      <c r="D1079" t="s">
        <v>77</v>
      </c>
      <c r="E1079" t="s">
        <v>220</v>
      </c>
      <c r="F1079" t="s">
        <v>109</v>
      </c>
      <c r="G1079" t="s">
        <v>58</v>
      </c>
      <c r="H1079">
        <v>1.2</v>
      </c>
      <c r="I1079">
        <v>12.4</v>
      </c>
      <c r="J1079" t="s">
        <v>33</v>
      </c>
      <c r="K1079" t="s">
        <v>1188</v>
      </c>
      <c r="L1079" t="s">
        <v>48</v>
      </c>
      <c r="M1079" t="s">
        <v>760</v>
      </c>
      <c r="N1079" t="s">
        <v>50</v>
      </c>
      <c r="O1079">
        <v>1</v>
      </c>
      <c r="Q1079">
        <v>0</v>
      </c>
      <c r="R1079">
        <v>0</v>
      </c>
      <c r="T1079" t="s">
        <v>136</v>
      </c>
      <c r="U1079" t="s">
        <v>39</v>
      </c>
      <c r="V1079" t="s">
        <v>39</v>
      </c>
      <c r="W1079" t="s">
        <v>52</v>
      </c>
      <c r="X1079">
        <v>2022</v>
      </c>
      <c r="Y1079" t="s">
        <v>114</v>
      </c>
      <c r="Z1079" t="s">
        <v>41</v>
      </c>
    </row>
    <row r="1080" spans="1:26">
      <c r="A1080" t="s">
        <v>2114</v>
      </c>
      <c r="B1080" t="s">
        <v>108</v>
      </c>
      <c r="C1080" t="s">
        <v>28</v>
      </c>
      <c r="D1080" t="s">
        <v>29</v>
      </c>
      <c r="E1080" t="s">
        <v>56</v>
      </c>
      <c r="F1080" t="s">
        <v>95</v>
      </c>
      <c r="G1080" t="s">
        <v>32</v>
      </c>
      <c r="H1080">
        <v>8.3000000000000007</v>
      </c>
      <c r="I1080">
        <v>20</v>
      </c>
      <c r="J1080" t="s">
        <v>33</v>
      </c>
      <c r="K1080" t="s">
        <v>1113</v>
      </c>
      <c r="L1080" t="s">
        <v>140</v>
      </c>
      <c r="M1080" t="s">
        <v>127</v>
      </c>
      <c r="N1080" t="s">
        <v>50</v>
      </c>
      <c r="O1080">
        <v>32</v>
      </c>
      <c r="Q1080">
        <v>0</v>
      </c>
      <c r="R1080">
        <v>0</v>
      </c>
      <c r="T1080" t="s">
        <v>51</v>
      </c>
      <c r="U1080" t="s">
        <v>39</v>
      </c>
      <c r="V1080" t="s">
        <v>52</v>
      </c>
      <c r="W1080" t="s">
        <v>39</v>
      </c>
      <c r="X1080">
        <v>2024</v>
      </c>
      <c r="Y1080" t="s">
        <v>63</v>
      </c>
      <c r="Z1080" t="s">
        <v>64</v>
      </c>
    </row>
    <row r="1081" spans="1:26">
      <c r="A1081" t="s">
        <v>2115</v>
      </c>
      <c r="B1081" t="s">
        <v>27</v>
      </c>
      <c r="C1081" t="s">
        <v>76</v>
      </c>
      <c r="D1081" t="s">
        <v>77</v>
      </c>
      <c r="E1081" t="s">
        <v>260</v>
      </c>
      <c r="F1081" t="s">
        <v>238</v>
      </c>
      <c r="G1081" t="s">
        <v>32</v>
      </c>
      <c r="H1081">
        <v>8.5</v>
      </c>
      <c r="I1081">
        <v>3.7</v>
      </c>
      <c r="J1081" t="s">
        <v>33</v>
      </c>
      <c r="K1081" t="s">
        <v>675</v>
      </c>
      <c r="L1081" t="s">
        <v>126</v>
      </c>
      <c r="M1081" t="s">
        <v>127</v>
      </c>
      <c r="N1081" t="s">
        <v>50</v>
      </c>
      <c r="O1081">
        <v>177</v>
      </c>
      <c r="Q1081">
        <v>0</v>
      </c>
      <c r="R1081">
        <v>0</v>
      </c>
      <c r="T1081" t="s">
        <v>62</v>
      </c>
      <c r="U1081" t="s">
        <v>39</v>
      </c>
      <c r="V1081" t="s">
        <v>39</v>
      </c>
      <c r="W1081" t="s">
        <v>52</v>
      </c>
      <c r="X1081">
        <v>2024</v>
      </c>
      <c r="Y1081" t="s">
        <v>211</v>
      </c>
      <c r="Z1081" t="s">
        <v>41</v>
      </c>
    </row>
    <row r="1082" spans="1:26">
      <c r="A1082" t="s">
        <v>2116</v>
      </c>
      <c r="B1082" t="s">
        <v>93</v>
      </c>
      <c r="C1082" t="s">
        <v>76</v>
      </c>
      <c r="D1082" t="s">
        <v>77</v>
      </c>
      <c r="E1082" t="s">
        <v>216</v>
      </c>
      <c r="F1082" t="s">
        <v>95</v>
      </c>
      <c r="G1082" t="s">
        <v>58</v>
      </c>
      <c r="H1082">
        <v>9.6999999999999993</v>
      </c>
      <c r="I1082">
        <v>10</v>
      </c>
      <c r="J1082" t="s">
        <v>33</v>
      </c>
      <c r="K1082" t="s">
        <v>780</v>
      </c>
      <c r="L1082" t="s">
        <v>98</v>
      </c>
      <c r="M1082" t="s">
        <v>127</v>
      </c>
      <c r="N1082" t="s">
        <v>50</v>
      </c>
      <c r="O1082">
        <v>149</v>
      </c>
      <c r="Q1082">
        <v>0</v>
      </c>
      <c r="R1082">
        <v>0</v>
      </c>
      <c r="T1082" t="s">
        <v>136</v>
      </c>
      <c r="U1082" t="s">
        <v>39</v>
      </c>
      <c r="V1082" t="s">
        <v>39</v>
      </c>
      <c r="W1082" t="s">
        <v>39</v>
      </c>
      <c r="X1082">
        <v>2024</v>
      </c>
      <c r="Y1082" t="s">
        <v>128</v>
      </c>
      <c r="Z1082" t="s">
        <v>64</v>
      </c>
    </row>
    <row r="1083" spans="1:26">
      <c r="A1083" t="s">
        <v>2117</v>
      </c>
      <c r="B1083" t="s">
        <v>93</v>
      </c>
      <c r="C1083" t="s">
        <v>28</v>
      </c>
      <c r="D1083" t="s">
        <v>77</v>
      </c>
      <c r="E1083" t="s">
        <v>363</v>
      </c>
      <c r="F1083" t="s">
        <v>160</v>
      </c>
      <c r="G1083" t="s">
        <v>32</v>
      </c>
      <c r="H1083">
        <v>8</v>
      </c>
      <c r="I1083">
        <v>5.9</v>
      </c>
      <c r="J1083" t="s">
        <v>144</v>
      </c>
      <c r="K1083" t="s">
        <v>1634</v>
      </c>
      <c r="L1083" t="s">
        <v>60</v>
      </c>
      <c r="M1083" t="s">
        <v>317</v>
      </c>
      <c r="N1083" t="s">
        <v>71</v>
      </c>
      <c r="O1083">
        <v>138</v>
      </c>
      <c r="P1083" t="s">
        <v>89</v>
      </c>
      <c r="Q1083">
        <v>4873</v>
      </c>
      <c r="R1083">
        <v>0</v>
      </c>
      <c r="S1083" t="s">
        <v>113</v>
      </c>
      <c r="T1083" t="s">
        <v>62</v>
      </c>
      <c r="U1083" t="s">
        <v>39</v>
      </c>
      <c r="V1083" t="s">
        <v>39</v>
      </c>
      <c r="W1083" t="s">
        <v>52</v>
      </c>
      <c r="X1083">
        <v>2023</v>
      </c>
      <c r="Y1083" t="s">
        <v>211</v>
      </c>
      <c r="Z1083" t="s">
        <v>41</v>
      </c>
    </row>
    <row r="1084" spans="1:26">
      <c r="A1084" t="s">
        <v>2118</v>
      </c>
      <c r="B1084" t="s">
        <v>116</v>
      </c>
      <c r="C1084" t="s">
        <v>102</v>
      </c>
      <c r="D1084" t="s">
        <v>122</v>
      </c>
      <c r="E1084" t="s">
        <v>202</v>
      </c>
      <c r="F1084" t="s">
        <v>238</v>
      </c>
      <c r="G1084" t="s">
        <v>32</v>
      </c>
      <c r="H1084">
        <v>7.6</v>
      </c>
      <c r="I1084">
        <v>1</v>
      </c>
      <c r="J1084" t="s">
        <v>156</v>
      </c>
      <c r="K1084" t="s">
        <v>861</v>
      </c>
      <c r="L1084" t="s">
        <v>98</v>
      </c>
      <c r="M1084" t="s">
        <v>2119</v>
      </c>
      <c r="N1084" t="s">
        <v>71</v>
      </c>
      <c r="O1084">
        <v>180</v>
      </c>
      <c r="P1084" t="s">
        <v>89</v>
      </c>
      <c r="Q1084">
        <v>1018</v>
      </c>
      <c r="R1084">
        <v>2000</v>
      </c>
      <c r="S1084" t="s">
        <v>113</v>
      </c>
      <c r="T1084" t="s">
        <v>81</v>
      </c>
      <c r="U1084" t="s">
        <v>39</v>
      </c>
      <c r="V1084" t="s">
        <v>52</v>
      </c>
      <c r="W1084" t="s">
        <v>52</v>
      </c>
      <c r="X1084">
        <v>2023</v>
      </c>
      <c r="Y1084" t="s">
        <v>82</v>
      </c>
      <c r="Z1084" t="s">
        <v>83</v>
      </c>
    </row>
    <row r="1085" spans="1:26">
      <c r="A1085" t="s">
        <v>2120</v>
      </c>
      <c r="B1085" t="s">
        <v>43</v>
      </c>
      <c r="C1085" t="s">
        <v>28</v>
      </c>
      <c r="D1085" t="s">
        <v>77</v>
      </c>
      <c r="E1085" t="s">
        <v>260</v>
      </c>
      <c r="F1085" t="s">
        <v>57</v>
      </c>
      <c r="G1085" t="s">
        <v>32</v>
      </c>
      <c r="H1085">
        <v>8.6</v>
      </c>
      <c r="I1085">
        <v>1.9</v>
      </c>
      <c r="J1085" t="s">
        <v>33</v>
      </c>
      <c r="K1085" t="s">
        <v>350</v>
      </c>
      <c r="L1085" t="s">
        <v>126</v>
      </c>
      <c r="M1085" t="s">
        <v>1379</v>
      </c>
      <c r="N1085" t="s">
        <v>71</v>
      </c>
      <c r="O1085">
        <v>179</v>
      </c>
      <c r="P1085" t="s">
        <v>72</v>
      </c>
      <c r="Q1085">
        <v>4996</v>
      </c>
      <c r="R1085">
        <v>0</v>
      </c>
      <c r="S1085" t="s">
        <v>90</v>
      </c>
      <c r="T1085" t="s">
        <v>81</v>
      </c>
      <c r="U1085" t="s">
        <v>39</v>
      </c>
      <c r="V1085" t="s">
        <v>52</v>
      </c>
      <c r="W1085" t="s">
        <v>39</v>
      </c>
      <c r="X1085">
        <v>2022</v>
      </c>
      <c r="Y1085" t="s">
        <v>114</v>
      </c>
      <c r="Z1085" t="s">
        <v>41</v>
      </c>
    </row>
    <row r="1086" spans="1:26">
      <c r="A1086" t="s">
        <v>2121</v>
      </c>
      <c r="B1086" t="s">
        <v>116</v>
      </c>
      <c r="C1086" t="s">
        <v>102</v>
      </c>
      <c r="D1086" t="s">
        <v>122</v>
      </c>
      <c r="E1086" t="s">
        <v>202</v>
      </c>
      <c r="F1086" t="s">
        <v>68</v>
      </c>
      <c r="G1086" t="s">
        <v>58</v>
      </c>
      <c r="H1086">
        <v>4.3</v>
      </c>
      <c r="I1086">
        <v>31.7</v>
      </c>
      <c r="J1086" t="s">
        <v>156</v>
      </c>
      <c r="K1086" t="s">
        <v>1787</v>
      </c>
      <c r="L1086" t="s">
        <v>35</v>
      </c>
      <c r="M1086" t="s">
        <v>1462</v>
      </c>
      <c r="N1086" t="s">
        <v>50</v>
      </c>
      <c r="O1086">
        <v>113</v>
      </c>
      <c r="Q1086">
        <v>0</v>
      </c>
      <c r="R1086">
        <v>1000</v>
      </c>
      <c r="T1086" t="s">
        <v>81</v>
      </c>
      <c r="U1086" t="s">
        <v>39</v>
      </c>
      <c r="V1086" t="s">
        <v>52</v>
      </c>
      <c r="W1086" t="s">
        <v>39</v>
      </c>
      <c r="X1086">
        <v>2023</v>
      </c>
      <c r="Y1086" t="s">
        <v>74</v>
      </c>
      <c r="Z1086" t="s">
        <v>54</v>
      </c>
    </row>
    <row r="1087" spans="1:26">
      <c r="A1087" t="s">
        <v>2122</v>
      </c>
      <c r="B1087" t="s">
        <v>116</v>
      </c>
      <c r="C1087" t="s">
        <v>76</v>
      </c>
      <c r="D1087" t="s">
        <v>77</v>
      </c>
      <c r="E1087" t="s">
        <v>168</v>
      </c>
      <c r="F1087" t="s">
        <v>160</v>
      </c>
      <c r="G1087" t="s">
        <v>58</v>
      </c>
      <c r="H1087">
        <v>9</v>
      </c>
      <c r="I1087">
        <v>18.8</v>
      </c>
      <c r="J1087" t="s">
        <v>96</v>
      </c>
      <c r="K1087" t="s">
        <v>2123</v>
      </c>
      <c r="L1087" t="s">
        <v>98</v>
      </c>
      <c r="M1087" t="s">
        <v>1415</v>
      </c>
      <c r="N1087" t="s">
        <v>71</v>
      </c>
      <c r="O1087">
        <v>156</v>
      </c>
      <c r="P1087" t="s">
        <v>105</v>
      </c>
      <c r="Q1087">
        <v>4303</v>
      </c>
      <c r="R1087">
        <v>1000</v>
      </c>
      <c r="S1087" t="s">
        <v>152</v>
      </c>
      <c r="T1087" t="s">
        <v>38</v>
      </c>
      <c r="U1087" t="s">
        <v>52</v>
      </c>
      <c r="V1087" t="s">
        <v>52</v>
      </c>
      <c r="W1087" t="s">
        <v>52</v>
      </c>
      <c r="X1087">
        <v>2024</v>
      </c>
      <c r="Y1087" t="s">
        <v>82</v>
      </c>
      <c r="Z1087" t="s">
        <v>83</v>
      </c>
    </row>
    <row r="1088" spans="1:26">
      <c r="A1088" t="s">
        <v>2124</v>
      </c>
      <c r="B1088" t="s">
        <v>93</v>
      </c>
      <c r="C1088" t="s">
        <v>44</v>
      </c>
      <c r="D1088" t="s">
        <v>77</v>
      </c>
      <c r="E1088" t="s">
        <v>143</v>
      </c>
      <c r="F1088" t="s">
        <v>109</v>
      </c>
      <c r="G1088" t="s">
        <v>32</v>
      </c>
      <c r="H1088">
        <v>5.9</v>
      </c>
      <c r="I1088">
        <v>17.8</v>
      </c>
      <c r="J1088" t="s">
        <v>96</v>
      </c>
      <c r="K1088" t="s">
        <v>975</v>
      </c>
      <c r="L1088" t="s">
        <v>126</v>
      </c>
      <c r="M1088" t="s">
        <v>624</v>
      </c>
      <c r="N1088" t="s">
        <v>100</v>
      </c>
      <c r="O1088">
        <v>31</v>
      </c>
      <c r="Q1088">
        <v>0</v>
      </c>
      <c r="R1088">
        <v>0</v>
      </c>
      <c r="T1088" t="s">
        <v>136</v>
      </c>
      <c r="U1088" t="s">
        <v>52</v>
      </c>
      <c r="V1088" t="s">
        <v>39</v>
      </c>
      <c r="W1088" t="s">
        <v>52</v>
      </c>
      <c r="X1088">
        <v>2023</v>
      </c>
      <c r="Y1088" t="s">
        <v>82</v>
      </c>
      <c r="Z1088" t="s">
        <v>83</v>
      </c>
    </row>
    <row r="1089" spans="1:26">
      <c r="A1089" t="s">
        <v>2125</v>
      </c>
      <c r="B1089" t="s">
        <v>27</v>
      </c>
      <c r="C1089" t="s">
        <v>173</v>
      </c>
      <c r="D1089" t="s">
        <v>77</v>
      </c>
      <c r="E1089" t="s">
        <v>94</v>
      </c>
      <c r="F1089" t="s">
        <v>160</v>
      </c>
      <c r="G1089" t="s">
        <v>32</v>
      </c>
      <c r="H1089">
        <v>4.4000000000000004</v>
      </c>
      <c r="I1089">
        <v>2.6</v>
      </c>
      <c r="J1089" t="s">
        <v>156</v>
      </c>
      <c r="K1089" t="s">
        <v>424</v>
      </c>
      <c r="L1089" t="s">
        <v>35</v>
      </c>
      <c r="M1089" t="s">
        <v>1097</v>
      </c>
      <c r="N1089" t="s">
        <v>100</v>
      </c>
      <c r="O1089">
        <v>22</v>
      </c>
      <c r="Q1089">
        <v>0</v>
      </c>
      <c r="R1089">
        <v>0</v>
      </c>
      <c r="T1089" t="s">
        <v>136</v>
      </c>
      <c r="U1089" t="s">
        <v>52</v>
      </c>
      <c r="V1089" t="s">
        <v>52</v>
      </c>
      <c r="W1089" t="s">
        <v>52</v>
      </c>
      <c r="X1089">
        <v>2022</v>
      </c>
      <c r="Y1089" t="s">
        <v>128</v>
      </c>
      <c r="Z1089" t="s">
        <v>64</v>
      </c>
    </row>
    <row r="1090" spans="1:26">
      <c r="A1090" t="s">
        <v>2126</v>
      </c>
      <c r="B1090" t="s">
        <v>27</v>
      </c>
      <c r="C1090" t="s">
        <v>44</v>
      </c>
      <c r="D1090" t="s">
        <v>29</v>
      </c>
      <c r="E1090" t="s">
        <v>244</v>
      </c>
      <c r="F1090" t="s">
        <v>68</v>
      </c>
      <c r="G1090" t="s">
        <v>32</v>
      </c>
      <c r="H1090">
        <v>4.2</v>
      </c>
      <c r="I1090">
        <v>10.9</v>
      </c>
      <c r="J1090" t="s">
        <v>33</v>
      </c>
      <c r="K1090" t="s">
        <v>315</v>
      </c>
      <c r="L1090" t="s">
        <v>48</v>
      </c>
      <c r="M1090" t="s">
        <v>2127</v>
      </c>
      <c r="N1090" t="s">
        <v>100</v>
      </c>
      <c r="O1090">
        <v>58</v>
      </c>
      <c r="Q1090">
        <v>0</v>
      </c>
      <c r="R1090">
        <v>0</v>
      </c>
      <c r="T1090" t="s">
        <v>81</v>
      </c>
      <c r="U1090" t="s">
        <v>52</v>
      </c>
      <c r="V1090" t="s">
        <v>39</v>
      </c>
      <c r="W1090" t="s">
        <v>52</v>
      </c>
      <c r="X1090">
        <v>2023</v>
      </c>
      <c r="Y1090" t="s">
        <v>106</v>
      </c>
      <c r="Z1090" t="s">
        <v>83</v>
      </c>
    </row>
    <row r="1091" spans="1:26">
      <c r="A1091" t="s">
        <v>2128</v>
      </c>
      <c r="B1091" t="s">
        <v>43</v>
      </c>
      <c r="C1091" t="s">
        <v>67</v>
      </c>
      <c r="D1091" t="s">
        <v>29</v>
      </c>
      <c r="E1091" t="s">
        <v>30</v>
      </c>
      <c r="F1091" t="s">
        <v>109</v>
      </c>
      <c r="G1091" t="s">
        <v>32</v>
      </c>
      <c r="H1091">
        <v>2.7</v>
      </c>
      <c r="I1091">
        <v>14.7</v>
      </c>
      <c r="J1091" t="s">
        <v>33</v>
      </c>
      <c r="K1091" t="s">
        <v>1486</v>
      </c>
      <c r="L1091" t="s">
        <v>98</v>
      </c>
      <c r="M1091" t="s">
        <v>1164</v>
      </c>
      <c r="N1091" t="s">
        <v>61</v>
      </c>
      <c r="O1091">
        <v>38</v>
      </c>
      <c r="Q1091">
        <v>0</v>
      </c>
      <c r="R1091">
        <v>0</v>
      </c>
      <c r="T1091" t="s">
        <v>81</v>
      </c>
      <c r="U1091" t="s">
        <v>39</v>
      </c>
      <c r="V1091" t="s">
        <v>52</v>
      </c>
      <c r="W1091" t="s">
        <v>39</v>
      </c>
      <c r="X1091">
        <v>2023</v>
      </c>
      <c r="Y1091" t="s">
        <v>211</v>
      </c>
      <c r="Z1091" t="s">
        <v>41</v>
      </c>
    </row>
    <row r="1092" spans="1:26">
      <c r="A1092" t="s">
        <v>2129</v>
      </c>
      <c r="B1092" t="s">
        <v>43</v>
      </c>
      <c r="C1092" t="s">
        <v>173</v>
      </c>
      <c r="D1092" t="s">
        <v>29</v>
      </c>
      <c r="E1092" t="s">
        <v>94</v>
      </c>
      <c r="F1092" t="s">
        <v>95</v>
      </c>
      <c r="G1092" t="s">
        <v>32</v>
      </c>
      <c r="H1092">
        <v>11.2</v>
      </c>
      <c r="I1092">
        <v>5.6</v>
      </c>
      <c r="J1092" t="s">
        <v>33</v>
      </c>
      <c r="K1092" t="s">
        <v>1772</v>
      </c>
      <c r="L1092" t="s">
        <v>48</v>
      </c>
      <c r="M1092" t="s">
        <v>127</v>
      </c>
      <c r="N1092" t="s">
        <v>71</v>
      </c>
      <c r="O1092">
        <v>153</v>
      </c>
      <c r="P1092" t="s">
        <v>89</v>
      </c>
      <c r="Q1092">
        <v>4530</v>
      </c>
      <c r="R1092">
        <v>1000</v>
      </c>
      <c r="S1092" t="s">
        <v>152</v>
      </c>
      <c r="T1092" t="s">
        <v>81</v>
      </c>
      <c r="U1092" t="s">
        <v>39</v>
      </c>
      <c r="V1092" t="s">
        <v>52</v>
      </c>
      <c r="W1092" t="s">
        <v>52</v>
      </c>
      <c r="X1092">
        <v>2024</v>
      </c>
      <c r="Y1092" t="s">
        <v>91</v>
      </c>
      <c r="Z1092" t="s">
        <v>64</v>
      </c>
    </row>
    <row r="1093" spans="1:26">
      <c r="A1093" t="s">
        <v>2130</v>
      </c>
      <c r="B1093" t="s">
        <v>43</v>
      </c>
      <c r="C1093" t="s">
        <v>76</v>
      </c>
      <c r="D1093" t="s">
        <v>77</v>
      </c>
      <c r="E1093" t="s">
        <v>216</v>
      </c>
      <c r="F1093" t="s">
        <v>124</v>
      </c>
      <c r="G1093" t="s">
        <v>58</v>
      </c>
      <c r="H1093">
        <v>2.9</v>
      </c>
      <c r="I1093">
        <v>9</v>
      </c>
      <c r="J1093" t="s">
        <v>33</v>
      </c>
      <c r="K1093" t="s">
        <v>762</v>
      </c>
      <c r="L1093" t="s">
        <v>98</v>
      </c>
      <c r="M1093" t="s">
        <v>528</v>
      </c>
      <c r="N1093" t="s">
        <v>71</v>
      </c>
      <c r="O1093">
        <v>171</v>
      </c>
      <c r="P1093" t="s">
        <v>72</v>
      </c>
      <c r="Q1093">
        <v>5987</v>
      </c>
      <c r="R1093">
        <v>1000</v>
      </c>
      <c r="S1093" t="s">
        <v>90</v>
      </c>
      <c r="T1093" t="s">
        <v>136</v>
      </c>
      <c r="U1093" t="s">
        <v>39</v>
      </c>
      <c r="V1093" t="s">
        <v>52</v>
      </c>
      <c r="W1093" t="s">
        <v>52</v>
      </c>
      <c r="X1093">
        <v>2024</v>
      </c>
      <c r="Y1093" t="s">
        <v>106</v>
      </c>
      <c r="Z1093" t="s">
        <v>83</v>
      </c>
    </row>
    <row r="1094" spans="1:26">
      <c r="A1094" t="s">
        <v>2131</v>
      </c>
      <c r="B1094" t="s">
        <v>108</v>
      </c>
      <c r="C1094" t="s">
        <v>173</v>
      </c>
      <c r="D1094" t="s">
        <v>122</v>
      </c>
      <c r="E1094" t="s">
        <v>130</v>
      </c>
      <c r="F1094" t="s">
        <v>46</v>
      </c>
      <c r="G1094" t="s">
        <v>58</v>
      </c>
      <c r="H1094">
        <v>6</v>
      </c>
      <c r="I1094">
        <v>28</v>
      </c>
      <c r="J1094" t="s">
        <v>33</v>
      </c>
      <c r="K1094" t="s">
        <v>1123</v>
      </c>
      <c r="L1094" t="s">
        <v>48</v>
      </c>
      <c r="M1094" t="s">
        <v>206</v>
      </c>
      <c r="N1094" t="s">
        <v>61</v>
      </c>
      <c r="O1094">
        <v>177</v>
      </c>
      <c r="Q1094">
        <v>0</v>
      </c>
      <c r="R1094">
        <v>0</v>
      </c>
      <c r="T1094" t="s">
        <v>136</v>
      </c>
      <c r="U1094" t="s">
        <v>39</v>
      </c>
      <c r="V1094" t="s">
        <v>52</v>
      </c>
      <c r="W1094" t="s">
        <v>52</v>
      </c>
      <c r="X1094">
        <v>2024</v>
      </c>
      <c r="Y1094" t="s">
        <v>312</v>
      </c>
      <c r="Z1094" t="s">
        <v>83</v>
      </c>
    </row>
    <row r="1095" spans="1:26">
      <c r="A1095" t="s">
        <v>2132</v>
      </c>
      <c r="B1095" t="s">
        <v>43</v>
      </c>
      <c r="C1095" t="s">
        <v>173</v>
      </c>
      <c r="D1095" t="s">
        <v>29</v>
      </c>
      <c r="E1095" t="s">
        <v>117</v>
      </c>
      <c r="F1095" t="s">
        <v>68</v>
      </c>
      <c r="G1095" t="s">
        <v>58</v>
      </c>
      <c r="H1095">
        <v>11.6</v>
      </c>
      <c r="I1095">
        <v>2.7</v>
      </c>
      <c r="J1095" t="s">
        <v>33</v>
      </c>
      <c r="K1095" t="s">
        <v>870</v>
      </c>
      <c r="L1095" t="s">
        <v>60</v>
      </c>
      <c r="M1095" t="s">
        <v>2133</v>
      </c>
      <c r="N1095" t="s">
        <v>100</v>
      </c>
      <c r="O1095">
        <v>153</v>
      </c>
      <c r="Q1095">
        <v>0</v>
      </c>
      <c r="R1095">
        <v>0</v>
      </c>
      <c r="T1095" t="s">
        <v>51</v>
      </c>
      <c r="U1095" t="s">
        <v>39</v>
      </c>
      <c r="V1095" t="s">
        <v>39</v>
      </c>
      <c r="W1095" t="s">
        <v>39</v>
      </c>
      <c r="X1095">
        <v>2024</v>
      </c>
      <c r="Y1095" t="s">
        <v>312</v>
      </c>
      <c r="Z1095" t="s">
        <v>83</v>
      </c>
    </row>
    <row r="1096" spans="1:26">
      <c r="A1096" t="s">
        <v>2134</v>
      </c>
      <c r="B1096" t="s">
        <v>93</v>
      </c>
      <c r="C1096" t="s">
        <v>67</v>
      </c>
      <c r="D1096" t="s">
        <v>77</v>
      </c>
      <c r="E1096" t="s">
        <v>260</v>
      </c>
      <c r="F1096" t="s">
        <v>31</v>
      </c>
      <c r="G1096" t="s">
        <v>32</v>
      </c>
      <c r="H1096">
        <v>9.1</v>
      </c>
      <c r="I1096">
        <v>21.1</v>
      </c>
      <c r="J1096" t="s">
        <v>144</v>
      </c>
      <c r="K1096" t="s">
        <v>2135</v>
      </c>
      <c r="L1096" t="s">
        <v>60</v>
      </c>
      <c r="M1096" t="s">
        <v>307</v>
      </c>
      <c r="N1096" t="s">
        <v>71</v>
      </c>
      <c r="O1096">
        <v>131</v>
      </c>
      <c r="P1096" t="s">
        <v>112</v>
      </c>
      <c r="Q1096">
        <v>5799</v>
      </c>
      <c r="R1096">
        <v>0</v>
      </c>
      <c r="S1096" t="s">
        <v>113</v>
      </c>
      <c r="T1096" t="s">
        <v>38</v>
      </c>
      <c r="U1096" t="s">
        <v>39</v>
      </c>
      <c r="V1096" t="s">
        <v>39</v>
      </c>
      <c r="W1096" t="s">
        <v>52</v>
      </c>
      <c r="X1096">
        <v>2023</v>
      </c>
      <c r="Y1096" t="s">
        <v>114</v>
      </c>
      <c r="Z1096" t="s">
        <v>41</v>
      </c>
    </row>
    <row r="1097" spans="1:26">
      <c r="A1097" t="s">
        <v>2136</v>
      </c>
      <c r="B1097" t="s">
        <v>93</v>
      </c>
      <c r="C1097" t="s">
        <v>76</v>
      </c>
      <c r="D1097" t="s">
        <v>29</v>
      </c>
      <c r="E1097" t="s">
        <v>45</v>
      </c>
      <c r="F1097" t="s">
        <v>160</v>
      </c>
      <c r="G1097" t="s">
        <v>58</v>
      </c>
      <c r="H1097">
        <v>4.7</v>
      </c>
      <c r="I1097">
        <v>32.700000000000003</v>
      </c>
      <c r="J1097" t="s">
        <v>33</v>
      </c>
      <c r="K1097" t="s">
        <v>267</v>
      </c>
      <c r="L1097" t="s">
        <v>48</v>
      </c>
      <c r="M1097" t="s">
        <v>1462</v>
      </c>
      <c r="N1097" t="s">
        <v>71</v>
      </c>
      <c r="O1097">
        <v>95</v>
      </c>
      <c r="P1097" t="s">
        <v>112</v>
      </c>
      <c r="Q1097">
        <v>2588</v>
      </c>
      <c r="R1097">
        <v>0</v>
      </c>
      <c r="S1097" t="s">
        <v>73</v>
      </c>
      <c r="T1097" t="s">
        <v>51</v>
      </c>
      <c r="U1097" t="s">
        <v>39</v>
      </c>
      <c r="V1097" t="s">
        <v>52</v>
      </c>
      <c r="W1097" t="s">
        <v>52</v>
      </c>
      <c r="X1097">
        <v>2023</v>
      </c>
      <c r="Y1097" t="s">
        <v>53</v>
      </c>
      <c r="Z1097" t="s">
        <v>54</v>
      </c>
    </row>
    <row r="1098" spans="1:26">
      <c r="A1098" t="s">
        <v>2137</v>
      </c>
      <c r="B1098" t="s">
        <v>116</v>
      </c>
      <c r="C1098" t="s">
        <v>76</v>
      </c>
      <c r="D1098" t="s">
        <v>77</v>
      </c>
      <c r="E1098" t="s">
        <v>78</v>
      </c>
      <c r="F1098" t="s">
        <v>109</v>
      </c>
      <c r="G1098" t="s">
        <v>58</v>
      </c>
      <c r="H1098">
        <v>1.3</v>
      </c>
      <c r="I1098">
        <v>31.8</v>
      </c>
      <c r="J1098" t="s">
        <v>144</v>
      </c>
      <c r="K1098" t="s">
        <v>746</v>
      </c>
      <c r="L1098" t="s">
        <v>140</v>
      </c>
      <c r="M1098" t="s">
        <v>242</v>
      </c>
      <c r="N1098" t="s">
        <v>50</v>
      </c>
      <c r="O1098">
        <v>57</v>
      </c>
      <c r="Q1098">
        <v>0</v>
      </c>
      <c r="R1098">
        <v>0</v>
      </c>
      <c r="T1098" t="s">
        <v>51</v>
      </c>
      <c r="U1098" t="s">
        <v>39</v>
      </c>
      <c r="V1098" t="s">
        <v>39</v>
      </c>
      <c r="W1098" t="s">
        <v>39</v>
      </c>
      <c r="X1098">
        <v>2024</v>
      </c>
      <c r="Y1098" t="s">
        <v>74</v>
      </c>
      <c r="Z1098" t="s">
        <v>54</v>
      </c>
    </row>
    <row r="1099" spans="1:26">
      <c r="A1099" t="s">
        <v>2138</v>
      </c>
      <c r="B1099" t="s">
        <v>66</v>
      </c>
      <c r="C1099" t="s">
        <v>173</v>
      </c>
      <c r="D1099" t="s">
        <v>29</v>
      </c>
      <c r="E1099" t="s">
        <v>56</v>
      </c>
      <c r="F1099" t="s">
        <v>68</v>
      </c>
      <c r="G1099" t="s">
        <v>32</v>
      </c>
      <c r="H1099">
        <v>3.9</v>
      </c>
      <c r="I1099">
        <v>7.7</v>
      </c>
      <c r="J1099" t="s">
        <v>20</v>
      </c>
      <c r="K1099" t="s">
        <v>567</v>
      </c>
      <c r="L1099" t="s">
        <v>126</v>
      </c>
      <c r="M1099" t="s">
        <v>650</v>
      </c>
      <c r="N1099" t="s">
        <v>61</v>
      </c>
      <c r="O1099">
        <v>24</v>
      </c>
      <c r="Q1099">
        <v>0</v>
      </c>
      <c r="R1099">
        <v>0</v>
      </c>
      <c r="T1099" t="s">
        <v>51</v>
      </c>
      <c r="U1099" t="s">
        <v>39</v>
      </c>
      <c r="V1099" t="s">
        <v>52</v>
      </c>
      <c r="W1099" t="s">
        <v>52</v>
      </c>
      <c r="X1099">
        <v>2024</v>
      </c>
      <c r="Y1099" t="s">
        <v>40</v>
      </c>
      <c r="Z1099" t="s">
        <v>41</v>
      </c>
    </row>
    <row r="1100" spans="1:26">
      <c r="A1100" t="s">
        <v>2139</v>
      </c>
      <c r="B1100" t="s">
        <v>66</v>
      </c>
      <c r="C1100" t="s">
        <v>164</v>
      </c>
      <c r="D1100" t="s">
        <v>77</v>
      </c>
      <c r="E1100" t="s">
        <v>143</v>
      </c>
      <c r="F1100" t="s">
        <v>124</v>
      </c>
      <c r="G1100" t="s">
        <v>32</v>
      </c>
      <c r="H1100">
        <v>6.4</v>
      </c>
      <c r="I1100">
        <v>28</v>
      </c>
      <c r="J1100" t="s">
        <v>144</v>
      </c>
      <c r="K1100" t="s">
        <v>407</v>
      </c>
      <c r="L1100" t="s">
        <v>126</v>
      </c>
      <c r="M1100" t="s">
        <v>1261</v>
      </c>
      <c r="N1100" t="s">
        <v>71</v>
      </c>
      <c r="O1100">
        <v>50</v>
      </c>
      <c r="P1100" t="s">
        <v>89</v>
      </c>
      <c r="Q1100">
        <v>3207</v>
      </c>
      <c r="R1100">
        <v>2000</v>
      </c>
      <c r="S1100" t="s">
        <v>90</v>
      </c>
      <c r="T1100" t="s">
        <v>136</v>
      </c>
      <c r="U1100" t="s">
        <v>39</v>
      </c>
      <c r="V1100" t="s">
        <v>52</v>
      </c>
      <c r="W1100" t="s">
        <v>52</v>
      </c>
      <c r="X1100">
        <v>2024</v>
      </c>
      <c r="Y1100" t="s">
        <v>91</v>
      </c>
      <c r="Z1100" t="s">
        <v>64</v>
      </c>
    </row>
    <row r="1101" spans="1:26">
      <c r="A1101" t="s">
        <v>2140</v>
      </c>
      <c r="B1101" t="s">
        <v>116</v>
      </c>
      <c r="C1101" t="s">
        <v>67</v>
      </c>
      <c r="D1101" t="s">
        <v>77</v>
      </c>
      <c r="E1101" t="s">
        <v>78</v>
      </c>
      <c r="F1101" t="s">
        <v>68</v>
      </c>
      <c r="G1101" t="s">
        <v>32</v>
      </c>
      <c r="H1101">
        <v>10.9</v>
      </c>
      <c r="I1101">
        <v>22.8</v>
      </c>
      <c r="J1101" t="s">
        <v>20</v>
      </c>
      <c r="K1101" t="s">
        <v>103</v>
      </c>
      <c r="L1101" t="s">
        <v>35</v>
      </c>
      <c r="M1101" t="s">
        <v>1489</v>
      </c>
      <c r="N1101" t="s">
        <v>61</v>
      </c>
      <c r="O1101">
        <v>29</v>
      </c>
      <c r="Q1101">
        <v>0</v>
      </c>
      <c r="R1101">
        <v>0</v>
      </c>
      <c r="T1101" t="s">
        <v>38</v>
      </c>
      <c r="U1101" t="s">
        <v>39</v>
      </c>
      <c r="V1101" t="s">
        <v>52</v>
      </c>
      <c r="W1101" t="s">
        <v>39</v>
      </c>
      <c r="X1101">
        <v>2022</v>
      </c>
      <c r="Y1101" t="s">
        <v>106</v>
      </c>
      <c r="Z1101" t="s">
        <v>83</v>
      </c>
    </row>
    <row r="1102" spans="1:26">
      <c r="A1102" t="s">
        <v>2141</v>
      </c>
      <c r="B1102" t="s">
        <v>66</v>
      </c>
      <c r="C1102" t="s">
        <v>102</v>
      </c>
      <c r="D1102" t="s">
        <v>77</v>
      </c>
      <c r="E1102" t="s">
        <v>220</v>
      </c>
      <c r="F1102" t="s">
        <v>95</v>
      </c>
      <c r="G1102" t="s">
        <v>32</v>
      </c>
      <c r="H1102">
        <v>3.8</v>
      </c>
      <c r="I1102">
        <v>11.5</v>
      </c>
      <c r="J1102" t="s">
        <v>33</v>
      </c>
      <c r="K1102" t="s">
        <v>1364</v>
      </c>
      <c r="L1102" t="s">
        <v>140</v>
      </c>
      <c r="M1102" t="s">
        <v>1515</v>
      </c>
      <c r="N1102" t="s">
        <v>71</v>
      </c>
      <c r="O1102">
        <v>124</v>
      </c>
      <c r="P1102" t="s">
        <v>72</v>
      </c>
      <c r="Q1102">
        <v>4048</v>
      </c>
      <c r="R1102">
        <v>0</v>
      </c>
      <c r="S1102" t="s">
        <v>113</v>
      </c>
      <c r="T1102" t="s">
        <v>62</v>
      </c>
      <c r="U1102" t="s">
        <v>39</v>
      </c>
      <c r="V1102" t="s">
        <v>39</v>
      </c>
      <c r="W1102" t="s">
        <v>52</v>
      </c>
      <c r="X1102">
        <v>2022</v>
      </c>
      <c r="Y1102" t="s">
        <v>128</v>
      </c>
      <c r="Z1102" t="s">
        <v>64</v>
      </c>
    </row>
    <row r="1103" spans="1:26">
      <c r="A1103" t="s">
        <v>2142</v>
      </c>
      <c r="B1103" t="s">
        <v>93</v>
      </c>
      <c r="C1103" t="s">
        <v>67</v>
      </c>
      <c r="D1103" t="s">
        <v>29</v>
      </c>
      <c r="E1103" t="s">
        <v>195</v>
      </c>
      <c r="F1103" t="s">
        <v>68</v>
      </c>
      <c r="G1103" t="s">
        <v>32</v>
      </c>
      <c r="H1103">
        <v>1.5</v>
      </c>
      <c r="I1103">
        <v>13.5</v>
      </c>
      <c r="J1103" t="s">
        <v>33</v>
      </c>
      <c r="K1103" t="s">
        <v>398</v>
      </c>
      <c r="L1103" t="s">
        <v>98</v>
      </c>
      <c r="M1103" t="s">
        <v>499</v>
      </c>
      <c r="N1103" t="s">
        <v>71</v>
      </c>
      <c r="O1103">
        <v>127</v>
      </c>
      <c r="P1103" t="s">
        <v>230</v>
      </c>
      <c r="Q1103">
        <v>1643</v>
      </c>
      <c r="R1103">
        <v>0</v>
      </c>
      <c r="S1103" t="s">
        <v>113</v>
      </c>
      <c r="T1103" t="s">
        <v>62</v>
      </c>
      <c r="U1103" t="s">
        <v>52</v>
      </c>
      <c r="V1103" t="s">
        <v>39</v>
      </c>
      <c r="W1103" t="s">
        <v>52</v>
      </c>
      <c r="X1103">
        <v>2022</v>
      </c>
      <c r="Y1103" t="s">
        <v>153</v>
      </c>
      <c r="Z1103" t="s">
        <v>54</v>
      </c>
    </row>
    <row r="1104" spans="1:26">
      <c r="A1104" t="s">
        <v>2143</v>
      </c>
      <c r="B1104" t="s">
        <v>66</v>
      </c>
      <c r="C1104" t="s">
        <v>121</v>
      </c>
      <c r="D1104" t="s">
        <v>77</v>
      </c>
      <c r="E1104" t="s">
        <v>260</v>
      </c>
      <c r="F1104" t="s">
        <v>124</v>
      </c>
      <c r="G1104" t="s">
        <v>58</v>
      </c>
      <c r="H1104">
        <v>1.9</v>
      </c>
      <c r="I1104">
        <v>5.7</v>
      </c>
      <c r="J1104" t="s">
        <v>20</v>
      </c>
      <c r="K1104" t="s">
        <v>1439</v>
      </c>
      <c r="L1104" t="s">
        <v>140</v>
      </c>
      <c r="M1104" t="s">
        <v>1484</v>
      </c>
      <c r="N1104" t="s">
        <v>37</v>
      </c>
      <c r="O1104">
        <v>169</v>
      </c>
      <c r="Q1104">
        <v>0</v>
      </c>
      <c r="R1104">
        <v>0</v>
      </c>
      <c r="T1104" t="s">
        <v>62</v>
      </c>
      <c r="U1104" t="s">
        <v>39</v>
      </c>
      <c r="V1104" t="s">
        <v>39</v>
      </c>
      <c r="W1104" t="s">
        <v>52</v>
      </c>
      <c r="X1104">
        <v>2023</v>
      </c>
      <c r="Y1104" t="s">
        <v>63</v>
      </c>
      <c r="Z1104" t="s">
        <v>64</v>
      </c>
    </row>
    <row r="1105" spans="1:26">
      <c r="A1105" t="s">
        <v>2144</v>
      </c>
      <c r="B1105" t="s">
        <v>27</v>
      </c>
      <c r="C1105" t="s">
        <v>67</v>
      </c>
      <c r="D1105" t="s">
        <v>122</v>
      </c>
      <c r="E1105" t="s">
        <v>130</v>
      </c>
      <c r="F1105" t="s">
        <v>238</v>
      </c>
      <c r="G1105" t="s">
        <v>32</v>
      </c>
      <c r="H1105">
        <v>2.8</v>
      </c>
      <c r="I1105">
        <v>15.2</v>
      </c>
      <c r="J1105" t="s">
        <v>144</v>
      </c>
      <c r="K1105" t="s">
        <v>2145</v>
      </c>
      <c r="L1105" t="s">
        <v>35</v>
      </c>
      <c r="M1105" t="s">
        <v>862</v>
      </c>
      <c r="N1105" t="s">
        <v>37</v>
      </c>
      <c r="O1105">
        <v>91</v>
      </c>
      <c r="Q1105">
        <v>0</v>
      </c>
      <c r="R1105">
        <v>0</v>
      </c>
      <c r="T1105" t="s">
        <v>38</v>
      </c>
      <c r="U1105" t="s">
        <v>52</v>
      </c>
      <c r="V1105" t="s">
        <v>39</v>
      </c>
      <c r="W1105" t="s">
        <v>52</v>
      </c>
      <c r="X1105">
        <v>2023</v>
      </c>
      <c r="Y1105" t="s">
        <v>312</v>
      </c>
      <c r="Z1105" t="s">
        <v>83</v>
      </c>
    </row>
    <row r="1106" spans="1:26">
      <c r="A1106" t="s">
        <v>2146</v>
      </c>
      <c r="B1106" t="s">
        <v>116</v>
      </c>
      <c r="C1106" t="s">
        <v>164</v>
      </c>
      <c r="D1106" t="s">
        <v>85</v>
      </c>
      <c r="E1106" t="s">
        <v>138</v>
      </c>
      <c r="F1106" t="s">
        <v>57</v>
      </c>
      <c r="G1106" t="s">
        <v>58</v>
      </c>
      <c r="H1106">
        <v>0.6</v>
      </c>
      <c r="I1106">
        <v>1</v>
      </c>
      <c r="J1106" t="s">
        <v>33</v>
      </c>
      <c r="K1106" t="s">
        <v>1713</v>
      </c>
      <c r="L1106" t="s">
        <v>98</v>
      </c>
      <c r="M1106" t="s">
        <v>698</v>
      </c>
      <c r="N1106" t="s">
        <v>71</v>
      </c>
      <c r="O1106">
        <v>31</v>
      </c>
      <c r="P1106" t="s">
        <v>105</v>
      </c>
      <c r="Q1106">
        <v>1318</v>
      </c>
      <c r="R1106">
        <v>500</v>
      </c>
      <c r="S1106" t="s">
        <v>113</v>
      </c>
      <c r="T1106" t="s">
        <v>62</v>
      </c>
      <c r="U1106" t="s">
        <v>39</v>
      </c>
      <c r="V1106" t="s">
        <v>52</v>
      </c>
      <c r="W1106" t="s">
        <v>39</v>
      </c>
      <c r="X1106">
        <v>2024</v>
      </c>
      <c r="Y1106" t="s">
        <v>91</v>
      </c>
      <c r="Z1106" t="s">
        <v>64</v>
      </c>
    </row>
    <row r="1107" spans="1:26">
      <c r="A1107" t="s">
        <v>2147</v>
      </c>
      <c r="B1107" t="s">
        <v>93</v>
      </c>
      <c r="C1107" t="s">
        <v>121</v>
      </c>
      <c r="D1107" t="s">
        <v>77</v>
      </c>
      <c r="E1107" t="s">
        <v>94</v>
      </c>
      <c r="F1107" t="s">
        <v>160</v>
      </c>
      <c r="G1107" t="s">
        <v>58</v>
      </c>
      <c r="H1107">
        <v>9.4</v>
      </c>
      <c r="I1107">
        <v>17</v>
      </c>
      <c r="J1107" t="s">
        <v>33</v>
      </c>
      <c r="K1107" t="s">
        <v>165</v>
      </c>
      <c r="L1107" t="s">
        <v>48</v>
      </c>
      <c r="M1107" t="s">
        <v>806</v>
      </c>
      <c r="N1107" t="s">
        <v>61</v>
      </c>
      <c r="O1107">
        <v>137</v>
      </c>
      <c r="Q1107">
        <v>0</v>
      </c>
      <c r="R1107">
        <v>0</v>
      </c>
      <c r="T1107" t="s">
        <v>81</v>
      </c>
      <c r="U1107" t="s">
        <v>39</v>
      </c>
      <c r="V1107" t="s">
        <v>39</v>
      </c>
      <c r="W1107" t="s">
        <v>52</v>
      </c>
      <c r="X1107">
        <v>2023</v>
      </c>
      <c r="Y1107" t="s">
        <v>153</v>
      </c>
      <c r="Z1107" t="s">
        <v>54</v>
      </c>
    </row>
    <row r="1108" spans="1:26">
      <c r="A1108" t="s">
        <v>2148</v>
      </c>
      <c r="B1108" t="s">
        <v>27</v>
      </c>
      <c r="C1108" t="s">
        <v>164</v>
      </c>
      <c r="D1108" t="s">
        <v>29</v>
      </c>
      <c r="E1108" t="s">
        <v>30</v>
      </c>
      <c r="F1108" t="s">
        <v>68</v>
      </c>
      <c r="G1108" t="s">
        <v>58</v>
      </c>
      <c r="H1108">
        <v>3.1</v>
      </c>
      <c r="I1108">
        <v>5.8</v>
      </c>
      <c r="J1108" t="s">
        <v>156</v>
      </c>
      <c r="K1108" t="s">
        <v>1052</v>
      </c>
      <c r="L1108" t="s">
        <v>60</v>
      </c>
      <c r="M1108" t="s">
        <v>1600</v>
      </c>
      <c r="N1108" t="s">
        <v>61</v>
      </c>
      <c r="O1108">
        <v>156</v>
      </c>
      <c r="Q1108">
        <v>0</v>
      </c>
      <c r="R1108">
        <v>0</v>
      </c>
      <c r="T1108" t="s">
        <v>136</v>
      </c>
      <c r="U1108" t="s">
        <v>39</v>
      </c>
      <c r="V1108" t="s">
        <v>52</v>
      </c>
      <c r="W1108" t="s">
        <v>52</v>
      </c>
      <c r="X1108">
        <v>2022</v>
      </c>
      <c r="Y1108" t="s">
        <v>211</v>
      </c>
      <c r="Z1108" t="s">
        <v>41</v>
      </c>
    </row>
    <row r="1109" spans="1:26">
      <c r="A1109" t="s">
        <v>2149</v>
      </c>
      <c r="B1109" t="s">
        <v>66</v>
      </c>
      <c r="C1109" t="s">
        <v>121</v>
      </c>
      <c r="D1109" t="s">
        <v>77</v>
      </c>
      <c r="E1109" t="s">
        <v>260</v>
      </c>
      <c r="F1109" t="s">
        <v>124</v>
      </c>
      <c r="G1109" t="s">
        <v>58</v>
      </c>
      <c r="H1109">
        <v>10</v>
      </c>
      <c r="I1109">
        <v>22.4</v>
      </c>
      <c r="J1109" t="s">
        <v>96</v>
      </c>
      <c r="K1109" t="s">
        <v>2150</v>
      </c>
      <c r="L1109" t="s">
        <v>98</v>
      </c>
      <c r="M1109" t="s">
        <v>1613</v>
      </c>
      <c r="N1109" t="s">
        <v>71</v>
      </c>
      <c r="O1109">
        <v>96</v>
      </c>
      <c r="P1109" t="s">
        <v>230</v>
      </c>
      <c r="Q1109">
        <v>6191</v>
      </c>
      <c r="R1109">
        <v>0</v>
      </c>
      <c r="S1109" t="s">
        <v>73</v>
      </c>
      <c r="T1109" t="s">
        <v>51</v>
      </c>
      <c r="U1109" t="s">
        <v>52</v>
      </c>
      <c r="V1109" t="s">
        <v>52</v>
      </c>
      <c r="W1109" t="s">
        <v>52</v>
      </c>
      <c r="X1109">
        <v>2023</v>
      </c>
      <c r="Y1109" t="s">
        <v>312</v>
      </c>
      <c r="Z1109" t="s">
        <v>83</v>
      </c>
    </row>
    <row r="1110" spans="1:26">
      <c r="A1110" t="s">
        <v>2151</v>
      </c>
      <c r="B1110" t="s">
        <v>93</v>
      </c>
      <c r="C1110" t="s">
        <v>28</v>
      </c>
      <c r="D1110" t="s">
        <v>29</v>
      </c>
      <c r="E1110" t="s">
        <v>30</v>
      </c>
      <c r="F1110" t="s">
        <v>109</v>
      </c>
      <c r="G1110" t="s">
        <v>32</v>
      </c>
      <c r="H1110">
        <v>2.8</v>
      </c>
      <c r="I1110">
        <v>19.8</v>
      </c>
      <c r="J1110" t="s">
        <v>33</v>
      </c>
      <c r="K1110" t="s">
        <v>1620</v>
      </c>
      <c r="L1110" t="s">
        <v>35</v>
      </c>
      <c r="M1110" t="s">
        <v>662</v>
      </c>
      <c r="N1110" t="s">
        <v>50</v>
      </c>
      <c r="O1110">
        <v>2</v>
      </c>
      <c r="Q1110">
        <v>0</v>
      </c>
      <c r="R1110">
        <v>500</v>
      </c>
      <c r="T1110" t="s">
        <v>38</v>
      </c>
      <c r="U1110" t="s">
        <v>39</v>
      </c>
      <c r="V1110" t="s">
        <v>52</v>
      </c>
      <c r="W1110" t="s">
        <v>52</v>
      </c>
      <c r="X1110">
        <v>2023</v>
      </c>
      <c r="Y1110" t="s">
        <v>74</v>
      </c>
      <c r="Z1110" t="s">
        <v>54</v>
      </c>
    </row>
    <row r="1111" spans="1:26">
      <c r="A1111" t="s">
        <v>2152</v>
      </c>
      <c r="B1111" t="s">
        <v>108</v>
      </c>
      <c r="C1111" t="s">
        <v>67</v>
      </c>
      <c r="D1111" t="s">
        <v>85</v>
      </c>
      <c r="E1111" t="s">
        <v>174</v>
      </c>
      <c r="F1111" t="s">
        <v>57</v>
      </c>
      <c r="G1111" t="s">
        <v>58</v>
      </c>
      <c r="H1111">
        <v>2.8</v>
      </c>
      <c r="I1111">
        <v>29.1</v>
      </c>
      <c r="J1111" t="s">
        <v>33</v>
      </c>
      <c r="K1111" t="s">
        <v>780</v>
      </c>
      <c r="L1111" t="s">
        <v>98</v>
      </c>
      <c r="M1111" t="s">
        <v>127</v>
      </c>
      <c r="N1111" t="s">
        <v>100</v>
      </c>
      <c r="O1111">
        <v>74</v>
      </c>
      <c r="Q1111">
        <v>0</v>
      </c>
      <c r="R1111">
        <v>0</v>
      </c>
      <c r="T1111" t="s">
        <v>51</v>
      </c>
      <c r="U1111" t="s">
        <v>52</v>
      </c>
      <c r="V1111" t="s">
        <v>39</v>
      </c>
      <c r="W1111" t="s">
        <v>52</v>
      </c>
      <c r="X1111">
        <v>2024</v>
      </c>
      <c r="Y1111" t="s">
        <v>128</v>
      </c>
      <c r="Z1111" t="s">
        <v>64</v>
      </c>
    </row>
    <row r="1112" spans="1:26">
      <c r="A1112" t="s">
        <v>2153</v>
      </c>
      <c r="B1112" t="s">
        <v>116</v>
      </c>
      <c r="C1112" t="s">
        <v>28</v>
      </c>
      <c r="D1112" t="s">
        <v>122</v>
      </c>
      <c r="E1112" t="s">
        <v>155</v>
      </c>
      <c r="F1112" t="s">
        <v>31</v>
      </c>
      <c r="G1112" t="s">
        <v>32</v>
      </c>
      <c r="H1112">
        <v>5.2</v>
      </c>
      <c r="I1112">
        <v>25.4</v>
      </c>
      <c r="J1112" t="s">
        <v>33</v>
      </c>
      <c r="K1112" t="s">
        <v>898</v>
      </c>
      <c r="L1112" t="s">
        <v>126</v>
      </c>
      <c r="M1112" t="s">
        <v>1532</v>
      </c>
      <c r="N1112" t="s">
        <v>71</v>
      </c>
      <c r="O1112">
        <v>45</v>
      </c>
      <c r="P1112" t="s">
        <v>72</v>
      </c>
      <c r="Q1112">
        <v>2008</v>
      </c>
      <c r="R1112">
        <v>0</v>
      </c>
      <c r="S1112" t="s">
        <v>73</v>
      </c>
      <c r="T1112" t="s">
        <v>62</v>
      </c>
      <c r="U1112" t="s">
        <v>39</v>
      </c>
      <c r="V1112" t="s">
        <v>52</v>
      </c>
      <c r="W1112" t="s">
        <v>52</v>
      </c>
      <c r="X1112">
        <v>2022</v>
      </c>
      <c r="Y1112" t="s">
        <v>53</v>
      </c>
      <c r="Z1112" t="s">
        <v>54</v>
      </c>
    </row>
    <row r="1113" spans="1:26">
      <c r="A1113" t="s">
        <v>2154</v>
      </c>
      <c r="B1113" t="s">
        <v>116</v>
      </c>
      <c r="C1113" t="s">
        <v>164</v>
      </c>
      <c r="D1113" t="s">
        <v>77</v>
      </c>
      <c r="E1113" t="s">
        <v>363</v>
      </c>
      <c r="F1113" t="s">
        <v>238</v>
      </c>
      <c r="G1113" t="s">
        <v>32</v>
      </c>
      <c r="H1113">
        <v>9.6999999999999993</v>
      </c>
      <c r="I1113">
        <v>2.6</v>
      </c>
      <c r="J1113" t="s">
        <v>33</v>
      </c>
      <c r="K1113" t="s">
        <v>1808</v>
      </c>
      <c r="L1113" t="s">
        <v>126</v>
      </c>
      <c r="M1113" t="s">
        <v>299</v>
      </c>
      <c r="N1113" t="s">
        <v>50</v>
      </c>
      <c r="O1113">
        <v>116</v>
      </c>
      <c r="Q1113">
        <v>0</v>
      </c>
      <c r="R1113">
        <v>500</v>
      </c>
      <c r="T1113" t="s">
        <v>81</v>
      </c>
      <c r="U1113" t="s">
        <v>39</v>
      </c>
      <c r="V1113" t="s">
        <v>39</v>
      </c>
      <c r="W1113" t="s">
        <v>52</v>
      </c>
      <c r="X1113">
        <v>2023</v>
      </c>
      <c r="Y1113" t="s">
        <v>91</v>
      </c>
      <c r="Z1113" t="s">
        <v>64</v>
      </c>
    </row>
    <row r="1114" spans="1:26">
      <c r="A1114" t="s">
        <v>2155</v>
      </c>
      <c r="B1114" t="s">
        <v>43</v>
      </c>
      <c r="C1114" t="s">
        <v>44</v>
      </c>
      <c r="D1114" t="s">
        <v>29</v>
      </c>
      <c r="E1114" t="s">
        <v>45</v>
      </c>
      <c r="F1114" t="s">
        <v>31</v>
      </c>
      <c r="G1114" t="s">
        <v>32</v>
      </c>
      <c r="H1114">
        <v>1</v>
      </c>
      <c r="I1114">
        <v>7.5</v>
      </c>
      <c r="J1114" t="s">
        <v>144</v>
      </c>
      <c r="K1114" t="s">
        <v>2156</v>
      </c>
      <c r="L1114" t="s">
        <v>140</v>
      </c>
      <c r="M1114" t="s">
        <v>2157</v>
      </c>
      <c r="N1114" t="s">
        <v>61</v>
      </c>
      <c r="O1114">
        <v>39</v>
      </c>
      <c r="Q1114">
        <v>0</v>
      </c>
      <c r="R1114">
        <v>0</v>
      </c>
      <c r="T1114" t="s">
        <v>62</v>
      </c>
      <c r="U1114" t="s">
        <v>52</v>
      </c>
      <c r="V1114" t="s">
        <v>52</v>
      </c>
      <c r="W1114" t="s">
        <v>39</v>
      </c>
      <c r="X1114">
        <v>2022</v>
      </c>
      <c r="Y1114" t="s">
        <v>40</v>
      </c>
      <c r="Z1114" t="s">
        <v>41</v>
      </c>
    </row>
    <row r="1115" spans="1:26">
      <c r="A1115" t="s">
        <v>2158</v>
      </c>
      <c r="B1115" t="s">
        <v>27</v>
      </c>
      <c r="C1115" t="s">
        <v>164</v>
      </c>
      <c r="D1115" t="s">
        <v>77</v>
      </c>
      <c r="E1115" t="s">
        <v>78</v>
      </c>
      <c r="F1115" t="s">
        <v>68</v>
      </c>
      <c r="G1115" t="s">
        <v>32</v>
      </c>
      <c r="H1115">
        <v>10.7</v>
      </c>
      <c r="I1115">
        <v>8.5</v>
      </c>
      <c r="J1115" t="s">
        <v>156</v>
      </c>
      <c r="K1115" t="s">
        <v>803</v>
      </c>
      <c r="L1115" t="s">
        <v>126</v>
      </c>
      <c r="M1115" t="s">
        <v>1669</v>
      </c>
      <c r="N1115" t="s">
        <v>71</v>
      </c>
      <c r="O1115">
        <v>19</v>
      </c>
      <c r="P1115" t="s">
        <v>230</v>
      </c>
      <c r="Q1115">
        <v>6492</v>
      </c>
      <c r="R1115">
        <v>500</v>
      </c>
      <c r="S1115" t="s">
        <v>90</v>
      </c>
      <c r="T1115" t="s">
        <v>51</v>
      </c>
      <c r="U1115" t="s">
        <v>52</v>
      </c>
      <c r="V1115" t="s">
        <v>52</v>
      </c>
      <c r="W1115" t="s">
        <v>52</v>
      </c>
      <c r="X1115">
        <v>2023</v>
      </c>
      <c r="Y1115" t="s">
        <v>312</v>
      </c>
      <c r="Z1115" t="s">
        <v>83</v>
      </c>
    </row>
    <row r="1116" spans="1:26">
      <c r="A1116" t="s">
        <v>2159</v>
      </c>
      <c r="B1116" t="s">
        <v>66</v>
      </c>
      <c r="C1116" t="s">
        <v>44</v>
      </c>
      <c r="D1116" t="s">
        <v>122</v>
      </c>
      <c r="E1116" t="s">
        <v>148</v>
      </c>
      <c r="F1116" t="s">
        <v>46</v>
      </c>
      <c r="G1116" t="s">
        <v>32</v>
      </c>
      <c r="H1116">
        <v>2.5</v>
      </c>
      <c r="I1116">
        <v>21.3</v>
      </c>
      <c r="J1116" t="s">
        <v>33</v>
      </c>
      <c r="K1116" t="s">
        <v>1909</v>
      </c>
      <c r="L1116" t="s">
        <v>35</v>
      </c>
      <c r="M1116" t="s">
        <v>541</v>
      </c>
      <c r="N1116" t="s">
        <v>61</v>
      </c>
      <c r="O1116">
        <v>162</v>
      </c>
      <c r="Q1116">
        <v>0</v>
      </c>
      <c r="R1116">
        <v>0</v>
      </c>
      <c r="T1116" t="s">
        <v>62</v>
      </c>
      <c r="U1116" t="s">
        <v>39</v>
      </c>
      <c r="V1116" t="s">
        <v>39</v>
      </c>
      <c r="W1116" t="s">
        <v>52</v>
      </c>
      <c r="X1116">
        <v>2023</v>
      </c>
      <c r="Y1116" t="s">
        <v>312</v>
      </c>
      <c r="Z1116" t="s">
        <v>83</v>
      </c>
    </row>
    <row r="1117" spans="1:26">
      <c r="A1117" t="s">
        <v>2160</v>
      </c>
      <c r="B1117" t="s">
        <v>93</v>
      </c>
      <c r="C1117" t="s">
        <v>121</v>
      </c>
      <c r="D1117" t="s">
        <v>29</v>
      </c>
      <c r="E1117" t="s">
        <v>45</v>
      </c>
      <c r="F1117" t="s">
        <v>57</v>
      </c>
      <c r="G1117" t="s">
        <v>32</v>
      </c>
      <c r="H1117">
        <v>4.3</v>
      </c>
      <c r="I1117">
        <v>1.3</v>
      </c>
      <c r="J1117" t="s">
        <v>33</v>
      </c>
      <c r="K1117" t="s">
        <v>2161</v>
      </c>
      <c r="L1117" t="s">
        <v>140</v>
      </c>
      <c r="M1117" t="s">
        <v>868</v>
      </c>
      <c r="N1117" t="s">
        <v>71</v>
      </c>
      <c r="O1117">
        <v>41</v>
      </c>
      <c r="P1117" t="s">
        <v>112</v>
      </c>
      <c r="Q1117">
        <v>3900</v>
      </c>
      <c r="R1117">
        <v>0</v>
      </c>
      <c r="S1117" t="s">
        <v>152</v>
      </c>
      <c r="T1117" t="s">
        <v>136</v>
      </c>
      <c r="U1117" t="s">
        <v>39</v>
      </c>
      <c r="V1117" t="s">
        <v>52</v>
      </c>
      <c r="W1117" t="s">
        <v>39</v>
      </c>
      <c r="X1117">
        <v>2022</v>
      </c>
      <c r="Y1117" t="s">
        <v>74</v>
      </c>
      <c r="Z1117" t="s">
        <v>54</v>
      </c>
    </row>
    <row r="1118" spans="1:26">
      <c r="A1118" t="s">
        <v>2162</v>
      </c>
      <c r="B1118" t="s">
        <v>108</v>
      </c>
      <c r="C1118" t="s">
        <v>121</v>
      </c>
      <c r="D1118" t="s">
        <v>77</v>
      </c>
      <c r="E1118" t="s">
        <v>216</v>
      </c>
      <c r="F1118" t="s">
        <v>57</v>
      </c>
      <c r="G1118" t="s">
        <v>32</v>
      </c>
      <c r="H1118">
        <v>3.7</v>
      </c>
      <c r="I1118">
        <v>19.3</v>
      </c>
      <c r="J1118" t="s">
        <v>20</v>
      </c>
      <c r="K1118" t="s">
        <v>2092</v>
      </c>
      <c r="L1118" t="s">
        <v>126</v>
      </c>
      <c r="M1118" t="s">
        <v>1104</v>
      </c>
      <c r="N1118" t="s">
        <v>50</v>
      </c>
      <c r="O1118">
        <v>144</v>
      </c>
      <c r="Q1118">
        <v>0</v>
      </c>
      <c r="R1118">
        <v>1000</v>
      </c>
      <c r="T1118" t="s">
        <v>62</v>
      </c>
      <c r="U1118" t="s">
        <v>52</v>
      </c>
      <c r="V1118" t="s">
        <v>52</v>
      </c>
      <c r="W1118" t="s">
        <v>39</v>
      </c>
      <c r="X1118">
        <v>2024</v>
      </c>
      <c r="Y1118" t="s">
        <v>53</v>
      </c>
      <c r="Z1118" t="s">
        <v>54</v>
      </c>
    </row>
    <row r="1119" spans="1:26">
      <c r="A1119" t="s">
        <v>2163</v>
      </c>
      <c r="B1119" t="s">
        <v>93</v>
      </c>
      <c r="C1119" t="s">
        <v>76</v>
      </c>
      <c r="D1119" t="s">
        <v>85</v>
      </c>
      <c r="E1119" t="s">
        <v>208</v>
      </c>
      <c r="F1119" t="s">
        <v>238</v>
      </c>
      <c r="G1119" t="s">
        <v>32</v>
      </c>
      <c r="H1119">
        <v>8.3000000000000007</v>
      </c>
      <c r="I1119">
        <v>1.7</v>
      </c>
      <c r="J1119" t="s">
        <v>33</v>
      </c>
      <c r="K1119" t="s">
        <v>702</v>
      </c>
      <c r="L1119" t="s">
        <v>60</v>
      </c>
      <c r="M1119" t="s">
        <v>846</v>
      </c>
      <c r="N1119" t="s">
        <v>100</v>
      </c>
      <c r="O1119">
        <v>89</v>
      </c>
      <c r="Q1119">
        <v>0</v>
      </c>
      <c r="R1119">
        <v>0</v>
      </c>
      <c r="T1119" t="s">
        <v>51</v>
      </c>
      <c r="U1119" t="s">
        <v>39</v>
      </c>
      <c r="V1119" t="s">
        <v>52</v>
      </c>
      <c r="W1119" t="s">
        <v>52</v>
      </c>
      <c r="X1119">
        <v>2024</v>
      </c>
      <c r="Y1119" t="s">
        <v>82</v>
      </c>
      <c r="Z1119" t="s">
        <v>83</v>
      </c>
    </row>
    <row r="1120" spans="1:26">
      <c r="A1120" t="s">
        <v>2164</v>
      </c>
      <c r="B1120" t="s">
        <v>108</v>
      </c>
      <c r="C1120" t="s">
        <v>28</v>
      </c>
      <c r="D1120" t="s">
        <v>77</v>
      </c>
      <c r="E1120" t="s">
        <v>94</v>
      </c>
      <c r="F1120" t="s">
        <v>95</v>
      </c>
      <c r="G1120" t="s">
        <v>32</v>
      </c>
      <c r="H1120">
        <v>7.4</v>
      </c>
      <c r="I1120">
        <v>33.700000000000003</v>
      </c>
      <c r="J1120" t="s">
        <v>33</v>
      </c>
      <c r="K1120" t="s">
        <v>161</v>
      </c>
      <c r="L1120" t="s">
        <v>140</v>
      </c>
      <c r="M1120" t="s">
        <v>972</v>
      </c>
      <c r="N1120" t="s">
        <v>100</v>
      </c>
      <c r="O1120">
        <v>145</v>
      </c>
      <c r="Q1120">
        <v>0</v>
      </c>
      <c r="R1120">
        <v>0</v>
      </c>
      <c r="T1120" t="s">
        <v>136</v>
      </c>
      <c r="U1120" t="s">
        <v>39</v>
      </c>
      <c r="V1120" t="s">
        <v>52</v>
      </c>
      <c r="W1120" t="s">
        <v>52</v>
      </c>
      <c r="X1120">
        <v>2023</v>
      </c>
      <c r="Y1120" t="s">
        <v>40</v>
      </c>
      <c r="Z1120" t="s">
        <v>41</v>
      </c>
    </row>
    <row r="1121" spans="1:26">
      <c r="A1121" t="s">
        <v>2165</v>
      </c>
      <c r="B1121" t="s">
        <v>108</v>
      </c>
      <c r="C1121" t="s">
        <v>44</v>
      </c>
      <c r="D1121" t="s">
        <v>77</v>
      </c>
      <c r="E1121" t="s">
        <v>260</v>
      </c>
      <c r="F1121" t="s">
        <v>124</v>
      </c>
      <c r="G1121" t="s">
        <v>32</v>
      </c>
      <c r="H1121">
        <v>1.4</v>
      </c>
      <c r="I1121">
        <v>18.8</v>
      </c>
      <c r="J1121" t="s">
        <v>33</v>
      </c>
      <c r="K1121" t="s">
        <v>1276</v>
      </c>
      <c r="L1121" t="s">
        <v>48</v>
      </c>
      <c r="M1121" t="s">
        <v>209</v>
      </c>
      <c r="N1121" t="s">
        <v>71</v>
      </c>
      <c r="O1121">
        <v>3</v>
      </c>
      <c r="P1121" t="s">
        <v>230</v>
      </c>
      <c r="Q1121">
        <v>6014</v>
      </c>
      <c r="R1121">
        <v>0</v>
      </c>
      <c r="S1121" t="s">
        <v>152</v>
      </c>
      <c r="T1121" t="s">
        <v>62</v>
      </c>
      <c r="U1121" t="s">
        <v>39</v>
      </c>
      <c r="V1121" t="s">
        <v>52</v>
      </c>
      <c r="W1121" t="s">
        <v>52</v>
      </c>
      <c r="X1121">
        <v>2024</v>
      </c>
      <c r="Y1121" t="s">
        <v>211</v>
      </c>
      <c r="Z1121" t="s">
        <v>41</v>
      </c>
    </row>
    <row r="1122" spans="1:26">
      <c r="A1122" t="s">
        <v>2166</v>
      </c>
      <c r="B1122" t="s">
        <v>93</v>
      </c>
      <c r="C1122" t="s">
        <v>173</v>
      </c>
      <c r="D1122" t="s">
        <v>77</v>
      </c>
      <c r="E1122" t="s">
        <v>94</v>
      </c>
      <c r="F1122" t="s">
        <v>160</v>
      </c>
      <c r="G1122" t="s">
        <v>58</v>
      </c>
      <c r="H1122">
        <v>7.9</v>
      </c>
      <c r="I1122">
        <v>9.1</v>
      </c>
      <c r="J1122" t="s">
        <v>33</v>
      </c>
      <c r="K1122" t="s">
        <v>1350</v>
      </c>
      <c r="L1122" t="s">
        <v>98</v>
      </c>
      <c r="M1122" t="s">
        <v>1881</v>
      </c>
      <c r="N1122" t="s">
        <v>100</v>
      </c>
      <c r="O1122">
        <v>73</v>
      </c>
      <c r="Q1122">
        <v>0</v>
      </c>
      <c r="R1122">
        <v>0</v>
      </c>
      <c r="T1122" t="s">
        <v>51</v>
      </c>
      <c r="U1122" t="s">
        <v>39</v>
      </c>
      <c r="V1122" t="s">
        <v>52</v>
      </c>
      <c r="W1122" t="s">
        <v>39</v>
      </c>
      <c r="X1122">
        <v>2023</v>
      </c>
      <c r="Y1122" t="s">
        <v>63</v>
      </c>
      <c r="Z1122" t="s">
        <v>64</v>
      </c>
    </row>
    <row r="1123" spans="1:26">
      <c r="A1123" t="s">
        <v>2167</v>
      </c>
      <c r="B1123" t="s">
        <v>43</v>
      </c>
      <c r="C1123" t="s">
        <v>173</v>
      </c>
      <c r="D1123" t="s">
        <v>85</v>
      </c>
      <c r="E1123" t="s">
        <v>138</v>
      </c>
      <c r="F1123" t="s">
        <v>57</v>
      </c>
      <c r="G1123" t="s">
        <v>32</v>
      </c>
      <c r="H1123">
        <v>3.4</v>
      </c>
      <c r="I1123">
        <v>16.100000000000001</v>
      </c>
      <c r="J1123" t="s">
        <v>33</v>
      </c>
      <c r="K1123" t="s">
        <v>187</v>
      </c>
      <c r="L1123" t="s">
        <v>140</v>
      </c>
      <c r="M1123" t="s">
        <v>2168</v>
      </c>
      <c r="N1123" t="s">
        <v>37</v>
      </c>
      <c r="O1123">
        <v>156</v>
      </c>
      <c r="Q1123">
        <v>0</v>
      </c>
      <c r="R1123">
        <v>500</v>
      </c>
      <c r="T1123" t="s">
        <v>62</v>
      </c>
      <c r="U1123" t="s">
        <v>39</v>
      </c>
      <c r="V1123" t="s">
        <v>39</v>
      </c>
      <c r="W1123" t="s">
        <v>52</v>
      </c>
      <c r="X1123">
        <v>2023</v>
      </c>
      <c r="Y1123" t="s">
        <v>53</v>
      </c>
      <c r="Z1123" t="s">
        <v>54</v>
      </c>
    </row>
    <row r="1124" spans="1:26">
      <c r="A1124" t="s">
        <v>2169</v>
      </c>
      <c r="B1124" t="s">
        <v>27</v>
      </c>
      <c r="C1124" t="s">
        <v>173</v>
      </c>
      <c r="D1124" t="s">
        <v>77</v>
      </c>
      <c r="E1124" t="s">
        <v>260</v>
      </c>
      <c r="F1124" t="s">
        <v>95</v>
      </c>
      <c r="G1124" t="s">
        <v>58</v>
      </c>
      <c r="H1124">
        <v>5.8</v>
      </c>
      <c r="I1124">
        <v>32.799999999999997</v>
      </c>
      <c r="J1124" t="s">
        <v>33</v>
      </c>
      <c r="K1124" t="s">
        <v>1916</v>
      </c>
      <c r="L1124" t="s">
        <v>35</v>
      </c>
      <c r="M1124" t="s">
        <v>127</v>
      </c>
      <c r="N1124" t="s">
        <v>71</v>
      </c>
      <c r="O1124">
        <v>108</v>
      </c>
      <c r="P1124" t="s">
        <v>230</v>
      </c>
      <c r="Q1124">
        <v>7959</v>
      </c>
      <c r="R1124">
        <v>2000</v>
      </c>
      <c r="S1124" t="s">
        <v>90</v>
      </c>
      <c r="T1124" t="s">
        <v>81</v>
      </c>
      <c r="U1124" t="s">
        <v>39</v>
      </c>
      <c r="V1124" t="s">
        <v>52</v>
      </c>
      <c r="W1124" t="s">
        <v>52</v>
      </c>
      <c r="X1124">
        <v>2024</v>
      </c>
      <c r="Y1124" t="s">
        <v>91</v>
      </c>
      <c r="Z1124" t="s">
        <v>64</v>
      </c>
    </row>
    <row r="1125" spans="1:26">
      <c r="A1125" t="s">
        <v>2170</v>
      </c>
      <c r="B1125" t="s">
        <v>93</v>
      </c>
      <c r="C1125" t="s">
        <v>102</v>
      </c>
      <c r="D1125" t="s">
        <v>29</v>
      </c>
      <c r="E1125" t="s">
        <v>195</v>
      </c>
      <c r="F1125" t="s">
        <v>160</v>
      </c>
      <c r="G1125" t="s">
        <v>32</v>
      </c>
      <c r="H1125">
        <v>3.7</v>
      </c>
      <c r="I1125">
        <v>29.9</v>
      </c>
      <c r="J1125" t="s">
        <v>33</v>
      </c>
      <c r="K1125" t="s">
        <v>676</v>
      </c>
      <c r="L1125" t="s">
        <v>60</v>
      </c>
      <c r="M1125" t="s">
        <v>657</v>
      </c>
      <c r="N1125" t="s">
        <v>50</v>
      </c>
      <c r="O1125">
        <v>12</v>
      </c>
      <c r="Q1125">
        <v>0</v>
      </c>
      <c r="R1125">
        <v>500</v>
      </c>
      <c r="T1125" t="s">
        <v>136</v>
      </c>
      <c r="U1125" t="s">
        <v>39</v>
      </c>
      <c r="V1125" t="s">
        <v>39</v>
      </c>
      <c r="W1125" t="s">
        <v>39</v>
      </c>
      <c r="X1125">
        <v>2024</v>
      </c>
      <c r="Y1125" t="s">
        <v>114</v>
      </c>
      <c r="Z1125" t="s">
        <v>41</v>
      </c>
    </row>
    <row r="1126" spans="1:26">
      <c r="A1126" t="s">
        <v>2171</v>
      </c>
      <c r="B1126" t="s">
        <v>108</v>
      </c>
      <c r="C1126" t="s">
        <v>28</v>
      </c>
      <c r="D1126" t="s">
        <v>77</v>
      </c>
      <c r="E1126" t="s">
        <v>220</v>
      </c>
      <c r="F1126" t="s">
        <v>68</v>
      </c>
      <c r="G1126" t="s">
        <v>58</v>
      </c>
      <c r="H1126">
        <v>6.8</v>
      </c>
      <c r="I1126">
        <v>29.8</v>
      </c>
      <c r="J1126" t="s">
        <v>20</v>
      </c>
      <c r="K1126" t="s">
        <v>759</v>
      </c>
      <c r="L1126" t="s">
        <v>35</v>
      </c>
      <c r="M1126" t="s">
        <v>203</v>
      </c>
      <c r="N1126" t="s">
        <v>61</v>
      </c>
      <c r="O1126">
        <v>78</v>
      </c>
      <c r="Q1126">
        <v>0</v>
      </c>
      <c r="R1126">
        <v>0</v>
      </c>
      <c r="T1126" t="s">
        <v>38</v>
      </c>
      <c r="U1126" t="s">
        <v>39</v>
      </c>
      <c r="V1126" t="s">
        <v>52</v>
      </c>
      <c r="W1126" t="s">
        <v>52</v>
      </c>
      <c r="X1126">
        <v>2022</v>
      </c>
      <c r="Y1126" t="s">
        <v>312</v>
      </c>
      <c r="Z1126" t="s">
        <v>83</v>
      </c>
    </row>
    <row r="1127" spans="1:26">
      <c r="A1127" t="s">
        <v>2172</v>
      </c>
      <c r="B1127" t="s">
        <v>27</v>
      </c>
      <c r="C1127" t="s">
        <v>44</v>
      </c>
      <c r="D1127" t="s">
        <v>29</v>
      </c>
      <c r="E1127" t="s">
        <v>45</v>
      </c>
      <c r="F1127" t="s">
        <v>124</v>
      </c>
      <c r="G1127" t="s">
        <v>32</v>
      </c>
      <c r="H1127">
        <v>10.3</v>
      </c>
      <c r="I1127">
        <v>30.3</v>
      </c>
      <c r="J1127" t="s">
        <v>20</v>
      </c>
      <c r="K1127" t="s">
        <v>532</v>
      </c>
      <c r="L1127" t="s">
        <v>60</v>
      </c>
      <c r="M1127" t="s">
        <v>423</v>
      </c>
      <c r="N1127" t="s">
        <v>50</v>
      </c>
      <c r="O1127">
        <v>53</v>
      </c>
      <c r="Q1127">
        <v>0</v>
      </c>
      <c r="R1127">
        <v>500</v>
      </c>
      <c r="T1127" t="s">
        <v>136</v>
      </c>
      <c r="U1127" t="s">
        <v>39</v>
      </c>
      <c r="V1127" t="s">
        <v>52</v>
      </c>
      <c r="W1127" t="s">
        <v>52</v>
      </c>
      <c r="X1127">
        <v>2022</v>
      </c>
      <c r="Y1127" t="s">
        <v>211</v>
      </c>
      <c r="Z1127" t="s">
        <v>41</v>
      </c>
    </row>
    <row r="1128" spans="1:26">
      <c r="A1128" t="s">
        <v>2173</v>
      </c>
      <c r="B1128" t="s">
        <v>43</v>
      </c>
      <c r="C1128" t="s">
        <v>173</v>
      </c>
      <c r="D1128" t="s">
        <v>29</v>
      </c>
      <c r="E1128" t="s">
        <v>244</v>
      </c>
      <c r="F1128" t="s">
        <v>46</v>
      </c>
      <c r="G1128" t="s">
        <v>32</v>
      </c>
      <c r="H1128">
        <v>8.5</v>
      </c>
      <c r="I1128">
        <v>19.600000000000001</v>
      </c>
      <c r="J1128" t="s">
        <v>144</v>
      </c>
      <c r="K1128" t="s">
        <v>1872</v>
      </c>
      <c r="L1128" t="s">
        <v>48</v>
      </c>
      <c r="M1128" t="s">
        <v>1225</v>
      </c>
      <c r="N1128" t="s">
        <v>61</v>
      </c>
      <c r="O1128">
        <v>18</v>
      </c>
      <c r="Q1128">
        <v>0</v>
      </c>
      <c r="R1128">
        <v>0</v>
      </c>
      <c r="T1128" t="s">
        <v>38</v>
      </c>
      <c r="U1128" t="s">
        <v>39</v>
      </c>
      <c r="V1128" t="s">
        <v>39</v>
      </c>
      <c r="W1128" t="s">
        <v>52</v>
      </c>
      <c r="X1128">
        <v>2023</v>
      </c>
      <c r="Y1128" t="s">
        <v>312</v>
      </c>
      <c r="Z1128" t="s">
        <v>83</v>
      </c>
    </row>
    <row r="1129" spans="1:26">
      <c r="A1129" t="s">
        <v>2174</v>
      </c>
      <c r="B1129" t="s">
        <v>43</v>
      </c>
      <c r="C1129" t="s">
        <v>76</v>
      </c>
      <c r="D1129" t="s">
        <v>77</v>
      </c>
      <c r="E1129" t="s">
        <v>363</v>
      </c>
      <c r="F1129" t="s">
        <v>124</v>
      </c>
      <c r="G1129" t="s">
        <v>58</v>
      </c>
      <c r="H1129">
        <v>2</v>
      </c>
      <c r="I1129">
        <v>23.6</v>
      </c>
      <c r="J1129" t="s">
        <v>33</v>
      </c>
      <c r="K1129" t="s">
        <v>1241</v>
      </c>
      <c r="L1129" t="s">
        <v>126</v>
      </c>
      <c r="M1129" t="s">
        <v>2175</v>
      </c>
      <c r="N1129" t="s">
        <v>37</v>
      </c>
      <c r="O1129">
        <v>47</v>
      </c>
      <c r="Q1129">
        <v>0</v>
      </c>
      <c r="R1129">
        <v>1000</v>
      </c>
      <c r="T1129" t="s">
        <v>51</v>
      </c>
      <c r="U1129" t="s">
        <v>39</v>
      </c>
      <c r="V1129" t="s">
        <v>52</v>
      </c>
      <c r="W1129" t="s">
        <v>52</v>
      </c>
      <c r="X1129">
        <v>2023</v>
      </c>
      <c r="Y1129" t="s">
        <v>211</v>
      </c>
      <c r="Z1129" t="s">
        <v>41</v>
      </c>
    </row>
    <row r="1130" spans="1:26">
      <c r="A1130" t="s">
        <v>2176</v>
      </c>
      <c r="B1130" t="s">
        <v>66</v>
      </c>
      <c r="C1130" t="s">
        <v>44</v>
      </c>
      <c r="D1130" t="s">
        <v>77</v>
      </c>
      <c r="E1130" t="s">
        <v>143</v>
      </c>
      <c r="F1130" t="s">
        <v>109</v>
      </c>
      <c r="G1130" t="s">
        <v>58</v>
      </c>
      <c r="H1130">
        <v>8.6</v>
      </c>
      <c r="I1130">
        <v>14.8</v>
      </c>
      <c r="J1130" t="s">
        <v>33</v>
      </c>
      <c r="K1130" t="s">
        <v>341</v>
      </c>
      <c r="L1130" t="s">
        <v>140</v>
      </c>
      <c r="M1130" t="s">
        <v>1718</v>
      </c>
      <c r="N1130" t="s">
        <v>37</v>
      </c>
      <c r="O1130">
        <v>78</v>
      </c>
      <c r="Q1130">
        <v>0</v>
      </c>
      <c r="R1130">
        <v>1000</v>
      </c>
      <c r="T1130" t="s">
        <v>51</v>
      </c>
      <c r="U1130" t="s">
        <v>39</v>
      </c>
      <c r="V1130" t="s">
        <v>52</v>
      </c>
      <c r="W1130" t="s">
        <v>52</v>
      </c>
      <c r="X1130">
        <v>2022</v>
      </c>
      <c r="Y1130" t="s">
        <v>82</v>
      </c>
      <c r="Z1130" t="s">
        <v>83</v>
      </c>
    </row>
    <row r="1131" spans="1:26">
      <c r="A1131" t="s">
        <v>2177</v>
      </c>
      <c r="B1131" t="s">
        <v>93</v>
      </c>
      <c r="C1131" t="s">
        <v>102</v>
      </c>
      <c r="D1131" t="s">
        <v>85</v>
      </c>
      <c r="E1131" t="s">
        <v>138</v>
      </c>
      <c r="F1131" t="s">
        <v>238</v>
      </c>
      <c r="G1131" t="s">
        <v>32</v>
      </c>
      <c r="H1131">
        <v>10.7</v>
      </c>
      <c r="I1131">
        <v>2.7</v>
      </c>
      <c r="J1131" t="s">
        <v>33</v>
      </c>
      <c r="K1131" t="s">
        <v>2178</v>
      </c>
      <c r="L1131" t="s">
        <v>60</v>
      </c>
      <c r="M1131" t="s">
        <v>1560</v>
      </c>
      <c r="N1131" t="s">
        <v>71</v>
      </c>
      <c r="O1131">
        <v>40</v>
      </c>
      <c r="P1131" t="s">
        <v>230</v>
      </c>
      <c r="Q1131">
        <v>2495</v>
      </c>
      <c r="R1131">
        <v>500</v>
      </c>
      <c r="S1131" t="s">
        <v>113</v>
      </c>
      <c r="T1131" t="s">
        <v>81</v>
      </c>
      <c r="U1131" t="s">
        <v>39</v>
      </c>
      <c r="V1131" t="s">
        <v>39</v>
      </c>
      <c r="W1131" t="s">
        <v>52</v>
      </c>
      <c r="X1131">
        <v>2022</v>
      </c>
      <c r="Y1131" t="s">
        <v>74</v>
      </c>
      <c r="Z1131" t="s">
        <v>54</v>
      </c>
    </row>
    <row r="1132" spans="1:26">
      <c r="A1132" t="s">
        <v>2179</v>
      </c>
      <c r="B1132" t="s">
        <v>66</v>
      </c>
      <c r="C1132" t="s">
        <v>164</v>
      </c>
      <c r="D1132" t="s">
        <v>77</v>
      </c>
      <c r="E1132" t="s">
        <v>168</v>
      </c>
      <c r="F1132" t="s">
        <v>124</v>
      </c>
      <c r="G1132" t="s">
        <v>58</v>
      </c>
      <c r="H1132">
        <v>2.2999999999999998</v>
      </c>
      <c r="I1132">
        <v>26.4</v>
      </c>
      <c r="J1132" t="s">
        <v>33</v>
      </c>
      <c r="K1132" t="s">
        <v>1597</v>
      </c>
      <c r="L1132" t="s">
        <v>140</v>
      </c>
      <c r="M1132" t="s">
        <v>439</v>
      </c>
      <c r="N1132" t="s">
        <v>171</v>
      </c>
      <c r="O1132">
        <v>101</v>
      </c>
      <c r="Q1132">
        <v>0</v>
      </c>
      <c r="R1132">
        <v>0</v>
      </c>
      <c r="T1132" t="s">
        <v>81</v>
      </c>
      <c r="U1132" t="s">
        <v>39</v>
      </c>
      <c r="V1132" t="s">
        <v>39</v>
      </c>
      <c r="W1132" t="s">
        <v>52</v>
      </c>
      <c r="X1132">
        <v>2024</v>
      </c>
      <c r="Y1132" t="s">
        <v>53</v>
      </c>
      <c r="Z1132" t="s">
        <v>54</v>
      </c>
    </row>
    <row r="1133" spans="1:26">
      <c r="A1133" t="s">
        <v>2180</v>
      </c>
      <c r="B1133" t="s">
        <v>43</v>
      </c>
      <c r="C1133" t="s">
        <v>102</v>
      </c>
      <c r="D1133" t="s">
        <v>77</v>
      </c>
      <c r="E1133" t="s">
        <v>216</v>
      </c>
      <c r="F1133" t="s">
        <v>160</v>
      </c>
      <c r="G1133" t="s">
        <v>32</v>
      </c>
      <c r="H1133">
        <v>10.5</v>
      </c>
      <c r="I1133">
        <v>8.4</v>
      </c>
      <c r="J1133" t="s">
        <v>144</v>
      </c>
      <c r="K1133" t="s">
        <v>510</v>
      </c>
      <c r="L1133" t="s">
        <v>126</v>
      </c>
      <c r="M1133" t="s">
        <v>1231</v>
      </c>
      <c r="N1133" t="s">
        <v>71</v>
      </c>
      <c r="O1133">
        <v>103</v>
      </c>
      <c r="P1133" t="s">
        <v>230</v>
      </c>
      <c r="Q1133">
        <v>4765</v>
      </c>
      <c r="R1133">
        <v>0</v>
      </c>
      <c r="S1133" t="s">
        <v>73</v>
      </c>
      <c r="T1133" t="s">
        <v>136</v>
      </c>
      <c r="U1133" t="s">
        <v>52</v>
      </c>
      <c r="V1133" t="s">
        <v>52</v>
      </c>
      <c r="W1133" t="s">
        <v>39</v>
      </c>
      <c r="X1133">
        <v>2023</v>
      </c>
      <c r="Y1133" t="s">
        <v>128</v>
      </c>
      <c r="Z1133" t="s">
        <v>64</v>
      </c>
    </row>
    <row r="1134" spans="1:26">
      <c r="A1134" t="s">
        <v>2181</v>
      </c>
      <c r="B1134" t="s">
        <v>66</v>
      </c>
      <c r="C1134" t="s">
        <v>76</v>
      </c>
      <c r="D1134" t="s">
        <v>77</v>
      </c>
      <c r="E1134" t="s">
        <v>94</v>
      </c>
      <c r="F1134" t="s">
        <v>68</v>
      </c>
      <c r="G1134" t="s">
        <v>32</v>
      </c>
      <c r="H1134">
        <v>9</v>
      </c>
      <c r="I1134">
        <v>11.4</v>
      </c>
      <c r="J1134" t="s">
        <v>156</v>
      </c>
      <c r="K1134" t="s">
        <v>798</v>
      </c>
      <c r="L1134" t="s">
        <v>60</v>
      </c>
      <c r="M1134" t="s">
        <v>784</v>
      </c>
      <c r="N1134" t="s">
        <v>171</v>
      </c>
      <c r="O1134">
        <v>123</v>
      </c>
      <c r="Q1134">
        <v>0</v>
      </c>
      <c r="R1134">
        <v>0</v>
      </c>
      <c r="T1134" t="s">
        <v>81</v>
      </c>
      <c r="U1134" t="s">
        <v>39</v>
      </c>
      <c r="V1134" t="s">
        <v>39</v>
      </c>
      <c r="W1134" t="s">
        <v>52</v>
      </c>
      <c r="X1134">
        <v>2022</v>
      </c>
      <c r="Y1134" t="s">
        <v>91</v>
      </c>
      <c r="Z1134" t="s">
        <v>64</v>
      </c>
    </row>
    <row r="1135" spans="1:26">
      <c r="A1135" t="s">
        <v>2182</v>
      </c>
      <c r="B1135" t="s">
        <v>43</v>
      </c>
      <c r="C1135" t="s">
        <v>76</v>
      </c>
      <c r="D1135" t="s">
        <v>77</v>
      </c>
      <c r="E1135" t="s">
        <v>168</v>
      </c>
      <c r="F1135" t="s">
        <v>68</v>
      </c>
      <c r="G1135" t="s">
        <v>32</v>
      </c>
      <c r="H1135">
        <v>2.7</v>
      </c>
      <c r="I1135">
        <v>25.2</v>
      </c>
      <c r="J1135" t="s">
        <v>144</v>
      </c>
      <c r="K1135" t="s">
        <v>849</v>
      </c>
      <c r="L1135" t="s">
        <v>35</v>
      </c>
      <c r="M1135" t="s">
        <v>1204</v>
      </c>
      <c r="N1135" t="s">
        <v>37</v>
      </c>
      <c r="O1135">
        <v>44</v>
      </c>
      <c r="Q1135">
        <v>0</v>
      </c>
      <c r="R1135">
        <v>0</v>
      </c>
      <c r="T1135" t="s">
        <v>62</v>
      </c>
      <c r="U1135" t="s">
        <v>39</v>
      </c>
      <c r="V1135" t="s">
        <v>39</v>
      </c>
      <c r="W1135" t="s">
        <v>52</v>
      </c>
      <c r="X1135">
        <v>2024</v>
      </c>
      <c r="Y1135" t="s">
        <v>114</v>
      </c>
      <c r="Z1135" t="s">
        <v>41</v>
      </c>
    </row>
    <row r="1136" spans="1:26">
      <c r="A1136" t="s">
        <v>2183</v>
      </c>
      <c r="B1136" t="s">
        <v>108</v>
      </c>
      <c r="C1136" t="s">
        <v>173</v>
      </c>
      <c r="D1136" t="s">
        <v>77</v>
      </c>
      <c r="E1136" t="s">
        <v>216</v>
      </c>
      <c r="F1136" t="s">
        <v>109</v>
      </c>
      <c r="G1136" t="s">
        <v>32</v>
      </c>
      <c r="H1136">
        <v>5.3</v>
      </c>
      <c r="I1136">
        <v>30.8</v>
      </c>
      <c r="J1136" t="s">
        <v>156</v>
      </c>
      <c r="K1136" t="s">
        <v>2184</v>
      </c>
      <c r="L1136" t="s">
        <v>35</v>
      </c>
      <c r="M1136" t="s">
        <v>2185</v>
      </c>
      <c r="N1136" t="s">
        <v>71</v>
      </c>
      <c r="O1136">
        <v>75</v>
      </c>
      <c r="P1136" t="s">
        <v>112</v>
      </c>
      <c r="Q1136">
        <v>6058</v>
      </c>
      <c r="R1136">
        <v>0</v>
      </c>
      <c r="S1136" t="s">
        <v>90</v>
      </c>
      <c r="T1136" t="s">
        <v>51</v>
      </c>
      <c r="U1136" t="s">
        <v>39</v>
      </c>
      <c r="V1136" t="s">
        <v>52</v>
      </c>
      <c r="W1136" t="s">
        <v>39</v>
      </c>
      <c r="X1136">
        <v>2022</v>
      </c>
      <c r="Y1136" t="s">
        <v>114</v>
      </c>
      <c r="Z1136" t="s">
        <v>41</v>
      </c>
    </row>
    <row r="1137" spans="1:26">
      <c r="A1137" t="s">
        <v>2186</v>
      </c>
      <c r="B1137" t="s">
        <v>27</v>
      </c>
      <c r="C1137" t="s">
        <v>121</v>
      </c>
      <c r="D1137" t="s">
        <v>77</v>
      </c>
      <c r="E1137" t="s">
        <v>216</v>
      </c>
      <c r="F1137" t="s">
        <v>68</v>
      </c>
      <c r="G1137" t="s">
        <v>32</v>
      </c>
      <c r="H1137">
        <v>4.4000000000000004</v>
      </c>
      <c r="I1137">
        <v>19.2</v>
      </c>
      <c r="J1137" t="s">
        <v>156</v>
      </c>
      <c r="K1137" t="s">
        <v>2187</v>
      </c>
      <c r="L1137" t="s">
        <v>48</v>
      </c>
      <c r="M1137" t="s">
        <v>226</v>
      </c>
      <c r="N1137" t="s">
        <v>100</v>
      </c>
      <c r="O1137">
        <v>13</v>
      </c>
      <c r="Q1137">
        <v>0</v>
      </c>
      <c r="R1137">
        <v>0</v>
      </c>
      <c r="T1137" t="s">
        <v>51</v>
      </c>
      <c r="U1137" t="s">
        <v>39</v>
      </c>
      <c r="V1137" t="s">
        <v>39</v>
      </c>
      <c r="W1137" t="s">
        <v>52</v>
      </c>
      <c r="X1137">
        <v>2023</v>
      </c>
      <c r="Y1137" t="s">
        <v>153</v>
      </c>
      <c r="Z1137" t="s">
        <v>54</v>
      </c>
    </row>
    <row r="1138" spans="1:26">
      <c r="A1138" t="s">
        <v>2188</v>
      </c>
      <c r="B1138" t="s">
        <v>93</v>
      </c>
      <c r="C1138" t="s">
        <v>173</v>
      </c>
      <c r="D1138" t="s">
        <v>122</v>
      </c>
      <c r="E1138" t="s">
        <v>202</v>
      </c>
      <c r="F1138" t="s">
        <v>109</v>
      </c>
      <c r="G1138" t="s">
        <v>58</v>
      </c>
      <c r="H1138">
        <v>4.7</v>
      </c>
      <c r="I1138">
        <v>26.7</v>
      </c>
      <c r="J1138" t="s">
        <v>33</v>
      </c>
      <c r="K1138" t="s">
        <v>1735</v>
      </c>
      <c r="L1138" t="s">
        <v>126</v>
      </c>
      <c r="M1138" t="s">
        <v>1859</v>
      </c>
      <c r="N1138" t="s">
        <v>171</v>
      </c>
      <c r="O1138">
        <v>150</v>
      </c>
      <c r="Q1138">
        <v>0</v>
      </c>
      <c r="R1138">
        <v>0</v>
      </c>
      <c r="T1138" t="s">
        <v>81</v>
      </c>
      <c r="U1138" t="s">
        <v>39</v>
      </c>
      <c r="V1138" t="s">
        <v>52</v>
      </c>
      <c r="W1138" t="s">
        <v>39</v>
      </c>
      <c r="X1138">
        <v>2022</v>
      </c>
      <c r="Y1138" t="s">
        <v>312</v>
      </c>
      <c r="Z1138" t="s">
        <v>83</v>
      </c>
    </row>
    <row r="1139" spans="1:26">
      <c r="A1139" t="s">
        <v>2189</v>
      </c>
      <c r="B1139" t="s">
        <v>116</v>
      </c>
      <c r="C1139" t="s">
        <v>102</v>
      </c>
      <c r="D1139" t="s">
        <v>77</v>
      </c>
      <c r="E1139" t="s">
        <v>143</v>
      </c>
      <c r="F1139" t="s">
        <v>46</v>
      </c>
      <c r="G1139" t="s">
        <v>32</v>
      </c>
      <c r="H1139">
        <v>6.4</v>
      </c>
      <c r="I1139">
        <v>33.799999999999997</v>
      </c>
      <c r="J1139" t="s">
        <v>96</v>
      </c>
      <c r="K1139" t="s">
        <v>1421</v>
      </c>
      <c r="L1139" t="s">
        <v>98</v>
      </c>
      <c r="M1139" t="s">
        <v>423</v>
      </c>
      <c r="N1139" t="s">
        <v>71</v>
      </c>
      <c r="O1139">
        <v>22</v>
      </c>
      <c r="P1139" t="s">
        <v>105</v>
      </c>
      <c r="Q1139">
        <v>3386</v>
      </c>
      <c r="R1139">
        <v>0</v>
      </c>
      <c r="S1139" t="s">
        <v>73</v>
      </c>
      <c r="T1139" t="s">
        <v>38</v>
      </c>
      <c r="U1139" t="s">
        <v>52</v>
      </c>
      <c r="V1139" t="s">
        <v>39</v>
      </c>
      <c r="W1139" t="s">
        <v>52</v>
      </c>
      <c r="X1139">
        <v>2022</v>
      </c>
      <c r="Y1139" t="s">
        <v>114</v>
      </c>
      <c r="Z1139" t="s">
        <v>41</v>
      </c>
    </row>
    <row r="1140" spans="1:26">
      <c r="A1140" t="s">
        <v>2190</v>
      </c>
      <c r="B1140" t="s">
        <v>27</v>
      </c>
      <c r="C1140" t="s">
        <v>173</v>
      </c>
      <c r="D1140" t="s">
        <v>29</v>
      </c>
      <c r="E1140" t="s">
        <v>94</v>
      </c>
      <c r="F1140" t="s">
        <v>46</v>
      </c>
      <c r="G1140" t="s">
        <v>58</v>
      </c>
      <c r="H1140">
        <v>4.3</v>
      </c>
      <c r="I1140">
        <v>20.8</v>
      </c>
      <c r="J1140" t="s">
        <v>20</v>
      </c>
      <c r="K1140" t="s">
        <v>900</v>
      </c>
      <c r="L1140" t="s">
        <v>60</v>
      </c>
      <c r="M1140" t="s">
        <v>532</v>
      </c>
      <c r="N1140" t="s">
        <v>37</v>
      </c>
      <c r="O1140">
        <v>162</v>
      </c>
      <c r="Q1140">
        <v>0</v>
      </c>
      <c r="R1140">
        <v>0</v>
      </c>
      <c r="T1140" t="s">
        <v>38</v>
      </c>
      <c r="U1140" t="s">
        <v>52</v>
      </c>
      <c r="V1140" t="s">
        <v>39</v>
      </c>
      <c r="W1140" t="s">
        <v>52</v>
      </c>
      <c r="X1140">
        <v>2022</v>
      </c>
      <c r="Y1140" t="s">
        <v>312</v>
      </c>
      <c r="Z1140" t="s">
        <v>83</v>
      </c>
    </row>
    <row r="1141" spans="1:26">
      <c r="A1141" t="s">
        <v>2191</v>
      </c>
      <c r="B1141" t="s">
        <v>43</v>
      </c>
      <c r="C1141" t="s">
        <v>164</v>
      </c>
      <c r="D1141" t="s">
        <v>77</v>
      </c>
      <c r="E1141" t="s">
        <v>216</v>
      </c>
      <c r="F1141" t="s">
        <v>238</v>
      </c>
      <c r="G1141" t="s">
        <v>32</v>
      </c>
      <c r="H1141">
        <v>3.1</v>
      </c>
      <c r="I1141">
        <v>19.7</v>
      </c>
      <c r="J1141" t="s">
        <v>96</v>
      </c>
      <c r="K1141" t="s">
        <v>246</v>
      </c>
      <c r="L1141" t="s">
        <v>60</v>
      </c>
      <c r="M1141" t="s">
        <v>127</v>
      </c>
      <c r="N1141" t="s">
        <v>61</v>
      </c>
      <c r="O1141">
        <v>100</v>
      </c>
      <c r="Q1141">
        <v>0</v>
      </c>
      <c r="R1141">
        <v>0</v>
      </c>
      <c r="T1141" t="s">
        <v>81</v>
      </c>
      <c r="U1141" t="s">
        <v>39</v>
      </c>
      <c r="V1141" t="s">
        <v>39</v>
      </c>
      <c r="W1141" t="s">
        <v>52</v>
      </c>
      <c r="X1141">
        <v>2024</v>
      </c>
      <c r="Y1141" t="s">
        <v>91</v>
      </c>
      <c r="Z1141" t="s">
        <v>64</v>
      </c>
    </row>
    <row r="1142" spans="1:26">
      <c r="A1142" t="s">
        <v>2192</v>
      </c>
      <c r="B1142" t="s">
        <v>43</v>
      </c>
      <c r="C1142" t="s">
        <v>102</v>
      </c>
      <c r="D1142" t="s">
        <v>77</v>
      </c>
      <c r="E1142" t="s">
        <v>94</v>
      </c>
      <c r="F1142" t="s">
        <v>238</v>
      </c>
      <c r="G1142" t="s">
        <v>58</v>
      </c>
      <c r="H1142">
        <v>7.1</v>
      </c>
      <c r="I1142">
        <v>22.8</v>
      </c>
      <c r="J1142" t="s">
        <v>33</v>
      </c>
      <c r="K1142" t="s">
        <v>2168</v>
      </c>
      <c r="L1142" t="s">
        <v>60</v>
      </c>
      <c r="M1142" t="s">
        <v>1075</v>
      </c>
      <c r="N1142" t="s">
        <v>61</v>
      </c>
      <c r="O1142">
        <v>176</v>
      </c>
      <c r="Q1142">
        <v>0</v>
      </c>
      <c r="R1142">
        <v>0</v>
      </c>
      <c r="T1142" t="s">
        <v>51</v>
      </c>
      <c r="U1142" t="s">
        <v>39</v>
      </c>
      <c r="V1142" t="s">
        <v>52</v>
      </c>
      <c r="W1142" t="s">
        <v>39</v>
      </c>
      <c r="X1142">
        <v>2023</v>
      </c>
      <c r="Y1142" t="s">
        <v>91</v>
      </c>
      <c r="Z1142" t="s">
        <v>64</v>
      </c>
    </row>
    <row r="1143" spans="1:26">
      <c r="A1143" t="s">
        <v>2193</v>
      </c>
      <c r="B1143" t="s">
        <v>43</v>
      </c>
      <c r="C1143" t="s">
        <v>76</v>
      </c>
      <c r="D1143" t="s">
        <v>29</v>
      </c>
      <c r="E1143" t="s">
        <v>244</v>
      </c>
      <c r="F1143" t="s">
        <v>46</v>
      </c>
      <c r="G1143" t="s">
        <v>32</v>
      </c>
      <c r="H1143">
        <v>0.2</v>
      </c>
      <c r="I1143">
        <v>16.5</v>
      </c>
      <c r="J1143" t="s">
        <v>96</v>
      </c>
      <c r="K1143" t="s">
        <v>1551</v>
      </c>
      <c r="L1143" t="s">
        <v>140</v>
      </c>
      <c r="M1143" t="s">
        <v>127</v>
      </c>
      <c r="N1143" t="s">
        <v>171</v>
      </c>
      <c r="O1143">
        <v>128</v>
      </c>
      <c r="Q1143">
        <v>0</v>
      </c>
      <c r="R1143">
        <v>0</v>
      </c>
      <c r="T1143" t="s">
        <v>51</v>
      </c>
      <c r="U1143" t="s">
        <v>39</v>
      </c>
      <c r="V1143" t="s">
        <v>52</v>
      </c>
      <c r="W1143" t="s">
        <v>52</v>
      </c>
      <c r="X1143">
        <v>2024</v>
      </c>
      <c r="Y1143" t="s">
        <v>128</v>
      </c>
      <c r="Z1143" t="s">
        <v>64</v>
      </c>
    </row>
    <row r="1144" spans="1:26">
      <c r="A1144" t="s">
        <v>2194</v>
      </c>
      <c r="B1144" t="s">
        <v>27</v>
      </c>
      <c r="C1144" t="s">
        <v>67</v>
      </c>
      <c r="D1144" t="s">
        <v>77</v>
      </c>
      <c r="E1144" t="s">
        <v>78</v>
      </c>
      <c r="F1144" t="s">
        <v>57</v>
      </c>
      <c r="G1144" t="s">
        <v>58</v>
      </c>
      <c r="H1144">
        <v>7.7</v>
      </c>
      <c r="I1144">
        <v>7.7</v>
      </c>
      <c r="J1144" t="s">
        <v>33</v>
      </c>
      <c r="K1144" t="s">
        <v>293</v>
      </c>
      <c r="L1144" t="s">
        <v>48</v>
      </c>
      <c r="M1144" t="s">
        <v>2195</v>
      </c>
      <c r="N1144" t="s">
        <v>71</v>
      </c>
      <c r="O1144">
        <v>66</v>
      </c>
      <c r="P1144" t="s">
        <v>112</v>
      </c>
      <c r="Q1144">
        <v>6254</v>
      </c>
      <c r="R1144">
        <v>500</v>
      </c>
      <c r="S1144" t="s">
        <v>90</v>
      </c>
      <c r="T1144" t="s">
        <v>136</v>
      </c>
      <c r="U1144" t="s">
        <v>39</v>
      </c>
      <c r="V1144" t="s">
        <v>39</v>
      </c>
      <c r="W1144" t="s">
        <v>52</v>
      </c>
      <c r="X1144">
        <v>2024</v>
      </c>
      <c r="Y1144" t="s">
        <v>91</v>
      </c>
      <c r="Z1144" t="s">
        <v>64</v>
      </c>
    </row>
    <row r="1145" spans="1:26">
      <c r="A1145" t="s">
        <v>2196</v>
      </c>
      <c r="B1145" t="s">
        <v>27</v>
      </c>
      <c r="C1145" t="s">
        <v>28</v>
      </c>
      <c r="D1145" t="s">
        <v>122</v>
      </c>
      <c r="E1145" t="s">
        <v>202</v>
      </c>
      <c r="F1145" t="s">
        <v>68</v>
      </c>
      <c r="G1145" t="s">
        <v>58</v>
      </c>
      <c r="H1145">
        <v>1.1000000000000001</v>
      </c>
      <c r="I1145">
        <v>14.3</v>
      </c>
      <c r="J1145" t="s">
        <v>33</v>
      </c>
      <c r="K1145" t="s">
        <v>184</v>
      </c>
      <c r="L1145" t="s">
        <v>98</v>
      </c>
      <c r="M1145" t="s">
        <v>852</v>
      </c>
      <c r="N1145" t="s">
        <v>100</v>
      </c>
      <c r="O1145">
        <v>5</v>
      </c>
      <c r="Q1145">
        <v>0</v>
      </c>
      <c r="R1145">
        <v>0</v>
      </c>
      <c r="T1145" t="s">
        <v>51</v>
      </c>
      <c r="U1145" t="s">
        <v>39</v>
      </c>
      <c r="V1145" t="s">
        <v>39</v>
      </c>
      <c r="W1145" t="s">
        <v>52</v>
      </c>
      <c r="X1145">
        <v>2022</v>
      </c>
      <c r="Y1145" t="s">
        <v>128</v>
      </c>
      <c r="Z1145" t="s">
        <v>64</v>
      </c>
    </row>
    <row r="1146" spans="1:26">
      <c r="A1146" t="s">
        <v>2197</v>
      </c>
      <c r="B1146" t="s">
        <v>66</v>
      </c>
      <c r="C1146" t="s">
        <v>44</v>
      </c>
      <c r="D1146" t="s">
        <v>29</v>
      </c>
      <c r="E1146" t="s">
        <v>30</v>
      </c>
      <c r="F1146" t="s">
        <v>124</v>
      </c>
      <c r="G1146" t="s">
        <v>32</v>
      </c>
      <c r="H1146">
        <v>1.9</v>
      </c>
      <c r="I1146">
        <v>11.5</v>
      </c>
      <c r="J1146" t="s">
        <v>33</v>
      </c>
      <c r="K1146" t="s">
        <v>1961</v>
      </c>
      <c r="L1146" t="s">
        <v>126</v>
      </c>
      <c r="M1146" t="s">
        <v>453</v>
      </c>
      <c r="N1146" t="s">
        <v>37</v>
      </c>
      <c r="O1146">
        <v>106</v>
      </c>
      <c r="Q1146">
        <v>0</v>
      </c>
      <c r="R1146">
        <v>0</v>
      </c>
      <c r="T1146" t="s">
        <v>81</v>
      </c>
      <c r="U1146" t="s">
        <v>52</v>
      </c>
      <c r="V1146" t="s">
        <v>39</v>
      </c>
      <c r="W1146" t="s">
        <v>52</v>
      </c>
      <c r="X1146">
        <v>2023</v>
      </c>
      <c r="Y1146" t="s">
        <v>91</v>
      </c>
      <c r="Z1146" t="s">
        <v>64</v>
      </c>
    </row>
    <row r="1147" spans="1:26">
      <c r="A1147" t="s">
        <v>2198</v>
      </c>
      <c r="B1147" t="s">
        <v>66</v>
      </c>
      <c r="C1147" t="s">
        <v>67</v>
      </c>
      <c r="D1147" t="s">
        <v>77</v>
      </c>
      <c r="E1147" t="s">
        <v>220</v>
      </c>
      <c r="F1147" t="s">
        <v>95</v>
      </c>
      <c r="G1147" t="s">
        <v>58</v>
      </c>
      <c r="H1147">
        <v>3.2</v>
      </c>
      <c r="I1147">
        <v>18.2</v>
      </c>
      <c r="J1147" t="s">
        <v>33</v>
      </c>
      <c r="K1147" t="s">
        <v>2199</v>
      </c>
      <c r="L1147" t="s">
        <v>98</v>
      </c>
      <c r="M1147" t="s">
        <v>676</v>
      </c>
      <c r="N1147" t="s">
        <v>71</v>
      </c>
      <c r="O1147">
        <v>97</v>
      </c>
      <c r="P1147" t="s">
        <v>230</v>
      </c>
      <c r="Q1147">
        <v>5746</v>
      </c>
      <c r="R1147">
        <v>2000</v>
      </c>
      <c r="S1147" t="s">
        <v>113</v>
      </c>
      <c r="T1147" t="s">
        <v>62</v>
      </c>
      <c r="U1147" t="s">
        <v>39</v>
      </c>
      <c r="V1147" t="s">
        <v>39</v>
      </c>
      <c r="W1147" t="s">
        <v>52</v>
      </c>
      <c r="X1147">
        <v>2024</v>
      </c>
      <c r="Y1147" t="s">
        <v>153</v>
      </c>
      <c r="Z1147" t="s">
        <v>54</v>
      </c>
    </row>
    <row r="1148" spans="1:26">
      <c r="A1148" t="s">
        <v>2200</v>
      </c>
      <c r="B1148" t="s">
        <v>43</v>
      </c>
      <c r="C1148" t="s">
        <v>28</v>
      </c>
      <c r="D1148" t="s">
        <v>77</v>
      </c>
      <c r="E1148" t="s">
        <v>363</v>
      </c>
      <c r="F1148" t="s">
        <v>46</v>
      </c>
      <c r="G1148" t="s">
        <v>32</v>
      </c>
      <c r="H1148">
        <v>1.9</v>
      </c>
      <c r="I1148">
        <v>33.299999999999997</v>
      </c>
      <c r="J1148" t="s">
        <v>20</v>
      </c>
      <c r="K1148" t="s">
        <v>1892</v>
      </c>
      <c r="L1148" t="s">
        <v>98</v>
      </c>
      <c r="M1148" t="s">
        <v>1453</v>
      </c>
      <c r="N1148" t="s">
        <v>71</v>
      </c>
      <c r="O1148">
        <v>17</v>
      </c>
      <c r="P1148" t="s">
        <v>230</v>
      </c>
      <c r="Q1148">
        <v>4448</v>
      </c>
      <c r="R1148">
        <v>5000</v>
      </c>
      <c r="S1148" t="s">
        <v>152</v>
      </c>
      <c r="T1148" t="s">
        <v>62</v>
      </c>
      <c r="U1148" t="s">
        <v>39</v>
      </c>
      <c r="V1148" t="s">
        <v>52</v>
      </c>
      <c r="W1148" t="s">
        <v>52</v>
      </c>
      <c r="X1148">
        <v>2022</v>
      </c>
      <c r="Y1148" t="s">
        <v>128</v>
      </c>
      <c r="Z1148" t="s">
        <v>64</v>
      </c>
    </row>
    <row r="1149" spans="1:26">
      <c r="A1149" t="s">
        <v>2201</v>
      </c>
      <c r="B1149" t="s">
        <v>93</v>
      </c>
      <c r="C1149" t="s">
        <v>76</v>
      </c>
      <c r="D1149" t="s">
        <v>29</v>
      </c>
      <c r="E1149" t="s">
        <v>117</v>
      </c>
      <c r="F1149" t="s">
        <v>57</v>
      </c>
      <c r="G1149" t="s">
        <v>32</v>
      </c>
      <c r="H1149">
        <v>7</v>
      </c>
      <c r="I1149">
        <v>18.8</v>
      </c>
      <c r="J1149" t="s">
        <v>33</v>
      </c>
      <c r="K1149" t="s">
        <v>1695</v>
      </c>
      <c r="L1149" t="s">
        <v>48</v>
      </c>
      <c r="M1149" t="s">
        <v>763</v>
      </c>
      <c r="N1149" t="s">
        <v>71</v>
      </c>
      <c r="O1149">
        <v>77</v>
      </c>
      <c r="P1149" t="s">
        <v>230</v>
      </c>
      <c r="Q1149">
        <v>1925</v>
      </c>
      <c r="R1149">
        <v>5000</v>
      </c>
      <c r="S1149" t="s">
        <v>73</v>
      </c>
      <c r="T1149" t="s">
        <v>136</v>
      </c>
      <c r="U1149" t="s">
        <v>39</v>
      </c>
      <c r="V1149" t="s">
        <v>52</v>
      </c>
      <c r="W1149" t="s">
        <v>52</v>
      </c>
      <c r="X1149">
        <v>2024</v>
      </c>
      <c r="Y1149" t="s">
        <v>74</v>
      </c>
      <c r="Z1149" t="s">
        <v>54</v>
      </c>
    </row>
    <row r="1150" spans="1:26">
      <c r="A1150" t="s">
        <v>2202</v>
      </c>
      <c r="B1150" t="s">
        <v>66</v>
      </c>
      <c r="C1150" t="s">
        <v>44</v>
      </c>
      <c r="D1150" t="s">
        <v>77</v>
      </c>
      <c r="E1150" t="s">
        <v>78</v>
      </c>
      <c r="F1150" t="s">
        <v>160</v>
      </c>
      <c r="G1150" t="s">
        <v>32</v>
      </c>
      <c r="H1150">
        <v>9.3000000000000007</v>
      </c>
      <c r="I1150">
        <v>33.6</v>
      </c>
      <c r="J1150" t="s">
        <v>156</v>
      </c>
      <c r="K1150" t="s">
        <v>187</v>
      </c>
      <c r="L1150" t="s">
        <v>60</v>
      </c>
      <c r="M1150" t="s">
        <v>2119</v>
      </c>
      <c r="N1150" t="s">
        <v>171</v>
      </c>
      <c r="O1150">
        <v>81</v>
      </c>
      <c r="Q1150">
        <v>0</v>
      </c>
      <c r="R1150">
        <v>0</v>
      </c>
      <c r="T1150" t="s">
        <v>38</v>
      </c>
      <c r="U1150" t="s">
        <v>52</v>
      </c>
      <c r="V1150" t="s">
        <v>52</v>
      </c>
      <c r="W1150" t="s">
        <v>52</v>
      </c>
      <c r="X1150">
        <v>2023</v>
      </c>
      <c r="Y1150" t="s">
        <v>53</v>
      </c>
      <c r="Z1150" t="s">
        <v>54</v>
      </c>
    </row>
    <row r="1151" spans="1:26">
      <c r="A1151" t="s">
        <v>2203</v>
      </c>
      <c r="B1151" t="s">
        <v>43</v>
      </c>
      <c r="C1151" t="s">
        <v>76</v>
      </c>
      <c r="D1151" t="s">
        <v>77</v>
      </c>
      <c r="E1151" t="s">
        <v>168</v>
      </c>
      <c r="F1151" t="s">
        <v>160</v>
      </c>
      <c r="G1151" t="s">
        <v>58</v>
      </c>
      <c r="H1151">
        <v>1.8</v>
      </c>
      <c r="I1151">
        <v>3.1</v>
      </c>
      <c r="J1151" t="s">
        <v>33</v>
      </c>
      <c r="K1151" t="s">
        <v>394</v>
      </c>
      <c r="L1151" t="s">
        <v>60</v>
      </c>
      <c r="M1151" t="s">
        <v>373</v>
      </c>
      <c r="N1151" t="s">
        <v>71</v>
      </c>
      <c r="O1151">
        <v>29</v>
      </c>
      <c r="P1151" t="s">
        <v>89</v>
      </c>
      <c r="Q1151">
        <v>6572</v>
      </c>
      <c r="R1151">
        <v>5000</v>
      </c>
      <c r="S1151" t="s">
        <v>152</v>
      </c>
      <c r="T1151" t="s">
        <v>62</v>
      </c>
      <c r="U1151" t="s">
        <v>39</v>
      </c>
      <c r="V1151" t="s">
        <v>39</v>
      </c>
      <c r="W1151" t="s">
        <v>52</v>
      </c>
      <c r="X1151">
        <v>2023</v>
      </c>
      <c r="Y1151" t="s">
        <v>106</v>
      </c>
      <c r="Z1151" t="s">
        <v>83</v>
      </c>
    </row>
    <row r="1152" spans="1:26">
      <c r="A1152" t="s">
        <v>2204</v>
      </c>
      <c r="B1152" t="s">
        <v>27</v>
      </c>
      <c r="C1152" t="s">
        <v>173</v>
      </c>
      <c r="D1152" t="s">
        <v>77</v>
      </c>
      <c r="E1152" t="s">
        <v>143</v>
      </c>
      <c r="F1152" t="s">
        <v>31</v>
      </c>
      <c r="G1152" t="s">
        <v>58</v>
      </c>
      <c r="H1152">
        <v>9.9</v>
      </c>
      <c r="I1152">
        <v>14.5</v>
      </c>
      <c r="J1152" t="s">
        <v>156</v>
      </c>
      <c r="K1152" t="s">
        <v>410</v>
      </c>
      <c r="L1152" t="s">
        <v>48</v>
      </c>
      <c r="M1152" t="s">
        <v>912</v>
      </c>
      <c r="N1152" t="s">
        <v>50</v>
      </c>
      <c r="O1152">
        <v>121</v>
      </c>
      <c r="Q1152">
        <v>0</v>
      </c>
      <c r="R1152">
        <v>0</v>
      </c>
      <c r="T1152" t="s">
        <v>62</v>
      </c>
      <c r="U1152" t="s">
        <v>39</v>
      </c>
      <c r="V1152" t="s">
        <v>39</v>
      </c>
      <c r="W1152" t="s">
        <v>39</v>
      </c>
      <c r="X1152">
        <v>2022</v>
      </c>
      <c r="Y1152" t="s">
        <v>40</v>
      </c>
      <c r="Z1152" t="s">
        <v>41</v>
      </c>
    </row>
    <row r="1153" spans="1:26">
      <c r="A1153" t="s">
        <v>2205</v>
      </c>
      <c r="B1153" t="s">
        <v>43</v>
      </c>
      <c r="C1153" t="s">
        <v>76</v>
      </c>
      <c r="D1153" t="s">
        <v>77</v>
      </c>
      <c r="E1153" t="s">
        <v>363</v>
      </c>
      <c r="F1153" t="s">
        <v>238</v>
      </c>
      <c r="G1153" t="s">
        <v>58</v>
      </c>
      <c r="H1153">
        <v>0.3</v>
      </c>
      <c r="I1153">
        <v>24.2</v>
      </c>
      <c r="J1153" t="s">
        <v>33</v>
      </c>
      <c r="K1153" t="s">
        <v>1691</v>
      </c>
      <c r="L1153" t="s">
        <v>48</v>
      </c>
      <c r="M1153" t="s">
        <v>1118</v>
      </c>
      <c r="N1153" t="s">
        <v>100</v>
      </c>
      <c r="O1153">
        <v>109</v>
      </c>
      <c r="Q1153">
        <v>0</v>
      </c>
      <c r="R1153">
        <v>0</v>
      </c>
      <c r="T1153" t="s">
        <v>81</v>
      </c>
      <c r="U1153" t="s">
        <v>39</v>
      </c>
      <c r="V1153" t="s">
        <v>39</v>
      </c>
      <c r="W1153" t="s">
        <v>52</v>
      </c>
      <c r="X1153">
        <v>2024</v>
      </c>
      <c r="Y1153" t="s">
        <v>153</v>
      </c>
      <c r="Z1153" t="s">
        <v>54</v>
      </c>
    </row>
    <row r="1154" spans="1:26">
      <c r="A1154" t="s">
        <v>2206</v>
      </c>
      <c r="B1154" t="s">
        <v>27</v>
      </c>
      <c r="C1154" t="s">
        <v>102</v>
      </c>
      <c r="D1154" t="s">
        <v>77</v>
      </c>
      <c r="E1154" t="s">
        <v>143</v>
      </c>
      <c r="F1154" t="s">
        <v>109</v>
      </c>
      <c r="G1154" t="s">
        <v>58</v>
      </c>
      <c r="H1154">
        <v>2.2000000000000002</v>
      </c>
      <c r="I1154">
        <v>8.9</v>
      </c>
      <c r="J1154" t="s">
        <v>33</v>
      </c>
      <c r="K1154" t="s">
        <v>1195</v>
      </c>
      <c r="L1154" t="s">
        <v>140</v>
      </c>
      <c r="M1154" t="s">
        <v>531</v>
      </c>
      <c r="N1154" t="s">
        <v>71</v>
      </c>
      <c r="O1154">
        <v>83</v>
      </c>
      <c r="P1154" t="s">
        <v>89</v>
      </c>
      <c r="Q1154">
        <v>5675</v>
      </c>
      <c r="R1154">
        <v>5000</v>
      </c>
      <c r="S1154" t="s">
        <v>90</v>
      </c>
      <c r="T1154" t="s">
        <v>62</v>
      </c>
      <c r="U1154" t="s">
        <v>39</v>
      </c>
      <c r="V1154" t="s">
        <v>52</v>
      </c>
      <c r="W1154" t="s">
        <v>39</v>
      </c>
      <c r="X1154">
        <v>2022</v>
      </c>
      <c r="Y1154" t="s">
        <v>106</v>
      </c>
      <c r="Z1154" t="s">
        <v>83</v>
      </c>
    </row>
    <row r="1155" spans="1:26">
      <c r="A1155" t="s">
        <v>2207</v>
      </c>
      <c r="B1155" t="s">
        <v>108</v>
      </c>
      <c r="C1155" t="s">
        <v>102</v>
      </c>
      <c r="D1155" t="s">
        <v>77</v>
      </c>
      <c r="E1155" t="s">
        <v>78</v>
      </c>
      <c r="F1155" t="s">
        <v>124</v>
      </c>
      <c r="G1155" t="s">
        <v>58</v>
      </c>
      <c r="H1155">
        <v>2.1</v>
      </c>
      <c r="I1155">
        <v>16.3</v>
      </c>
      <c r="J1155" t="s">
        <v>96</v>
      </c>
      <c r="K1155" t="s">
        <v>321</v>
      </c>
      <c r="L1155" t="s">
        <v>140</v>
      </c>
      <c r="M1155" t="s">
        <v>1207</v>
      </c>
      <c r="N1155" t="s">
        <v>100</v>
      </c>
      <c r="O1155">
        <v>137</v>
      </c>
      <c r="Q1155">
        <v>0</v>
      </c>
      <c r="R1155">
        <v>0</v>
      </c>
      <c r="T1155" t="s">
        <v>81</v>
      </c>
      <c r="U1155" t="s">
        <v>52</v>
      </c>
      <c r="V1155" t="s">
        <v>52</v>
      </c>
      <c r="W1155" t="s">
        <v>52</v>
      </c>
      <c r="X1155">
        <v>2024</v>
      </c>
      <c r="Y1155" t="s">
        <v>312</v>
      </c>
      <c r="Z1155" t="s">
        <v>83</v>
      </c>
    </row>
    <row r="1156" spans="1:26">
      <c r="A1156" t="s">
        <v>2208</v>
      </c>
      <c r="B1156" t="s">
        <v>27</v>
      </c>
      <c r="C1156" t="s">
        <v>44</v>
      </c>
      <c r="D1156" t="s">
        <v>77</v>
      </c>
      <c r="E1156" t="s">
        <v>78</v>
      </c>
      <c r="F1156" t="s">
        <v>68</v>
      </c>
      <c r="G1156" t="s">
        <v>32</v>
      </c>
      <c r="H1156">
        <v>7.7</v>
      </c>
      <c r="I1156">
        <v>31</v>
      </c>
      <c r="J1156" t="s">
        <v>144</v>
      </c>
      <c r="K1156" t="s">
        <v>2033</v>
      </c>
      <c r="L1156" t="s">
        <v>35</v>
      </c>
      <c r="M1156" t="s">
        <v>1413</v>
      </c>
      <c r="N1156" t="s">
        <v>171</v>
      </c>
      <c r="O1156">
        <v>22</v>
      </c>
      <c r="Q1156">
        <v>0</v>
      </c>
      <c r="R1156">
        <v>0</v>
      </c>
      <c r="T1156" t="s">
        <v>81</v>
      </c>
      <c r="U1156" t="s">
        <v>52</v>
      </c>
      <c r="V1156" t="s">
        <v>52</v>
      </c>
      <c r="W1156" t="s">
        <v>52</v>
      </c>
      <c r="X1156">
        <v>2024</v>
      </c>
      <c r="Y1156" t="s">
        <v>74</v>
      </c>
      <c r="Z1156" t="s">
        <v>54</v>
      </c>
    </row>
    <row r="1157" spans="1:26">
      <c r="A1157" t="s">
        <v>2209</v>
      </c>
      <c r="B1157" t="s">
        <v>43</v>
      </c>
      <c r="C1157" t="s">
        <v>164</v>
      </c>
      <c r="D1157" t="s">
        <v>29</v>
      </c>
      <c r="E1157" t="s">
        <v>30</v>
      </c>
      <c r="F1157" t="s">
        <v>95</v>
      </c>
      <c r="G1157" t="s">
        <v>58</v>
      </c>
      <c r="H1157">
        <v>9.5</v>
      </c>
      <c r="I1157">
        <v>7.4</v>
      </c>
      <c r="J1157" t="s">
        <v>33</v>
      </c>
      <c r="K1157" t="s">
        <v>602</v>
      </c>
      <c r="L1157" t="s">
        <v>48</v>
      </c>
      <c r="M1157" t="s">
        <v>204</v>
      </c>
      <c r="N1157" t="s">
        <v>71</v>
      </c>
      <c r="O1157">
        <v>49</v>
      </c>
      <c r="P1157" t="s">
        <v>112</v>
      </c>
      <c r="Q1157">
        <v>4219</v>
      </c>
      <c r="R1157">
        <v>1000</v>
      </c>
      <c r="S1157" t="s">
        <v>73</v>
      </c>
      <c r="T1157" t="s">
        <v>62</v>
      </c>
      <c r="U1157" t="s">
        <v>52</v>
      </c>
      <c r="V1157" t="s">
        <v>52</v>
      </c>
      <c r="W1157" t="s">
        <v>39</v>
      </c>
      <c r="X1157">
        <v>2022</v>
      </c>
      <c r="Y1157" t="s">
        <v>153</v>
      </c>
      <c r="Z1157" t="s">
        <v>54</v>
      </c>
    </row>
    <row r="1158" spans="1:26">
      <c r="A1158" t="s">
        <v>2210</v>
      </c>
      <c r="B1158" t="s">
        <v>27</v>
      </c>
      <c r="C1158" t="s">
        <v>164</v>
      </c>
      <c r="D1158" t="s">
        <v>85</v>
      </c>
      <c r="E1158" t="s">
        <v>86</v>
      </c>
      <c r="F1158" t="s">
        <v>238</v>
      </c>
      <c r="G1158" t="s">
        <v>58</v>
      </c>
      <c r="H1158">
        <v>9.1</v>
      </c>
      <c r="I1158">
        <v>25.5</v>
      </c>
      <c r="J1158" t="s">
        <v>96</v>
      </c>
      <c r="K1158" t="s">
        <v>1772</v>
      </c>
      <c r="L1158" t="s">
        <v>98</v>
      </c>
      <c r="M1158" t="s">
        <v>127</v>
      </c>
      <c r="N1158" t="s">
        <v>71</v>
      </c>
      <c r="O1158">
        <v>99</v>
      </c>
      <c r="P1158" t="s">
        <v>72</v>
      </c>
      <c r="Q1158">
        <v>677</v>
      </c>
      <c r="R1158">
        <v>500</v>
      </c>
      <c r="S1158" t="s">
        <v>113</v>
      </c>
      <c r="T1158" t="s">
        <v>38</v>
      </c>
      <c r="U1158" t="s">
        <v>39</v>
      </c>
      <c r="V1158" t="s">
        <v>52</v>
      </c>
      <c r="W1158" t="s">
        <v>52</v>
      </c>
      <c r="X1158">
        <v>2024</v>
      </c>
      <c r="Y1158" t="s">
        <v>91</v>
      </c>
      <c r="Z1158" t="s">
        <v>64</v>
      </c>
    </row>
    <row r="1159" spans="1:26">
      <c r="A1159" t="s">
        <v>2211</v>
      </c>
      <c r="B1159" t="s">
        <v>66</v>
      </c>
      <c r="C1159" t="s">
        <v>102</v>
      </c>
      <c r="D1159" t="s">
        <v>85</v>
      </c>
      <c r="E1159" t="s">
        <v>174</v>
      </c>
      <c r="F1159" t="s">
        <v>109</v>
      </c>
      <c r="G1159" t="s">
        <v>32</v>
      </c>
      <c r="H1159">
        <v>5.0999999999999996</v>
      </c>
      <c r="I1159">
        <v>29.9</v>
      </c>
      <c r="J1159" t="s">
        <v>33</v>
      </c>
      <c r="K1159" t="s">
        <v>474</v>
      </c>
      <c r="L1159" t="s">
        <v>98</v>
      </c>
      <c r="M1159" t="s">
        <v>383</v>
      </c>
      <c r="N1159" t="s">
        <v>71</v>
      </c>
      <c r="O1159">
        <v>129</v>
      </c>
      <c r="P1159" t="s">
        <v>112</v>
      </c>
      <c r="Q1159">
        <v>1943</v>
      </c>
      <c r="R1159">
        <v>1000</v>
      </c>
      <c r="S1159" t="s">
        <v>113</v>
      </c>
      <c r="T1159" t="s">
        <v>38</v>
      </c>
      <c r="U1159" t="s">
        <v>39</v>
      </c>
      <c r="V1159" t="s">
        <v>52</v>
      </c>
      <c r="W1159" t="s">
        <v>52</v>
      </c>
      <c r="X1159">
        <v>2024</v>
      </c>
      <c r="Y1159" t="s">
        <v>211</v>
      </c>
      <c r="Z1159" t="s">
        <v>41</v>
      </c>
    </row>
    <row r="1160" spans="1:26">
      <c r="A1160" t="s">
        <v>2212</v>
      </c>
      <c r="B1160" t="s">
        <v>93</v>
      </c>
      <c r="C1160" t="s">
        <v>28</v>
      </c>
      <c r="D1160" t="s">
        <v>85</v>
      </c>
      <c r="E1160" t="s">
        <v>402</v>
      </c>
      <c r="F1160" t="s">
        <v>68</v>
      </c>
      <c r="G1160" t="s">
        <v>32</v>
      </c>
      <c r="H1160">
        <v>9.1999999999999993</v>
      </c>
      <c r="I1160">
        <v>21.6</v>
      </c>
      <c r="J1160" t="s">
        <v>144</v>
      </c>
      <c r="K1160" t="s">
        <v>2213</v>
      </c>
      <c r="L1160" t="s">
        <v>48</v>
      </c>
      <c r="M1160" t="s">
        <v>1276</v>
      </c>
      <c r="N1160" t="s">
        <v>100</v>
      </c>
      <c r="O1160">
        <v>137</v>
      </c>
      <c r="Q1160">
        <v>0</v>
      </c>
      <c r="R1160">
        <v>0</v>
      </c>
      <c r="T1160" t="s">
        <v>51</v>
      </c>
      <c r="U1160" t="s">
        <v>39</v>
      </c>
      <c r="V1160" t="s">
        <v>52</v>
      </c>
      <c r="W1160" t="s">
        <v>52</v>
      </c>
      <c r="X1160">
        <v>2024</v>
      </c>
      <c r="Y1160" t="s">
        <v>312</v>
      </c>
      <c r="Z1160" t="s">
        <v>83</v>
      </c>
    </row>
    <row r="1161" spans="1:26">
      <c r="A1161" t="s">
        <v>2214</v>
      </c>
      <c r="B1161" t="s">
        <v>27</v>
      </c>
      <c r="C1161" t="s">
        <v>76</v>
      </c>
      <c r="D1161" t="s">
        <v>77</v>
      </c>
      <c r="E1161" t="s">
        <v>168</v>
      </c>
      <c r="F1161" t="s">
        <v>149</v>
      </c>
      <c r="G1161" t="s">
        <v>32</v>
      </c>
      <c r="H1161">
        <v>3.6</v>
      </c>
      <c r="I1161">
        <v>5.2</v>
      </c>
      <c r="J1161" t="s">
        <v>156</v>
      </c>
      <c r="K1161" t="s">
        <v>704</v>
      </c>
      <c r="L1161" t="s">
        <v>126</v>
      </c>
      <c r="M1161" t="s">
        <v>125</v>
      </c>
      <c r="N1161" t="s">
        <v>71</v>
      </c>
      <c r="O1161">
        <v>161</v>
      </c>
      <c r="P1161" t="s">
        <v>89</v>
      </c>
      <c r="Q1161">
        <v>6640</v>
      </c>
      <c r="R1161">
        <v>2000</v>
      </c>
      <c r="S1161" t="s">
        <v>90</v>
      </c>
      <c r="T1161" t="s">
        <v>136</v>
      </c>
      <c r="U1161" t="s">
        <v>39</v>
      </c>
      <c r="V1161" t="s">
        <v>39</v>
      </c>
      <c r="W1161" t="s">
        <v>52</v>
      </c>
      <c r="X1161">
        <v>2024</v>
      </c>
      <c r="Y1161" t="s">
        <v>153</v>
      </c>
      <c r="Z1161" t="s">
        <v>54</v>
      </c>
    </row>
    <row r="1162" spans="1:26">
      <c r="A1162" t="s">
        <v>2215</v>
      </c>
      <c r="B1162" t="s">
        <v>66</v>
      </c>
      <c r="C1162" t="s">
        <v>121</v>
      </c>
      <c r="D1162" t="s">
        <v>77</v>
      </c>
      <c r="E1162" t="s">
        <v>94</v>
      </c>
      <c r="F1162" t="s">
        <v>160</v>
      </c>
      <c r="G1162" t="s">
        <v>32</v>
      </c>
      <c r="H1162">
        <v>7.2</v>
      </c>
      <c r="I1162">
        <v>11.1</v>
      </c>
      <c r="J1162" t="s">
        <v>156</v>
      </c>
      <c r="K1162" t="s">
        <v>657</v>
      </c>
      <c r="L1162" t="s">
        <v>140</v>
      </c>
      <c r="M1162" t="s">
        <v>849</v>
      </c>
      <c r="N1162" t="s">
        <v>71</v>
      </c>
      <c r="O1162">
        <v>6</v>
      </c>
      <c r="P1162" t="s">
        <v>105</v>
      </c>
      <c r="Q1162">
        <v>7532</v>
      </c>
      <c r="R1162">
        <v>5000</v>
      </c>
      <c r="S1162" t="s">
        <v>152</v>
      </c>
      <c r="T1162" t="s">
        <v>136</v>
      </c>
      <c r="U1162" t="s">
        <v>39</v>
      </c>
      <c r="V1162" t="s">
        <v>39</v>
      </c>
      <c r="W1162" t="s">
        <v>52</v>
      </c>
      <c r="X1162">
        <v>2024</v>
      </c>
      <c r="Y1162" t="s">
        <v>114</v>
      </c>
      <c r="Z1162" t="s">
        <v>41</v>
      </c>
    </row>
    <row r="1163" spans="1:26">
      <c r="A1163" t="s">
        <v>2216</v>
      </c>
      <c r="B1163" t="s">
        <v>66</v>
      </c>
      <c r="C1163" t="s">
        <v>67</v>
      </c>
      <c r="D1163" t="s">
        <v>77</v>
      </c>
      <c r="E1163" t="s">
        <v>168</v>
      </c>
      <c r="F1163" t="s">
        <v>124</v>
      </c>
      <c r="G1163" t="s">
        <v>32</v>
      </c>
      <c r="H1163">
        <v>3.5</v>
      </c>
      <c r="I1163">
        <v>16.3</v>
      </c>
      <c r="J1163" t="s">
        <v>156</v>
      </c>
      <c r="K1163" t="s">
        <v>2217</v>
      </c>
      <c r="L1163" t="s">
        <v>140</v>
      </c>
      <c r="M1163" t="s">
        <v>463</v>
      </c>
      <c r="N1163" t="s">
        <v>50</v>
      </c>
      <c r="O1163">
        <v>106</v>
      </c>
      <c r="Q1163">
        <v>0</v>
      </c>
      <c r="R1163">
        <v>0</v>
      </c>
      <c r="T1163" t="s">
        <v>62</v>
      </c>
      <c r="U1163" t="s">
        <v>39</v>
      </c>
      <c r="V1163" t="s">
        <v>52</v>
      </c>
      <c r="W1163" t="s">
        <v>52</v>
      </c>
      <c r="X1163">
        <v>2022</v>
      </c>
      <c r="Y1163" t="s">
        <v>211</v>
      </c>
      <c r="Z1163" t="s">
        <v>41</v>
      </c>
    </row>
    <row r="1164" spans="1:26">
      <c r="A1164" t="s">
        <v>2218</v>
      </c>
      <c r="B1164" t="s">
        <v>66</v>
      </c>
      <c r="C1164" t="s">
        <v>44</v>
      </c>
      <c r="D1164" t="s">
        <v>77</v>
      </c>
      <c r="E1164" t="s">
        <v>220</v>
      </c>
      <c r="F1164" t="s">
        <v>238</v>
      </c>
      <c r="G1164" t="s">
        <v>32</v>
      </c>
      <c r="H1164">
        <v>0.2</v>
      </c>
      <c r="I1164">
        <v>21.4</v>
      </c>
      <c r="J1164" t="s">
        <v>33</v>
      </c>
      <c r="K1164" t="s">
        <v>150</v>
      </c>
      <c r="L1164" t="s">
        <v>35</v>
      </c>
      <c r="M1164" t="s">
        <v>290</v>
      </c>
      <c r="N1164" t="s">
        <v>171</v>
      </c>
      <c r="O1164">
        <v>75</v>
      </c>
      <c r="Q1164">
        <v>0</v>
      </c>
      <c r="R1164">
        <v>0</v>
      </c>
      <c r="T1164" t="s">
        <v>38</v>
      </c>
      <c r="U1164" t="s">
        <v>39</v>
      </c>
      <c r="V1164" t="s">
        <v>52</v>
      </c>
      <c r="W1164" t="s">
        <v>52</v>
      </c>
      <c r="X1164">
        <v>2023</v>
      </c>
      <c r="Y1164" t="s">
        <v>153</v>
      </c>
      <c r="Z1164" t="s">
        <v>54</v>
      </c>
    </row>
    <row r="1165" spans="1:26">
      <c r="A1165" t="s">
        <v>2219</v>
      </c>
      <c r="B1165" t="s">
        <v>116</v>
      </c>
      <c r="C1165" t="s">
        <v>164</v>
      </c>
      <c r="D1165" t="s">
        <v>77</v>
      </c>
      <c r="E1165" t="s">
        <v>220</v>
      </c>
      <c r="F1165" t="s">
        <v>160</v>
      </c>
      <c r="G1165" t="s">
        <v>32</v>
      </c>
      <c r="H1165">
        <v>6.7</v>
      </c>
      <c r="I1165">
        <v>31.6</v>
      </c>
      <c r="J1165" t="s">
        <v>33</v>
      </c>
      <c r="K1165" t="s">
        <v>1192</v>
      </c>
      <c r="L1165" t="s">
        <v>140</v>
      </c>
      <c r="M1165" t="s">
        <v>1753</v>
      </c>
      <c r="N1165" t="s">
        <v>61</v>
      </c>
      <c r="O1165">
        <v>103</v>
      </c>
      <c r="Q1165">
        <v>0</v>
      </c>
      <c r="R1165">
        <v>0</v>
      </c>
      <c r="T1165" t="s">
        <v>38</v>
      </c>
      <c r="U1165" t="s">
        <v>39</v>
      </c>
      <c r="V1165" t="s">
        <v>39</v>
      </c>
      <c r="W1165" t="s">
        <v>52</v>
      </c>
      <c r="X1165">
        <v>2024</v>
      </c>
      <c r="Y1165" t="s">
        <v>312</v>
      </c>
      <c r="Z1165" t="s">
        <v>83</v>
      </c>
    </row>
    <row r="1166" spans="1:26">
      <c r="A1166" t="s">
        <v>2220</v>
      </c>
      <c r="B1166" t="s">
        <v>116</v>
      </c>
      <c r="C1166" t="s">
        <v>67</v>
      </c>
      <c r="D1166" t="s">
        <v>77</v>
      </c>
      <c r="E1166" t="s">
        <v>260</v>
      </c>
      <c r="F1166" t="s">
        <v>57</v>
      </c>
      <c r="G1166" t="s">
        <v>58</v>
      </c>
      <c r="H1166">
        <v>3.2</v>
      </c>
      <c r="I1166">
        <v>30</v>
      </c>
      <c r="J1166" t="s">
        <v>33</v>
      </c>
      <c r="K1166" t="s">
        <v>200</v>
      </c>
      <c r="L1166" t="s">
        <v>48</v>
      </c>
      <c r="M1166" t="s">
        <v>537</v>
      </c>
      <c r="N1166" t="s">
        <v>37</v>
      </c>
      <c r="O1166">
        <v>79</v>
      </c>
      <c r="Q1166">
        <v>0</v>
      </c>
      <c r="R1166">
        <v>1000</v>
      </c>
      <c r="T1166" t="s">
        <v>136</v>
      </c>
      <c r="U1166" t="s">
        <v>39</v>
      </c>
      <c r="V1166" t="s">
        <v>39</v>
      </c>
      <c r="W1166" t="s">
        <v>39</v>
      </c>
      <c r="X1166">
        <v>2024</v>
      </c>
      <c r="Y1166" t="s">
        <v>114</v>
      </c>
      <c r="Z1166" t="s">
        <v>41</v>
      </c>
    </row>
    <row r="1167" spans="1:26">
      <c r="A1167" t="s">
        <v>2221</v>
      </c>
      <c r="B1167" t="s">
        <v>108</v>
      </c>
      <c r="C1167" t="s">
        <v>28</v>
      </c>
      <c r="D1167" t="s">
        <v>77</v>
      </c>
      <c r="E1167" t="s">
        <v>363</v>
      </c>
      <c r="F1167" t="s">
        <v>31</v>
      </c>
      <c r="G1167" t="s">
        <v>32</v>
      </c>
      <c r="H1167">
        <v>8.6999999999999993</v>
      </c>
      <c r="I1167">
        <v>26.7</v>
      </c>
      <c r="J1167" t="s">
        <v>156</v>
      </c>
      <c r="K1167" t="s">
        <v>1294</v>
      </c>
      <c r="L1167" t="s">
        <v>48</v>
      </c>
      <c r="M1167" t="s">
        <v>1032</v>
      </c>
      <c r="N1167" t="s">
        <v>171</v>
      </c>
      <c r="O1167">
        <v>174</v>
      </c>
      <c r="Q1167">
        <v>0</v>
      </c>
      <c r="R1167">
        <v>0</v>
      </c>
      <c r="T1167" t="s">
        <v>38</v>
      </c>
      <c r="U1167" t="s">
        <v>39</v>
      </c>
      <c r="V1167" t="s">
        <v>52</v>
      </c>
      <c r="W1167" t="s">
        <v>52</v>
      </c>
      <c r="X1167">
        <v>2022</v>
      </c>
      <c r="Y1167" t="s">
        <v>74</v>
      </c>
      <c r="Z1167" t="s">
        <v>54</v>
      </c>
    </row>
    <row r="1168" spans="1:26">
      <c r="A1168" t="s">
        <v>2222</v>
      </c>
      <c r="B1168" t="s">
        <v>93</v>
      </c>
      <c r="C1168" t="s">
        <v>44</v>
      </c>
      <c r="D1168" t="s">
        <v>29</v>
      </c>
      <c r="E1168" t="s">
        <v>244</v>
      </c>
      <c r="F1168" t="s">
        <v>149</v>
      </c>
      <c r="G1168" t="s">
        <v>58</v>
      </c>
      <c r="H1168">
        <v>11.7</v>
      </c>
      <c r="I1168">
        <v>23.4</v>
      </c>
      <c r="J1168" t="s">
        <v>20</v>
      </c>
      <c r="K1168" t="s">
        <v>524</v>
      </c>
      <c r="L1168" t="s">
        <v>126</v>
      </c>
      <c r="M1168" t="s">
        <v>1346</v>
      </c>
      <c r="N1168" t="s">
        <v>37</v>
      </c>
      <c r="O1168">
        <v>145</v>
      </c>
      <c r="Q1168">
        <v>0</v>
      </c>
      <c r="R1168">
        <v>1000</v>
      </c>
      <c r="T1168" t="s">
        <v>38</v>
      </c>
      <c r="U1168" t="s">
        <v>39</v>
      </c>
      <c r="V1168" t="s">
        <v>52</v>
      </c>
      <c r="W1168" t="s">
        <v>52</v>
      </c>
      <c r="X1168">
        <v>2023</v>
      </c>
      <c r="Y1168" t="s">
        <v>153</v>
      </c>
      <c r="Z1168" t="s">
        <v>54</v>
      </c>
    </row>
    <row r="1169" spans="1:26">
      <c r="A1169" t="s">
        <v>2223</v>
      </c>
      <c r="B1169" t="s">
        <v>116</v>
      </c>
      <c r="C1169" t="s">
        <v>102</v>
      </c>
      <c r="D1169" t="s">
        <v>77</v>
      </c>
      <c r="E1169" t="s">
        <v>94</v>
      </c>
      <c r="F1169" t="s">
        <v>160</v>
      </c>
      <c r="G1169" t="s">
        <v>32</v>
      </c>
      <c r="H1169">
        <v>4.5</v>
      </c>
      <c r="I1169">
        <v>24.2</v>
      </c>
      <c r="J1169" t="s">
        <v>33</v>
      </c>
      <c r="K1169" t="s">
        <v>1776</v>
      </c>
      <c r="L1169" t="s">
        <v>60</v>
      </c>
      <c r="M1169" t="s">
        <v>1790</v>
      </c>
      <c r="N1169" t="s">
        <v>71</v>
      </c>
      <c r="O1169">
        <v>8</v>
      </c>
      <c r="P1169" t="s">
        <v>89</v>
      </c>
      <c r="Q1169">
        <v>4671</v>
      </c>
      <c r="R1169">
        <v>500</v>
      </c>
      <c r="S1169" t="s">
        <v>73</v>
      </c>
      <c r="T1169" t="s">
        <v>136</v>
      </c>
      <c r="U1169" t="s">
        <v>52</v>
      </c>
      <c r="V1169" t="s">
        <v>52</v>
      </c>
      <c r="W1169" t="s">
        <v>52</v>
      </c>
      <c r="X1169">
        <v>2022</v>
      </c>
      <c r="Y1169" t="s">
        <v>312</v>
      </c>
      <c r="Z1169" t="s">
        <v>83</v>
      </c>
    </row>
    <row r="1170" spans="1:26">
      <c r="A1170" t="s">
        <v>2224</v>
      </c>
      <c r="B1170" t="s">
        <v>43</v>
      </c>
      <c r="C1170" t="s">
        <v>28</v>
      </c>
      <c r="D1170" t="s">
        <v>85</v>
      </c>
      <c r="E1170" t="s">
        <v>138</v>
      </c>
      <c r="F1170" t="s">
        <v>46</v>
      </c>
      <c r="G1170" t="s">
        <v>32</v>
      </c>
      <c r="H1170">
        <v>4.5999999999999996</v>
      </c>
      <c r="I1170">
        <v>27.7</v>
      </c>
      <c r="J1170" t="s">
        <v>20</v>
      </c>
      <c r="K1170" t="s">
        <v>610</v>
      </c>
      <c r="L1170" t="s">
        <v>140</v>
      </c>
      <c r="M1170" t="s">
        <v>49</v>
      </c>
      <c r="N1170" t="s">
        <v>71</v>
      </c>
      <c r="O1170">
        <v>96</v>
      </c>
      <c r="P1170" t="s">
        <v>112</v>
      </c>
      <c r="Q1170">
        <v>1732</v>
      </c>
      <c r="R1170">
        <v>0</v>
      </c>
      <c r="S1170" t="s">
        <v>90</v>
      </c>
      <c r="T1170" t="s">
        <v>81</v>
      </c>
      <c r="U1170" t="s">
        <v>39</v>
      </c>
      <c r="V1170" t="s">
        <v>52</v>
      </c>
      <c r="W1170" t="s">
        <v>52</v>
      </c>
      <c r="X1170">
        <v>2024</v>
      </c>
      <c r="Y1170" t="s">
        <v>312</v>
      </c>
      <c r="Z1170" t="s">
        <v>83</v>
      </c>
    </row>
    <row r="1171" spans="1:26">
      <c r="A1171" t="s">
        <v>2225</v>
      </c>
      <c r="B1171" t="s">
        <v>66</v>
      </c>
      <c r="C1171" t="s">
        <v>173</v>
      </c>
      <c r="D1171" t="s">
        <v>77</v>
      </c>
      <c r="E1171" t="s">
        <v>216</v>
      </c>
      <c r="F1171" t="s">
        <v>149</v>
      </c>
      <c r="G1171" t="s">
        <v>58</v>
      </c>
      <c r="H1171">
        <v>2.7</v>
      </c>
      <c r="I1171">
        <v>22.4</v>
      </c>
      <c r="J1171" t="s">
        <v>33</v>
      </c>
      <c r="K1171" t="s">
        <v>1130</v>
      </c>
      <c r="L1171" t="s">
        <v>126</v>
      </c>
      <c r="M1171" t="s">
        <v>523</v>
      </c>
      <c r="N1171" t="s">
        <v>71</v>
      </c>
      <c r="O1171">
        <v>156</v>
      </c>
      <c r="P1171" t="s">
        <v>72</v>
      </c>
      <c r="Q1171">
        <v>5717</v>
      </c>
      <c r="R1171">
        <v>0</v>
      </c>
      <c r="S1171" t="s">
        <v>90</v>
      </c>
      <c r="T1171" t="s">
        <v>136</v>
      </c>
      <c r="U1171" t="s">
        <v>39</v>
      </c>
      <c r="V1171" t="s">
        <v>52</v>
      </c>
      <c r="W1171" t="s">
        <v>52</v>
      </c>
      <c r="X1171">
        <v>2022</v>
      </c>
      <c r="Y1171" t="s">
        <v>114</v>
      </c>
      <c r="Z1171" t="s">
        <v>41</v>
      </c>
    </row>
    <row r="1172" spans="1:26">
      <c r="A1172" t="s">
        <v>2226</v>
      </c>
      <c r="B1172" t="s">
        <v>43</v>
      </c>
      <c r="C1172" t="s">
        <v>102</v>
      </c>
      <c r="D1172" t="s">
        <v>122</v>
      </c>
      <c r="E1172" t="s">
        <v>155</v>
      </c>
      <c r="F1172" t="s">
        <v>46</v>
      </c>
      <c r="G1172" t="s">
        <v>58</v>
      </c>
      <c r="H1172">
        <v>4</v>
      </c>
      <c r="I1172">
        <v>3.8</v>
      </c>
      <c r="J1172" t="s">
        <v>144</v>
      </c>
      <c r="K1172" t="s">
        <v>2227</v>
      </c>
      <c r="L1172" t="s">
        <v>35</v>
      </c>
      <c r="M1172" t="s">
        <v>754</v>
      </c>
      <c r="N1172" t="s">
        <v>100</v>
      </c>
      <c r="O1172">
        <v>154</v>
      </c>
      <c r="Q1172">
        <v>0</v>
      </c>
      <c r="R1172">
        <v>0</v>
      </c>
      <c r="T1172" t="s">
        <v>81</v>
      </c>
      <c r="U1172" t="s">
        <v>39</v>
      </c>
      <c r="V1172" t="s">
        <v>52</v>
      </c>
      <c r="W1172" t="s">
        <v>52</v>
      </c>
      <c r="X1172">
        <v>2023</v>
      </c>
      <c r="Y1172" t="s">
        <v>74</v>
      </c>
      <c r="Z1172" t="s">
        <v>54</v>
      </c>
    </row>
    <row r="1173" spans="1:26">
      <c r="A1173" t="s">
        <v>2228</v>
      </c>
      <c r="B1173" t="s">
        <v>43</v>
      </c>
      <c r="C1173" t="s">
        <v>28</v>
      </c>
      <c r="D1173" t="s">
        <v>77</v>
      </c>
      <c r="E1173" t="s">
        <v>143</v>
      </c>
      <c r="F1173" t="s">
        <v>95</v>
      </c>
      <c r="G1173" t="s">
        <v>32</v>
      </c>
      <c r="H1173">
        <v>3.1</v>
      </c>
      <c r="I1173">
        <v>4.9000000000000004</v>
      </c>
      <c r="J1173" t="s">
        <v>33</v>
      </c>
      <c r="K1173" t="s">
        <v>1005</v>
      </c>
      <c r="L1173" t="s">
        <v>98</v>
      </c>
      <c r="M1173" t="s">
        <v>288</v>
      </c>
      <c r="N1173" t="s">
        <v>71</v>
      </c>
      <c r="O1173">
        <v>180</v>
      </c>
      <c r="P1173" t="s">
        <v>89</v>
      </c>
      <c r="Q1173">
        <v>3027</v>
      </c>
      <c r="R1173">
        <v>2000</v>
      </c>
      <c r="S1173" t="s">
        <v>90</v>
      </c>
      <c r="T1173" t="s">
        <v>136</v>
      </c>
      <c r="U1173" t="s">
        <v>39</v>
      </c>
      <c r="V1173" t="s">
        <v>52</v>
      </c>
      <c r="W1173" t="s">
        <v>52</v>
      </c>
      <c r="X1173">
        <v>2022</v>
      </c>
      <c r="Y1173" t="s">
        <v>63</v>
      </c>
      <c r="Z1173" t="s">
        <v>64</v>
      </c>
    </row>
    <row r="1174" spans="1:26">
      <c r="A1174" t="s">
        <v>2229</v>
      </c>
      <c r="B1174" t="s">
        <v>93</v>
      </c>
      <c r="C1174" t="s">
        <v>67</v>
      </c>
      <c r="D1174" t="s">
        <v>29</v>
      </c>
      <c r="E1174" t="s">
        <v>94</v>
      </c>
      <c r="F1174" t="s">
        <v>68</v>
      </c>
      <c r="G1174" t="s">
        <v>58</v>
      </c>
      <c r="H1174">
        <v>6.7</v>
      </c>
      <c r="I1174">
        <v>25.1</v>
      </c>
      <c r="J1174" t="s">
        <v>20</v>
      </c>
      <c r="K1174" t="s">
        <v>2230</v>
      </c>
      <c r="L1174" t="s">
        <v>98</v>
      </c>
      <c r="M1174" t="s">
        <v>2231</v>
      </c>
      <c r="N1174" t="s">
        <v>171</v>
      </c>
      <c r="O1174">
        <v>159</v>
      </c>
      <c r="Q1174">
        <v>0</v>
      </c>
      <c r="R1174">
        <v>0</v>
      </c>
      <c r="T1174" t="s">
        <v>51</v>
      </c>
      <c r="U1174" t="s">
        <v>39</v>
      </c>
      <c r="V1174" t="s">
        <v>52</v>
      </c>
      <c r="W1174" t="s">
        <v>52</v>
      </c>
      <c r="X1174">
        <v>2023</v>
      </c>
      <c r="Y1174" t="s">
        <v>53</v>
      </c>
      <c r="Z1174" t="s">
        <v>54</v>
      </c>
    </row>
    <row r="1175" spans="1:26">
      <c r="A1175" t="s">
        <v>2232</v>
      </c>
      <c r="B1175" t="s">
        <v>108</v>
      </c>
      <c r="C1175" t="s">
        <v>28</v>
      </c>
      <c r="D1175" t="s">
        <v>77</v>
      </c>
      <c r="E1175" t="s">
        <v>260</v>
      </c>
      <c r="F1175" t="s">
        <v>238</v>
      </c>
      <c r="G1175" t="s">
        <v>32</v>
      </c>
      <c r="H1175">
        <v>5.9</v>
      </c>
      <c r="I1175">
        <v>21.7</v>
      </c>
      <c r="J1175" t="s">
        <v>33</v>
      </c>
      <c r="K1175" t="s">
        <v>249</v>
      </c>
      <c r="L1175" t="s">
        <v>140</v>
      </c>
      <c r="M1175" t="s">
        <v>1364</v>
      </c>
      <c r="N1175" t="s">
        <v>71</v>
      </c>
      <c r="O1175">
        <v>104</v>
      </c>
      <c r="P1175" t="s">
        <v>230</v>
      </c>
      <c r="Q1175">
        <v>7115</v>
      </c>
      <c r="R1175">
        <v>0</v>
      </c>
      <c r="S1175" t="s">
        <v>152</v>
      </c>
      <c r="T1175" t="s">
        <v>51</v>
      </c>
      <c r="U1175" t="s">
        <v>39</v>
      </c>
      <c r="V1175" t="s">
        <v>52</v>
      </c>
      <c r="W1175" t="s">
        <v>52</v>
      </c>
      <c r="X1175">
        <v>2022</v>
      </c>
      <c r="Y1175" t="s">
        <v>40</v>
      </c>
      <c r="Z1175" t="s">
        <v>41</v>
      </c>
    </row>
    <row r="1176" spans="1:26">
      <c r="A1176" t="s">
        <v>2233</v>
      </c>
      <c r="B1176" t="s">
        <v>43</v>
      </c>
      <c r="C1176" t="s">
        <v>173</v>
      </c>
      <c r="D1176" t="s">
        <v>77</v>
      </c>
      <c r="E1176" t="s">
        <v>168</v>
      </c>
      <c r="F1176" t="s">
        <v>149</v>
      </c>
      <c r="G1176" t="s">
        <v>32</v>
      </c>
      <c r="H1176">
        <v>7.7</v>
      </c>
      <c r="I1176">
        <v>12.8</v>
      </c>
      <c r="J1176" t="s">
        <v>33</v>
      </c>
      <c r="K1176" t="s">
        <v>1325</v>
      </c>
      <c r="L1176" t="s">
        <v>126</v>
      </c>
      <c r="M1176" t="s">
        <v>1856</v>
      </c>
      <c r="N1176" t="s">
        <v>37</v>
      </c>
      <c r="O1176">
        <v>121</v>
      </c>
      <c r="Q1176">
        <v>0</v>
      </c>
      <c r="R1176">
        <v>500</v>
      </c>
      <c r="T1176" t="s">
        <v>38</v>
      </c>
      <c r="U1176" t="s">
        <v>39</v>
      </c>
      <c r="V1176" t="s">
        <v>52</v>
      </c>
      <c r="W1176" t="s">
        <v>52</v>
      </c>
      <c r="X1176">
        <v>2023</v>
      </c>
      <c r="Y1176" t="s">
        <v>40</v>
      </c>
      <c r="Z1176" t="s">
        <v>41</v>
      </c>
    </row>
    <row r="1177" spans="1:26">
      <c r="A1177" t="s">
        <v>2234</v>
      </c>
      <c r="B1177" t="s">
        <v>116</v>
      </c>
      <c r="C1177" t="s">
        <v>67</v>
      </c>
      <c r="D1177" t="s">
        <v>77</v>
      </c>
      <c r="E1177" t="s">
        <v>78</v>
      </c>
      <c r="F1177" t="s">
        <v>124</v>
      </c>
      <c r="G1177" t="s">
        <v>32</v>
      </c>
      <c r="H1177">
        <v>10.199999999999999</v>
      </c>
      <c r="I1177">
        <v>21.3</v>
      </c>
      <c r="J1177" t="s">
        <v>20</v>
      </c>
      <c r="K1177" t="s">
        <v>2235</v>
      </c>
      <c r="L1177" t="s">
        <v>140</v>
      </c>
      <c r="M1177" t="s">
        <v>881</v>
      </c>
      <c r="N1177" t="s">
        <v>61</v>
      </c>
      <c r="O1177">
        <v>67</v>
      </c>
      <c r="Q1177">
        <v>0</v>
      </c>
      <c r="R1177">
        <v>0</v>
      </c>
      <c r="T1177" t="s">
        <v>38</v>
      </c>
      <c r="U1177" t="s">
        <v>39</v>
      </c>
      <c r="V1177" t="s">
        <v>39</v>
      </c>
      <c r="W1177" t="s">
        <v>39</v>
      </c>
      <c r="X1177">
        <v>2023</v>
      </c>
      <c r="Y1177" t="s">
        <v>82</v>
      </c>
      <c r="Z1177" t="s">
        <v>83</v>
      </c>
    </row>
    <row r="1178" spans="1:26">
      <c r="A1178" t="s">
        <v>2236</v>
      </c>
      <c r="B1178" t="s">
        <v>27</v>
      </c>
      <c r="C1178" t="s">
        <v>164</v>
      </c>
      <c r="D1178" t="s">
        <v>29</v>
      </c>
      <c r="E1178" t="s">
        <v>45</v>
      </c>
      <c r="F1178" t="s">
        <v>57</v>
      </c>
      <c r="G1178" t="s">
        <v>58</v>
      </c>
      <c r="H1178">
        <v>3</v>
      </c>
      <c r="I1178">
        <v>22.7</v>
      </c>
      <c r="J1178" t="s">
        <v>20</v>
      </c>
      <c r="K1178" t="s">
        <v>2237</v>
      </c>
      <c r="L1178" t="s">
        <v>126</v>
      </c>
      <c r="M1178" t="s">
        <v>1691</v>
      </c>
      <c r="N1178" t="s">
        <v>71</v>
      </c>
      <c r="O1178">
        <v>22</v>
      </c>
      <c r="P1178" t="s">
        <v>105</v>
      </c>
      <c r="Q1178">
        <v>4319</v>
      </c>
      <c r="R1178">
        <v>0</v>
      </c>
      <c r="S1178" t="s">
        <v>113</v>
      </c>
      <c r="T1178" t="s">
        <v>62</v>
      </c>
      <c r="U1178" t="s">
        <v>39</v>
      </c>
      <c r="V1178" t="s">
        <v>52</v>
      </c>
      <c r="W1178" t="s">
        <v>52</v>
      </c>
      <c r="X1178">
        <v>2024</v>
      </c>
      <c r="Y1178" t="s">
        <v>53</v>
      </c>
      <c r="Z1178" t="s">
        <v>54</v>
      </c>
    </row>
    <row r="1179" spans="1:26">
      <c r="A1179" t="s">
        <v>2238</v>
      </c>
      <c r="B1179" t="s">
        <v>93</v>
      </c>
      <c r="C1179" t="s">
        <v>28</v>
      </c>
      <c r="D1179" t="s">
        <v>77</v>
      </c>
      <c r="E1179" t="s">
        <v>78</v>
      </c>
      <c r="F1179" t="s">
        <v>46</v>
      </c>
      <c r="G1179" t="s">
        <v>58</v>
      </c>
      <c r="H1179">
        <v>9.9</v>
      </c>
      <c r="I1179">
        <v>15.5</v>
      </c>
      <c r="J1179" t="s">
        <v>33</v>
      </c>
      <c r="K1179" t="s">
        <v>1342</v>
      </c>
      <c r="L1179" t="s">
        <v>126</v>
      </c>
      <c r="M1179" t="s">
        <v>1456</v>
      </c>
      <c r="N1179" t="s">
        <v>61</v>
      </c>
      <c r="O1179">
        <v>3</v>
      </c>
      <c r="Q1179">
        <v>0</v>
      </c>
      <c r="R1179">
        <v>0</v>
      </c>
      <c r="T1179" t="s">
        <v>51</v>
      </c>
      <c r="U1179" t="s">
        <v>52</v>
      </c>
      <c r="V1179" t="s">
        <v>52</v>
      </c>
      <c r="W1179" t="s">
        <v>52</v>
      </c>
      <c r="X1179">
        <v>2023</v>
      </c>
      <c r="Y1179" t="s">
        <v>82</v>
      </c>
      <c r="Z1179" t="s">
        <v>83</v>
      </c>
    </row>
    <row r="1180" spans="1:26">
      <c r="A1180" t="s">
        <v>2239</v>
      </c>
      <c r="B1180" t="s">
        <v>108</v>
      </c>
      <c r="C1180" t="s">
        <v>121</v>
      </c>
      <c r="D1180" t="s">
        <v>122</v>
      </c>
      <c r="E1180" t="s">
        <v>148</v>
      </c>
      <c r="F1180" t="s">
        <v>124</v>
      </c>
      <c r="G1180" t="s">
        <v>32</v>
      </c>
      <c r="H1180">
        <v>6.8</v>
      </c>
      <c r="I1180">
        <v>4.2</v>
      </c>
      <c r="J1180" t="s">
        <v>33</v>
      </c>
      <c r="K1180" t="s">
        <v>200</v>
      </c>
      <c r="L1180" t="s">
        <v>126</v>
      </c>
      <c r="M1180" t="s">
        <v>127</v>
      </c>
      <c r="N1180" t="s">
        <v>71</v>
      </c>
      <c r="O1180">
        <v>132</v>
      </c>
      <c r="P1180" t="s">
        <v>112</v>
      </c>
      <c r="Q1180">
        <v>915</v>
      </c>
      <c r="R1180">
        <v>1000</v>
      </c>
      <c r="S1180" t="s">
        <v>73</v>
      </c>
      <c r="T1180" t="s">
        <v>136</v>
      </c>
      <c r="U1180" t="s">
        <v>52</v>
      </c>
      <c r="V1180" t="s">
        <v>52</v>
      </c>
      <c r="W1180" t="s">
        <v>52</v>
      </c>
      <c r="X1180">
        <v>2024</v>
      </c>
      <c r="Y1180" t="s">
        <v>114</v>
      </c>
      <c r="Z1180" t="s">
        <v>41</v>
      </c>
    </row>
    <row r="1181" spans="1:26">
      <c r="A1181" t="s">
        <v>2240</v>
      </c>
      <c r="B1181" t="s">
        <v>27</v>
      </c>
      <c r="C1181" t="s">
        <v>173</v>
      </c>
      <c r="D1181" t="s">
        <v>77</v>
      </c>
      <c r="E1181" t="s">
        <v>94</v>
      </c>
      <c r="F1181" t="s">
        <v>57</v>
      </c>
      <c r="G1181" t="s">
        <v>32</v>
      </c>
      <c r="H1181">
        <v>9.8000000000000007</v>
      </c>
      <c r="I1181">
        <v>5.2</v>
      </c>
      <c r="J1181" t="s">
        <v>33</v>
      </c>
      <c r="K1181" t="s">
        <v>2241</v>
      </c>
      <c r="L1181" t="s">
        <v>60</v>
      </c>
      <c r="M1181" t="s">
        <v>135</v>
      </c>
      <c r="N1181" t="s">
        <v>37</v>
      </c>
      <c r="O1181">
        <v>80</v>
      </c>
      <c r="Q1181">
        <v>0</v>
      </c>
      <c r="R1181">
        <v>0</v>
      </c>
      <c r="T1181" t="s">
        <v>38</v>
      </c>
      <c r="U1181" t="s">
        <v>39</v>
      </c>
      <c r="V1181" t="s">
        <v>52</v>
      </c>
      <c r="W1181" t="s">
        <v>39</v>
      </c>
      <c r="X1181">
        <v>2022</v>
      </c>
      <c r="Y1181" t="s">
        <v>53</v>
      </c>
      <c r="Z1181" t="s">
        <v>54</v>
      </c>
    </row>
    <row r="1182" spans="1:26">
      <c r="A1182" t="s">
        <v>2242</v>
      </c>
      <c r="B1182" t="s">
        <v>27</v>
      </c>
      <c r="C1182" t="s">
        <v>102</v>
      </c>
      <c r="D1182" t="s">
        <v>29</v>
      </c>
      <c r="E1182" t="s">
        <v>30</v>
      </c>
      <c r="F1182" t="s">
        <v>46</v>
      </c>
      <c r="G1182" t="s">
        <v>58</v>
      </c>
      <c r="H1182">
        <v>5.8</v>
      </c>
      <c r="I1182">
        <v>20.399999999999999</v>
      </c>
      <c r="J1182" t="s">
        <v>33</v>
      </c>
      <c r="K1182" t="s">
        <v>1101</v>
      </c>
      <c r="L1182" t="s">
        <v>98</v>
      </c>
      <c r="M1182" t="s">
        <v>127</v>
      </c>
      <c r="N1182" t="s">
        <v>171</v>
      </c>
      <c r="O1182">
        <v>153</v>
      </c>
      <c r="Q1182">
        <v>0</v>
      </c>
      <c r="R1182">
        <v>0</v>
      </c>
      <c r="T1182" t="s">
        <v>38</v>
      </c>
      <c r="U1182" t="s">
        <v>52</v>
      </c>
      <c r="V1182" t="s">
        <v>52</v>
      </c>
      <c r="W1182" t="s">
        <v>52</v>
      </c>
      <c r="X1182">
        <v>2024</v>
      </c>
      <c r="Y1182" t="s">
        <v>63</v>
      </c>
      <c r="Z1182" t="s">
        <v>64</v>
      </c>
    </row>
    <row r="1183" spans="1:26">
      <c r="A1183" t="s">
        <v>2243</v>
      </c>
      <c r="B1183" t="s">
        <v>27</v>
      </c>
      <c r="C1183" t="s">
        <v>173</v>
      </c>
      <c r="D1183" t="s">
        <v>29</v>
      </c>
      <c r="E1183" t="s">
        <v>45</v>
      </c>
      <c r="F1183" t="s">
        <v>31</v>
      </c>
      <c r="G1183" t="s">
        <v>32</v>
      </c>
      <c r="H1183">
        <v>8.9</v>
      </c>
      <c r="I1183">
        <v>18.3</v>
      </c>
      <c r="J1183" t="s">
        <v>20</v>
      </c>
      <c r="K1183" t="s">
        <v>1634</v>
      </c>
      <c r="L1183" t="s">
        <v>60</v>
      </c>
      <c r="M1183" t="s">
        <v>1650</v>
      </c>
      <c r="N1183" t="s">
        <v>61</v>
      </c>
      <c r="O1183">
        <v>100</v>
      </c>
      <c r="Q1183">
        <v>0</v>
      </c>
      <c r="R1183">
        <v>0</v>
      </c>
      <c r="T1183" t="s">
        <v>136</v>
      </c>
      <c r="U1183" t="s">
        <v>39</v>
      </c>
      <c r="V1183" t="s">
        <v>52</v>
      </c>
      <c r="W1183" t="s">
        <v>52</v>
      </c>
      <c r="X1183">
        <v>2023</v>
      </c>
      <c r="Y1183" t="s">
        <v>211</v>
      </c>
      <c r="Z1183" t="s">
        <v>41</v>
      </c>
    </row>
    <row r="1184" spans="1:26">
      <c r="A1184" t="s">
        <v>2244</v>
      </c>
      <c r="B1184" t="s">
        <v>43</v>
      </c>
      <c r="C1184" t="s">
        <v>164</v>
      </c>
      <c r="D1184" t="s">
        <v>77</v>
      </c>
      <c r="E1184" t="s">
        <v>260</v>
      </c>
      <c r="F1184" t="s">
        <v>95</v>
      </c>
      <c r="G1184" t="s">
        <v>32</v>
      </c>
      <c r="H1184">
        <v>1.4</v>
      </c>
      <c r="I1184">
        <v>20.9</v>
      </c>
      <c r="J1184" t="s">
        <v>156</v>
      </c>
      <c r="K1184" t="s">
        <v>1375</v>
      </c>
      <c r="L1184" t="s">
        <v>140</v>
      </c>
      <c r="M1184" t="s">
        <v>80</v>
      </c>
      <c r="N1184" t="s">
        <v>71</v>
      </c>
      <c r="O1184">
        <v>134</v>
      </c>
      <c r="P1184" t="s">
        <v>112</v>
      </c>
      <c r="Q1184">
        <v>7246</v>
      </c>
      <c r="R1184">
        <v>2000</v>
      </c>
      <c r="S1184" t="s">
        <v>73</v>
      </c>
      <c r="T1184" t="s">
        <v>81</v>
      </c>
      <c r="U1184" t="s">
        <v>39</v>
      </c>
      <c r="V1184" t="s">
        <v>52</v>
      </c>
      <c r="W1184" t="s">
        <v>52</v>
      </c>
      <c r="X1184">
        <v>2023</v>
      </c>
      <c r="Y1184" t="s">
        <v>63</v>
      </c>
      <c r="Z1184" t="s">
        <v>64</v>
      </c>
    </row>
    <row r="1185" spans="1:26">
      <c r="A1185" t="s">
        <v>2245</v>
      </c>
      <c r="B1185" t="s">
        <v>93</v>
      </c>
      <c r="C1185" t="s">
        <v>67</v>
      </c>
      <c r="D1185" t="s">
        <v>77</v>
      </c>
      <c r="E1185" t="s">
        <v>78</v>
      </c>
      <c r="F1185" t="s">
        <v>95</v>
      </c>
      <c r="G1185" t="s">
        <v>32</v>
      </c>
      <c r="H1185">
        <v>7</v>
      </c>
      <c r="I1185">
        <v>10.8</v>
      </c>
      <c r="J1185" t="s">
        <v>96</v>
      </c>
      <c r="K1185" t="s">
        <v>378</v>
      </c>
      <c r="L1185" t="s">
        <v>48</v>
      </c>
      <c r="M1185" t="s">
        <v>1317</v>
      </c>
      <c r="N1185" t="s">
        <v>71</v>
      </c>
      <c r="O1185">
        <v>119</v>
      </c>
      <c r="P1185" t="s">
        <v>112</v>
      </c>
      <c r="Q1185">
        <v>5688</v>
      </c>
      <c r="R1185">
        <v>5000</v>
      </c>
      <c r="S1185" t="s">
        <v>90</v>
      </c>
      <c r="T1185" t="s">
        <v>81</v>
      </c>
      <c r="U1185" t="s">
        <v>52</v>
      </c>
      <c r="V1185" t="s">
        <v>52</v>
      </c>
      <c r="W1185" t="s">
        <v>39</v>
      </c>
      <c r="X1185">
        <v>2022</v>
      </c>
      <c r="Y1185" t="s">
        <v>153</v>
      </c>
      <c r="Z1185" t="s">
        <v>54</v>
      </c>
    </row>
    <row r="1186" spans="1:26">
      <c r="A1186" t="s">
        <v>2246</v>
      </c>
      <c r="B1186" t="s">
        <v>27</v>
      </c>
      <c r="C1186" t="s">
        <v>28</v>
      </c>
      <c r="D1186" t="s">
        <v>29</v>
      </c>
      <c r="E1186" t="s">
        <v>45</v>
      </c>
      <c r="F1186" t="s">
        <v>95</v>
      </c>
      <c r="G1186" t="s">
        <v>58</v>
      </c>
      <c r="H1186">
        <v>6.1</v>
      </c>
      <c r="I1186">
        <v>26.4</v>
      </c>
      <c r="J1186" t="s">
        <v>20</v>
      </c>
      <c r="K1186" t="s">
        <v>193</v>
      </c>
      <c r="L1186" t="s">
        <v>126</v>
      </c>
      <c r="M1186" t="s">
        <v>543</v>
      </c>
      <c r="N1186" t="s">
        <v>71</v>
      </c>
      <c r="O1186">
        <v>164</v>
      </c>
      <c r="P1186" t="s">
        <v>105</v>
      </c>
      <c r="Q1186">
        <v>2359</v>
      </c>
      <c r="R1186">
        <v>1000</v>
      </c>
      <c r="S1186" t="s">
        <v>73</v>
      </c>
      <c r="T1186" t="s">
        <v>51</v>
      </c>
      <c r="U1186" t="s">
        <v>39</v>
      </c>
      <c r="V1186" t="s">
        <v>52</v>
      </c>
      <c r="W1186" t="s">
        <v>39</v>
      </c>
      <c r="X1186">
        <v>2023</v>
      </c>
      <c r="Y1186" t="s">
        <v>312</v>
      </c>
      <c r="Z1186" t="s">
        <v>83</v>
      </c>
    </row>
    <row r="1187" spans="1:26">
      <c r="A1187" t="s">
        <v>2247</v>
      </c>
      <c r="B1187" t="s">
        <v>108</v>
      </c>
      <c r="C1187" t="s">
        <v>44</v>
      </c>
      <c r="D1187" t="s">
        <v>77</v>
      </c>
      <c r="E1187" t="s">
        <v>216</v>
      </c>
      <c r="F1187" t="s">
        <v>31</v>
      </c>
      <c r="G1187" t="s">
        <v>58</v>
      </c>
      <c r="H1187">
        <v>4.5</v>
      </c>
      <c r="I1187">
        <v>5.6</v>
      </c>
      <c r="J1187" t="s">
        <v>33</v>
      </c>
      <c r="K1187" t="s">
        <v>583</v>
      </c>
      <c r="L1187" t="s">
        <v>60</v>
      </c>
      <c r="M1187" t="s">
        <v>2248</v>
      </c>
      <c r="N1187" t="s">
        <v>50</v>
      </c>
      <c r="O1187">
        <v>114</v>
      </c>
      <c r="Q1187">
        <v>0</v>
      </c>
      <c r="R1187">
        <v>0</v>
      </c>
      <c r="T1187" t="s">
        <v>38</v>
      </c>
      <c r="U1187" t="s">
        <v>39</v>
      </c>
      <c r="V1187" t="s">
        <v>52</v>
      </c>
      <c r="W1187" t="s">
        <v>39</v>
      </c>
      <c r="X1187">
        <v>2022</v>
      </c>
      <c r="Y1187" t="s">
        <v>211</v>
      </c>
      <c r="Z1187" t="s">
        <v>41</v>
      </c>
    </row>
    <row r="1188" spans="1:26">
      <c r="A1188" t="s">
        <v>2249</v>
      </c>
      <c r="B1188" t="s">
        <v>27</v>
      </c>
      <c r="C1188" t="s">
        <v>102</v>
      </c>
      <c r="D1188" t="s">
        <v>77</v>
      </c>
      <c r="E1188" t="s">
        <v>220</v>
      </c>
      <c r="F1188" t="s">
        <v>31</v>
      </c>
      <c r="G1188" t="s">
        <v>58</v>
      </c>
      <c r="H1188">
        <v>9</v>
      </c>
      <c r="I1188">
        <v>4.7</v>
      </c>
      <c r="J1188" t="s">
        <v>33</v>
      </c>
      <c r="K1188" t="s">
        <v>879</v>
      </c>
      <c r="L1188" t="s">
        <v>48</v>
      </c>
      <c r="M1188" t="s">
        <v>972</v>
      </c>
      <c r="N1188" t="s">
        <v>71</v>
      </c>
      <c r="O1188">
        <v>50</v>
      </c>
      <c r="P1188" t="s">
        <v>105</v>
      </c>
      <c r="Q1188">
        <v>6232</v>
      </c>
      <c r="R1188">
        <v>0</v>
      </c>
      <c r="S1188" t="s">
        <v>113</v>
      </c>
      <c r="T1188" t="s">
        <v>62</v>
      </c>
      <c r="U1188" t="s">
        <v>52</v>
      </c>
      <c r="V1188" t="s">
        <v>52</v>
      </c>
      <c r="W1188" t="s">
        <v>52</v>
      </c>
      <c r="X1188">
        <v>2023</v>
      </c>
      <c r="Y1188" t="s">
        <v>91</v>
      </c>
      <c r="Z1188" t="s">
        <v>64</v>
      </c>
    </row>
    <row r="1189" spans="1:26">
      <c r="A1189" t="s">
        <v>2250</v>
      </c>
      <c r="B1189" t="s">
        <v>27</v>
      </c>
      <c r="C1189" t="s">
        <v>67</v>
      </c>
      <c r="D1189" t="s">
        <v>122</v>
      </c>
      <c r="E1189" t="s">
        <v>155</v>
      </c>
      <c r="F1189" t="s">
        <v>109</v>
      </c>
      <c r="G1189" t="s">
        <v>58</v>
      </c>
      <c r="H1189">
        <v>0.6</v>
      </c>
      <c r="I1189">
        <v>2.5</v>
      </c>
      <c r="J1189" t="s">
        <v>96</v>
      </c>
      <c r="K1189" t="s">
        <v>1540</v>
      </c>
      <c r="L1189" t="s">
        <v>140</v>
      </c>
      <c r="M1189" t="s">
        <v>1364</v>
      </c>
      <c r="N1189" t="s">
        <v>100</v>
      </c>
      <c r="O1189">
        <v>63</v>
      </c>
      <c r="Q1189">
        <v>0</v>
      </c>
      <c r="R1189">
        <v>0</v>
      </c>
      <c r="T1189" t="s">
        <v>38</v>
      </c>
      <c r="U1189" t="s">
        <v>39</v>
      </c>
      <c r="V1189" t="s">
        <v>52</v>
      </c>
      <c r="W1189" t="s">
        <v>52</v>
      </c>
      <c r="X1189">
        <v>2022</v>
      </c>
      <c r="Y1189" t="s">
        <v>114</v>
      </c>
      <c r="Z1189" t="s">
        <v>41</v>
      </c>
    </row>
    <row r="1190" spans="1:26">
      <c r="A1190" t="s">
        <v>2251</v>
      </c>
      <c r="B1190" t="s">
        <v>66</v>
      </c>
      <c r="C1190" t="s">
        <v>121</v>
      </c>
      <c r="D1190" t="s">
        <v>77</v>
      </c>
      <c r="E1190" t="s">
        <v>216</v>
      </c>
      <c r="F1190" t="s">
        <v>124</v>
      </c>
      <c r="G1190" t="s">
        <v>32</v>
      </c>
      <c r="H1190">
        <v>4.9000000000000004</v>
      </c>
      <c r="I1190">
        <v>31.7</v>
      </c>
      <c r="J1190" t="s">
        <v>96</v>
      </c>
      <c r="K1190" t="s">
        <v>2252</v>
      </c>
      <c r="L1190" t="s">
        <v>126</v>
      </c>
      <c r="M1190" t="s">
        <v>509</v>
      </c>
      <c r="N1190" t="s">
        <v>50</v>
      </c>
      <c r="O1190">
        <v>55</v>
      </c>
      <c r="Q1190">
        <v>0</v>
      </c>
      <c r="R1190">
        <v>0</v>
      </c>
      <c r="T1190" t="s">
        <v>81</v>
      </c>
      <c r="U1190" t="s">
        <v>52</v>
      </c>
      <c r="V1190" t="s">
        <v>39</v>
      </c>
      <c r="W1190" t="s">
        <v>52</v>
      </c>
      <c r="X1190">
        <v>2023</v>
      </c>
      <c r="Y1190" t="s">
        <v>114</v>
      </c>
      <c r="Z1190" t="s">
        <v>41</v>
      </c>
    </row>
    <row r="1191" spans="1:26">
      <c r="A1191" t="s">
        <v>2253</v>
      </c>
      <c r="B1191" t="s">
        <v>116</v>
      </c>
      <c r="C1191" t="s">
        <v>76</v>
      </c>
      <c r="D1191" t="s">
        <v>122</v>
      </c>
      <c r="E1191" t="s">
        <v>202</v>
      </c>
      <c r="F1191" t="s">
        <v>46</v>
      </c>
      <c r="G1191" t="s">
        <v>32</v>
      </c>
      <c r="H1191">
        <v>4.3</v>
      </c>
      <c r="I1191">
        <v>28</v>
      </c>
      <c r="J1191" t="s">
        <v>96</v>
      </c>
      <c r="K1191" t="s">
        <v>1755</v>
      </c>
      <c r="L1191" t="s">
        <v>126</v>
      </c>
      <c r="M1191" t="s">
        <v>1542</v>
      </c>
      <c r="N1191" t="s">
        <v>37</v>
      </c>
      <c r="O1191">
        <v>146</v>
      </c>
      <c r="Q1191">
        <v>0</v>
      </c>
      <c r="R1191">
        <v>0</v>
      </c>
      <c r="T1191" t="s">
        <v>38</v>
      </c>
      <c r="U1191" t="s">
        <v>39</v>
      </c>
      <c r="V1191" t="s">
        <v>52</v>
      </c>
      <c r="W1191" t="s">
        <v>52</v>
      </c>
      <c r="X1191">
        <v>2024</v>
      </c>
      <c r="Y1191" t="s">
        <v>74</v>
      </c>
      <c r="Z1191" t="s">
        <v>54</v>
      </c>
    </row>
    <row r="1192" spans="1:26">
      <c r="A1192" t="s">
        <v>2254</v>
      </c>
      <c r="B1192" t="s">
        <v>43</v>
      </c>
      <c r="C1192" t="s">
        <v>121</v>
      </c>
      <c r="D1192" t="s">
        <v>77</v>
      </c>
      <c r="E1192" t="s">
        <v>363</v>
      </c>
      <c r="F1192" t="s">
        <v>31</v>
      </c>
      <c r="G1192" t="s">
        <v>58</v>
      </c>
      <c r="H1192">
        <v>10.3</v>
      </c>
      <c r="I1192">
        <v>28.8</v>
      </c>
      <c r="J1192" t="s">
        <v>33</v>
      </c>
      <c r="K1192" t="s">
        <v>1529</v>
      </c>
      <c r="L1192" t="s">
        <v>60</v>
      </c>
      <c r="M1192" t="s">
        <v>770</v>
      </c>
      <c r="N1192" t="s">
        <v>171</v>
      </c>
      <c r="O1192">
        <v>167</v>
      </c>
      <c r="Q1192">
        <v>0</v>
      </c>
      <c r="R1192">
        <v>0</v>
      </c>
      <c r="T1192" t="s">
        <v>38</v>
      </c>
      <c r="U1192" t="s">
        <v>39</v>
      </c>
      <c r="V1192" t="s">
        <v>52</v>
      </c>
      <c r="W1192" t="s">
        <v>52</v>
      </c>
      <c r="X1192">
        <v>2022</v>
      </c>
      <c r="Y1192" t="s">
        <v>153</v>
      </c>
      <c r="Z1192" t="s">
        <v>54</v>
      </c>
    </row>
    <row r="1193" spans="1:26">
      <c r="A1193" t="s">
        <v>2255</v>
      </c>
      <c r="B1193" t="s">
        <v>116</v>
      </c>
      <c r="C1193" t="s">
        <v>164</v>
      </c>
      <c r="D1193" t="s">
        <v>77</v>
      </c>
      <c r="E1193" t="s">
        <v>94</v>
      </c>
      <c r="F1193" t="s">
        <v>109</v>
      </c>
      <c r="G1193" t="s">
        <v>32</v>
      </c>
      <c r="H1193">
        <v>5.7</v>
      </c>
      <c r="I1193">
        <v>6.8</v>
      </c>
      <c r="J1193" t="s">
        <v>96</v>
      </c>
      <c r="K1193" t="s">
        <v>759</v>
      </c>
      <c r="L1193" t="s">
        <v>98</v>
      </c>
      <c r="M1193" t="s">
        <v>1034</v>
      </c>
      <c r="N1193" t="s">
        <v>71</v>
      </c>
      <c r="O1193">
        <v>169</v>
      </c>
      <c r="P1193" t="s">
        <v>112</v>
      </c>
      <c r="Q1193">
        <v>7162</v>
      </c>
      <c r="R1193">
        <v>0</v>
      </c>
      <c r="S1193" t="s">
        <v>90</v>
      </c>
      <c r="T1193" t="s">
        <v>38</v>
      </c>
      <c r="U1193" t="s">
        <v>39</v>
      </c>
      <c r="V1193" t="s">
        <v>39</v>
      </c>
      <c r="W1193" t="s">
        <v>52</v>
      </c>
      <c r="X1193">
        <v>2022</v>
      </c>
      <c r="Y1193" t="s">
        <v>312</v>
      </c>
      <c r="Z1193" t="s">
        <v>83</v>
      </c>
    </row>
    <row r="1194" spans="1:26">
      <c r="A1194" t="s">
        <v>2256</v>
      </c>
      <c r="B1194" t="s">
        <v>108</v>
      </c>
      <c r="C1194" t="s">
        <v>28</v>
      </c>
      <c r="D1194" t="s">
        <v>77</v>
      </c>
      <c r="E1194" t="s">
        <v>143</v>
      </c>
      <c r="F1194" t="s">
        <v>238</v>
      </c>
      <c r="G1194" t="s">
        <v>58</v>
      </c>
      <c r="H1194">
        <v>0.9</v>
      </c>
      <c r="I1194">
        <v>24.8</v>
      </c>
      <c r="J1194" t="s">
        <v>20</v>
      </c>
      <c r="K1194" t="s">
        <v>299</v>
      </c>
      <c r="L1194" t="s">
        <v>98</v>
      </c>
      <c r="M1194" t="s">
        <v>1523</v>
      </c>
      <c r="N1194" t="s">
        <v>61</v>
      </c>
      <c r="O1194">
        <v>66</v>
      </c>
      <c r="Q1194">
        <v>0</v>
      </c>
      <c r="R1194">
        <v>0</v>
      </c>
      <c r="T1194" t="s">
        <v>136</v>
      </c>
      <c r="U1194" t="s">
        <v>39</v>
      </c>
      <c r="V1194" t="s">
        <v>52</v>
      </c>
      <c r="W1194" t="s">
        <v>52</v>
      </c>
      <c r="X1194">
        <v>2024</v>
      </c>
      <c r="Y1194" t="s">
        <v>82</v>
      </c>
      <c r="Z1194" t="s">
        <v>83</v>
      </c>
    </row>
    <row r="1195" spans="1:26">
      <c r="A1195" t="s">
        <v>2257</v>
      </c>
      <c r="B1195" t="s">
        <v>116</v>
      </c>
      <c r="C1195" t="s">
        <v>76</v>
      </c>
      <c r="D1195" t="s">
        <v>122</v>
      </c>
      <c r="E1195" t="s">
        <v>202</v>
      </c>
      <c r="F1195" t="s">
        <v>124</v>
      </c>
      <c r="G1195" t="s">
        <v>58</v>
      </c>
      <c r="H1195">
        <v>0.6</v>
      </c>
      <c r="I1195">
        <v>13.4</v>
      </c>
      <c r="J1195" t="s">
        <v>33</v>
      </c>
      <c r="K1195" t="s">
        <v>2252</v>
      </c>
      <c r="L1195" t="s">
        <v>126</v>
      </c>
      <c r="M1195" t="s">
        <v>1562</v>
      </c>
      <c r="N1195" t="s">
        <v>61</v>
      </c>
      <c r="O1195">
        <v>105</v>
      </c>
      <c r="Q1195">
        <v>0</v>
      </c>
      <c r="R1195">
        <v>0</v>
      </c>
      <c r="T1195" t="s">
        <v>81</v>
      </c>
      <c r="U1195" t="s">
        <v>39</v>
      </c>
      <c r="V1195" t="s">
        <v>52</v>
      </c>
      <c r="W1195" t="s">
        <v>52</v>
      </c>
      <c r="X1195">
        <v>2023</v>
      </c>
      <c r="Y1195" t="s">
        <v>114</v>
      </c>
      <c r="Z1195" t="s">
        <v>41</v>
      </c>
    </row>
    <row r="1196" spans="1:26">
      <c r="A1196" t="s">
        <v>2258</v>
      </c>
      <c r="B1196" t="s">
        <v>66</v>
      </c>
      <c r="C1196" t="s">
        <v>173</v>
      </c>
      <c r="D1196" t="s">
        <v>77</v>
      </c>
      <c r="E1196" t="s">
        <v>94</v>
      </c>
      <c r="F1196" t="s">
        <v>149</v>
      </c>
      <c r="G1196" t="s">
        <v>58</v>
      </c>
      <c r="H1196">
        <v>1.3</v>
      </c>
      <c r="I1196">
        <v>22.4</v>
      </c>
      <c r="J1196" t="s">
        <v>20</v>
      </c>
      <c r="K1196" t="s">
        <v>2259</v>
      </c>
      <c r="L1196" t="s">
        <v>140</v>
      </c>
      <c r="M1196" t="s">
        <v>165</v>
      </c>
      <c r="N1196" t="s">
        <v>71</v>
      </c>
      <c r="O1196">
        <v>109</v>
      </c>
      <c r="P1196" t="s">
        <v>89</v>
      </c>
      <c r="Q1196">
        <v>7170</v>
      </c>
      <c r="R1196">
        <v>5000</v>
      </c>
      <c r="S1196" t="s">
        <v>152</v>
      </c>
      <c r="T1196" t="s">
        <v>81</v>
      </c>
      <c r="U1196" t="s">
        <v>39</v>
      </c>
      <c r="V1196" t="s">
        <v>52</v>
      </c>
      <c r="W1196" t="s">
        <v>52</v>
      </c>
      <c r="X1196">
        <v>2023</v>
      </c>
      <c r="Y1196" t="s">
        <v>312</v>
      </c>
      <c r="Z1196" t="s">
        <v>83</v>
      </c>
    </row>
    <row r="1197" spans="1:26">
      <c r="A1197" t="s">
        <v>2260</v>
      </c>
      <c r="B1197" t="s">
        <v>66</v>
      </c>
      <c r="C1197" t="s">
        <v>76</v>
      </c>
      <c r="D1197" t="s">
        <v>77</v>
      </c>
      <c r="E1197" t="s">
        <v>220</v>
      </c>
      <c r="F1197" t="s">
        <v>31</v>
      </c>
      <c r="G1197" t="s">
        <v>58</v>
      </c>
      <c r="H1197">
        <v>3.2</v>
      </c>
      <c r="I1197">
        <v>26.6</v>
      </c>
      <c r="J1197" t="s">
        <v>33</v>
      </c>
      <c r="K1197" t="s">
        <v>1413</v>
      </c>
      <c r="L1197" t="s">
        <v>140</v>
      </c>
      <c r="M1197" t="s">
        <v>1234</v>
      </c>
      <c r="N1197" t="s">
        <v>100</v>
      </c>
      <c r="O1197">
        <v>127</v>
      </c>
      <c r="Q1197">
        <v>0</v>
      </c>
      <c r="R1197">
        <v>0</v>
      </c>
      <c r="T1197" t="s">
        <v>62</v>
      </c>
      <c r="U1197" t="s">
        <v>39</v>
      </c>
      <c r="V1197" t="s">
        <v>52</v>
      </c>
      <c r="W1197" t="s">
        <v>52</v>
      </c>
      <c r="X1197">
        <v>2024</v>
      </c>
      <c r="Y1197" t="s">
        <v>53</v>
      </c>
      <c r="Z1197" t="s">
        <v>54</v>
      </c>
    </row>
    <row r="1198" spans="1:26">
      <c r="A1198" t="s">
        <v>2261</v>
      </c>
      <c r="B1198" t="s">
        <v>27</v>
      </c>
      <c r="C1198" t="s">
        <v>121</v>
      </c>
      <c r="D1198" t="s">
        <v>29</v>
      </c>
      <c r="E1198" t="s">
        <v>195</v>
      </c>
      <c r="F1198" t="s">
        <v>68</v>
      </c>
      <c r="G1198" t="s">
        <v>32</v>
      </c>
      <c r="H1198">
        <v>10</v>
      </c>
      <c r="I1198">
        <v>27</v>
      </c>
      <c r="J1198" t="s">
        <v>33</v>
      </c>
      <c r="K1198" t="s">
        <v>1708</v>
      </c>
      <c r="L1198" t="s">
        <v>126</v>
      </c>
      <c r="M1198" t="s">
        <v>1221</v>
      </c>
      <c r="N1198" t="s">
        <v>71</v>
      </c>
      <c r="O1198">
        <v>90</v>
      </c>
      <c r="P1198" t="s">
        <v>72</v>
      </c>
      <c r="Q1198">
        <v>4395</v>
      </c>
      <c r="R1198">
        <v>0</v>
      </c>
      <c r="S1198" t="s">
        <v>113</v>
      </c>
      <c r="T1198" t="s">
        <v>38</v>
      </c>
      <c r="U1198" t="s">
        <v>52</v>
      </c>
      <c r="V1198" t="s">
        <v>52</v>
      </c>
      <c r="W1198" t="s">
        <v>39</v>
      </c>
      <c r="X1198">
        <v>2023</v>
      </c>
      <c r="Y1198" t="s">
        <v>91</v>
      </c>
      <c r="Z1198" t="s">
        <v>64</v>
      </c>
    </row>
    <row r="1199" spans="1:26">
      <c r="A1199" t="s">
        <v>2262</v>
      </c>
      <c r="B1199" t="s">
        <v>27</v>
      </c>
      <c r="C1199" t="s">
        <v>28</v>
      </c>
      <c r="D1199" t="s">
        <v>29</v>
      </c>
      <c r="E1199" t="s">
        <v>195</v>
      </c>
      <c r="F1199" t="s">
        <v>109</v>
      </c>
      <c r="G1199" t="s">
        <v>32</v>
      </c>
      <c r="H1199">
        <v>11.4</v>
      </c>
      <c r="I1199">
        <v>20.9</v>
      </c>
      <c r="J1199" t="s">
        <v>33</v>
      </c>
      <c r="K1199" t="s">
        <v>240</v>
      </c>
      <c r="L1199" t="s">
        <v>140</v>
      </c>
      <c r="M1199" t="s">
        <v>491</v>
      </c>
      <c r="N1199" t="s">
        <v>71</v>
      </c>
      <c r="O1199">
        <v>70</v>
      </c>
      <c r="P1199" t="s">
        <v>112</v>
      </c>
      <c r="Q1199">
        <v>2331</v>
      </c>
      <c r="R1199">
        <v>0</v>
      </c>
      <c r="S1199" t="s">
        <v>90</v>
      </c>
      <c r="T1199" t="s">
        <v>51</v>
      </c>
      <c r="U1199" t="s">
        <v>39</v>
      </c>
      <c r="V1199" t="s">
        <v>52</v>
      </c>
      <c r="W1199" t="s">
        <v>52</v>
      </c>
      <c r="X1199">
        <v>2024</v>
      </c>
      <c r="Y1199" t="s">
        <v>82</v>
      </c>
      <c r="Z1199" t="s">
        <v>83</v>
      </c>
    </row>
    <row r="1200" spans="1:26">
      <c r="A1200" t="s">
        <v>2263</v>
      </c>
      <c r="B1200" t="s">
        <v>66</v>
      </c>
      <c r="C1200" t="s">
        <v>76</v>
      </c>
      <c r="D1200" t="s">
        <v>77</v>
      </c>
      <c r="E1200" t="s">
        <v>94</v>
      </c>
      <c r="F1200" t="s">
        <v>31</v>
      </c>
      <c r="G1200" t="s">
        <v>58</v>
      </c>
      <c r="H1200">
        <v>10</v>
      </c>
      <c r="I1200">
        <v>3.8</v>
      </c>
      <c r="J1200" t="s">
        <v>20</v>
      </c>
      <c r="K1200" t="s">
        <v>2119</v>
      </c>
      <c r="L1200" t="s">
        <v>35</v>
      </c>
      <c r="M1200" t="s">
        <v>1650</v>
      </c>
      <c r="N1200" t="s">
        <v>50</v>
      </c>
      <c r="O1200">
        <v>122</v>
      </c>
      <c r="Q1200">
        <v>0</v>
      </c>
      <c r="R1200">
        <v>0</v>
      </c>
      <c r="T1200" t="s">
        <v>51</v>
      </c>
      <c r="U1200" t="s">
        <v>39</v>
      </c>
      <c r="V1200" t="s">
        <v>52</v>
      </c>
      <c r="W1200" t="s">
        <v>52</v>
      </c>
      <c r="X1200">
        <v>2023</v>
      </c>
      <c r="Y1200" t="s">
        <v>211</v>
      </c>
      <c r="Z1200" t="s">
        <v>41</v>
      </c>
    </row>
    <row r="1201" spans="1:26">
      <c r="A1201" t="s">
        <v>2264</v>
      </c>
      <c r="B1201" t="s">
        <v>93</v>
      </c>
      <c r="C1201" t="s">
        <v>28</v>
      </c>
      <c r="D1201" t="s">
        <v>77</v>
      </c>
      <c r="E1201" t="s">
        <v>216</v>
      </c>
      <c r="F1201" t="s">
        <v>68</v>
      </c>
      <c r="G1201" t="s">
        <v>58</v>
      </c>
      <c r="H1201">
        <v>9.5</v>
      </c>
      <c r="I1201">
        <v>34</v>
      </c>
      <c r="J1201" t="s">
        <v>33</v>
      </c>
      <c r="K1201" t="s">
        <v>935</v>
      </c>
      <c r="L1201" t="s">
        <v>140</v>
      </c>
      <c r="M1201" t="s">
        <v>348</v>
      </c>
      <c r="N1201" t="s">
        <v>71</v>
      </c>
      <c r="O1201">
        <v>102</v>
      </c>
      <c r="P1201" t="s">
        <v>230</v>
      </c>
      <c r="Q1201">
        <v>5856</v>
      </c>
      <c r="R1201">
        <v>0</v>
      </c>
      <c r="S1201" t="s">
        <v>152</v>
      </c>
      <c r="T1201" t="s">
        <v>136</v>
      </c>
      <c r="U1201" t="s">
        <v>52</v>
      </c>
      <c r="V1201" t="s">
        <v>39</v>
      </c>
      <c r="W1201" t="s">
        <v>39</v>
      </c>
      <c r="X1201">
        <v>2022</v>
      </c>
      <c r="Y1201" t="s">
        <v>114</v>
      </c>
      <c r="Z1201" t="s">
        <v>41</v>
      </c>
    </row>
  </sheetData>
  <pageMargins left="0.7" right="0.7" top="0.75" bottom="0.75"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7F3EB-9ECF-4FE3-8552-E758345B7449}">
  <sheetPr>
    <tabColor theme="6" tint="-0.249977111117893"/>
  </sheetPr>
  <dimension ref="A1:FTZ1201"/>
  <sheetViews>
    <sheetView tabSelected="1" zoomScale="71" workbookViewId="0">
      <selection sqref="A1:Z1"/>
    </sheetView>
  </sheetViews>
  <sheetFormatPr defaultRowHeight="14.4"/>
  <cols>
    <col min="1" max="1" width="20" customWidth="1"/>
    <col min="2" max="2" width="26.44140625" customWidth="1"/>
    <col min="3" max="3" width="14.6640625" customWidth="1"/>
    <col min="4" max="4" width="12.109375" customWidth="1"/>
    <col min="5" max="5" width="21.6640625" customWidth="1"/>
    <col min="6" max="6" width="13.88671875" bestFit="1" customWidth="1"/>
    <col min="7" max="7" width="16" customWidth="1"/>
    <col min="8" max="8" width="17.33203125" customWidth="1"/>
    <col min="9" max="9" width="21.109375" customWidth="1"/>
    <col min="10" max="10" width="24.33203125" bestFit="1" customWidth="1"/>
    <col min="11" max="11" width="20.109375" customWidth="1"/>
    <col min="12" max="12" width="28.44140625" bestFit="1" customWidth="1"/>
    <col min="13" max="13" width="26.21875" customWidth="1"/>
    <col min="14" max="14" width="24.44140625" customWidth="1"/>
    <col min="15" max="15" width="25.77734375" customWidth="1"/>
    <col min="16" max="16" width="23.109375" customWidth="1"/>
    <col min="17" max="17" width="31.33203125" customWidth="1"/>
    <col min="18" max="18" width="34.5546875" customWidth="1"/>
    <col min="19" max="19" width="28" customWidth="1"/>
    <col min="20" max="20" width="23.88671875" customWidth="1"/>
    <col min="21" max="21" width="22.109375" customWidth="1"/>
    <col min="22" max="22" width="15.77734375" customWidth="1"/>
    <col min="23" max="23" width="24.44140625" customWidth="1"/>
    <col min="24" max="24" width="14.5546875" customWidth="1"/>
    <col min="25" max="25" width="20" customWidth="1"/>
    <col min="26" max="26" width="16" customWidth="1"/>
    <col min="30" max="30" width="8.88671875" customWidth="1"/>
  </cols>
  <sheetData>
    <row r="1" spans="1:4602" s="1" customFormat="1" ht="18">
      <c r="A1" s="41" t="s">
        <v>0</v>
      </c>
      <c r="B1" s="41" t="s">
        <v>1</v>
      </c>
      <c r="C1" s="41" t="s">
        <v>2</v>
      </c>
      <c r="D1" s="41" t="s">
        <v>3</v>
      </c>
      <c r="E1" s="41" t="s">
        <v>4</v>
      </c>
      <c r="F1" s="41" t="s">
        <v>5</v>
      </c>
      <c r="G1" s="41" t="s">
        <v>6</v>
      </c>
      <c r="H1" s="41" t="s">
        <v>7</v>
      </c>
      <c r="I1" s="41" t="s">
        <v>8</v>
      </c>
      <c r="J1" s="41" t="s">
        <v>9</v>
      </c>
      <c r="K1" s="41" t="s">
        <v>10</v>
      </c>
      <c r="L1" s="41" t="s">
        <v>11</v>
      </c>
      <c r="M1" s="41" t="s">
        <v>12</v>
      </c>
      <c r="N1" s="41" t="s">
        <v>13</v>
      </c>
      <c r="O1" s="41" t="s">
        <v>14</v>
      </c>
      <c r="P1" s="41" t="s">
        <v>15</v>
      </c>
      <c r="Q1" s="41" t="s">
        <v>16</v>
      </c>
      <c r="R1" s="41" t="s">
        <v>17</v>
      </c>
      <c r="S1" s="41" t="s">
        <v>18</v>
      </c>
      <c r="T1" s="41" t="s">
        <v>19</v>
      </c>
      <c r="U1" s="41" t="s">
        <v>20</v>
      </c>
      <c r="V1" s="41" t="s">
        <v>21</v>
      </c>
      <c r="W1" s="41" t="s">
        <v>22</v>
      </c>
      <c r="X1" s="41" t="s">
        <v>23</v>
      </c>
      <c r="Y1" s="41" t="s">
        <v>24</v>
      </c>
      <c r="Z1" s="41" t="s">
        <v>25</v>
      </c>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c r="CW1" s="6"/>
      <c r="CX1" s="6"/>
      <c r="CY1" s="6"/>
      <c r="CZ1" s="6"/>
      <c r="DA1" s="6"/>
      <c r="DB1" s="6"/>
      <c r="DC1" s="6"/>
      <c r="DD1" s="6"/>
      <c r="DE1" s="6"/>
      <c r="DF1" s="6"/>
      <c r="DG1" s="6"/>
      <c r="DH1" s="6"/>
      <c r="DI1" s="6"/>
      <c r="DJ1" s="6"/>
      <c r="DK1" s="6"/>
      <c r="DL1" s="6"/>
      <c r="DM1" s="6"/>
      <c r="DN1" s="6"/>
      <c r="DO1" s="6"/>
      <c r="DP1" s="6"/>
      <c r="DQ1" s="6"/>
      <c r="DR1" s="6"/>
      <c r="DS1" s="6"/>
      <c r="DT1" s="6"/>
      <c r="DU1" s="6"/>
      <c r="DV1" s="6"/>
      <c r="DW1" s="6"/>
      <c r="DX1" s="6"/>
      <c r="DY1" s="6"/>
      <c r="DZ1" s="6"/>
      <c r="EA1" s="6"/>
      <c r="EB1" s="6"/>
      <c r="EC1" s="6"/>
      <c r="ED1" s="6"/>
      <c r="EE1" s="6"/>
      <c r="EF1" s="6"/>
      <c r="EG1" s="6"/>
      <c r="EH1" s="6"/>
      <c r="EI1" s="6"/>
      <c r="EJ1" s="6"/>
      <c r="EK1" s="6"/>
      <c r="EL1" s="6"/>
      <c r="EM1" s="6"/>
      <c r="EN1" s="6"/>
      <c r="EO1" s="6"/>
      <c r="EP1" s="6"/>
      <c r="EQ1" s="6"/>
      <c r="ER1" s="6"/>
      <c r="ES1" s="6"/>
      <c r="ET1" s="6"/>
      <c r="EU1" s="6"/>
      <c r="EV1" s="6"/>
      <c r="EW1" s="6"/>
      <c r="EX1" s="6"/>
      <c r="EY1" s="6"/>
      <c r="EZ1" s="6"/>
      <c r="FA1" s="6"/>
      <c r="FB1" s="6"/>
      <c r="FC1" s="6"/>
      <c r="FD1" s="6"/>
      <c r="FE1" s="6"/>
      <c r="FF1" s="6"/>
      <c r="FG1" s="6"/>
      <c r="FH1" s="6"/>
      <c r="FI1" s="6"/>
      <c r="FJ1" s="6"/>
      <c r="FK1" s="6"/>
      <c r="FL1" s="6"/>
      <c r="FM1" s="6"/>
      <c r="FN1" s="6"/>
      <c r="FO1" s="6"/>
      <c r="FP1" s="6"/>
      <c r="FQ1" s="6"/>
      <c r="FR1" s="6"/>
      <c r="FS1" s="6"/>
      <c r="FT1" s="6"/>
      <c r="FU1" s="6"/>
      <c r="FV1" s="6"/>
      <c r="FW1" s="6"/>
      <c r="FX1" s="6"/>
      <c r="FY1" s="6"/>
      <c r="FZ1" s="6"/>
      <c r="GA1" s="6"/>
      <c r="GB1" s="6"/>
      <c r="GC1" s="6"/>
      <c r="GD1" s="6"/>
      <c r="GE1" s="6"/>
      <c r="GF1" s="6"/>
      <c r="GG1" s="6"/>
      <c r="GH1" s="6"/>
      <c r="GI1" s="6"/>
      <c r="GJ1" s="6"/>
      <c r="GK1" s="6"/>
      <c r="GL1" s="6"/>
      <c r="GM1" s="6"/>
      <c r="GN1" s="6"/>
      <c r="GO1" s="6"/>
      <c r="GP1" s="6"/>
      <c r="GQ1" s="6"/>
      <c r="GR1" s="6"/>
      <c r="GS1" s="6"/>
      <c r="GT1" s="6"/>
      <c r="GU1" s="6"/>
      <c r="GV1" s="6"/>
      <c r="GW1" s="6"/>
      <c r="GX1" s="6"/>
      <c r="GY1" s="6"/>
      <c r="GZ1" s="6"/>
      <c r="HA1" s="6"/>
      <c r="HB1" s="6"/>
      <c r="HC1" s="6"/>
      <c r="HD1" s="6"/>
      <c r="HE1" s="6"/>
      <c r="HF1" s="6"/>
      <c r="HG1" s="6"/>
      <c r="HH1" s="6"/>
      <c r="HI1" s="6"/>
      <c r="HJ1" s="6"/>
      <c r="HK1" s="6"/>
      <c r="HL1" s="6"/>
      <c r="HM1" s="6"/>
      <c r="HN1" s="6"/>
      <c r="HO1" s="6"/>
      <c r="HP1" s="6"/>
      <c r="HQ1" s="6"/>
      <c r="HR1" s="6"/>
      <c r="HS1" s="6"/>
      <c r="HT1" s="6"/>
      <c r="HU1" s="6"/>
      <c r="HV1" s="6"/>
      <c r="HW1" s="6"/>
      <c r="HX1" s="6"/>
      <c r="HY1" s="6"/>
      <c r="HZ1" s="6"/>
      <c r="IA1" s="6"/>
      <c r="IB1" s="6"/>
      <c r="IC1" s="6"/>
      <c r="ID1" s="6"/>
      <c r="IE1" s="6"/>
      <c r="IF1" s="6"/>
      <c r="IG1" s="6"/>
      <c r="IH1" s="6"/>
      <c r="II1" s="6"/>
      <c r="IJ1" s="6"/>
      <c r="IK1" s="6"/>
      <c r="IL1" s="6"/>
      <c r="IM1" s="6"/>
      <c r="IN1" s="6"/>
      <c r="IO1" s="6"/>
      <c r="IP1" s="6"/>
      <c r="IQ1" s="6"/>
      <c r="IR1" s="6"/>
      <c r="IS1" s="6"/>
      <c r="IT1" s="6"/>
      <c r="IU1" s="6"/>
      <c r="IV1" s="6"/>
      <c r="IW1" s="6"/>
      <c r="IX1" s="6"/>
      <c r="IY1" s="6"/>
      <c r="IZ1" s="6"/>
      <c r="JA1" s="6"/>
      <c r="JB1" s="6"/>
      <c r="JC1" s="6"/>
      <c r="JD1" s="6"/>
      <c r="JE1" s="6"/>
      <c r="JF1" s="6"/>
      <c r="JG1" s="6"/>
      <c r="JH1" s="6"/>
      <c r="JI1" s="6"/>
      <c r="JJ1" s="6"/>
      <c r="JK1" s="6"/>
      <c r="JL1" s="6"/>
      <c r="JM1" s="6"/>
      <c r="JN1" s="6"/>
      <c r="JO1" s="6"/>
      <c r="JP1" s="6"/>
      <c r="JQ1" s="6"/>
      <c r="JR1" s="6"/>
      <c r="JS1" s="6"/>
      <c r="JT1" s="6"/>
      <c r="JU1" s="6"/>
      <c r="JV1" s="6"/>
      <c r="JW1" s="6"/>
      <c r="JX1" s="6"/>
      <c r="JY1" s="6"/>
      <c r="JZ1" s="6"/>
      <c r="KA1" s="6"/>
      <c r="KB1" s="6"/>
      <c r="KC1" s="6"/>
      <c r="KD1" s="6"/>
      <c r="KE1" s="6"/>
      <c r="KF1" s="6"/>
      <c r="KG1" s="6"/>
      <c r="KH1" s="6"/>
      <c r="KI1" s="6"/>
      <c r="KJ1" s="6"/>
      <c r="KK1" s="6"/>
      <c r="KL1" s="6"/>
      <c r="KM1" s="6"/>
      <c r="KN1" s="6"/>
      <c r="KO1" s="6"/>
      <c r="KP1" s="6"/>
      <c r="KQ1" s="6"/>
      <c r="KR1" s="6"/>
      <c r="KS1" s="6"/>
      <c r="KT1" s="6"/>
      <c r="KU1" s="6"/>
      <c r="KV1" s="6"/>
      <c r="KW1" s="6"/>
      <c r="KX1" s="6"/>
      <c r="KY1" s="6"/>
      <c r="KZ1" s="6"/>
      <c r="LA1" s="6"/>
      <c r="LB1" s="6"/>
      <c r="LC1" s="6"/>
      <c r="LD1" s="6"/>
      <c r="LE1" s="6"/>
      <c r="LF1" s="6"/>
      <c r="LG1" s="6"/>
      <c r="LH1" s="6"/>
      <c r="LI1" s="6"/>
      <c r="LJ1" s="6"/>
      <c r="LK1" s="6"/>
      <c r="LL1" s="6"/>
      <c r="LM1" s="6"/>
      <c r="LN1" s="6"/>
      <c r="LO1" s="6"/>
      <c r="LP1" s="6"/>
      <c r="LQ1" s="6"/>
      <c r="LR1" s="6"/>
      <c r="LS1" s="6"/>
      <c r="LT1" s="6"/>
      <c r="LU1" s="6"/>
      <c r="LV1" s="6"/>
      <c r="LW1" s="6"/>
      <c r="LX1" s="6"/>
      <c r="LY1" s="6"/>
      <c r="LZ1" s="6"/>
      <c r="MA1" s="6"/>
      <c r="MB1" s="6"/>
      <c r="MC1" s="6"/>
      <c r="MD1" s="6"/>
      <c r="ME1" s="6"/>
      <c r="MF1" s="6"/>
      <c r="MG1" s="6"/>
      <c r="MH1" s="6"/>
      <c r="MI1" s="6"/>
      <c r="MJ1" s="6"/>
      <c r="MK1" s="6"/>
      <c r="ML1" s="6"/>
      <c r="MM1" s="6"/>
      <c r="MN1" s="6"/>
      <c r="MO1" s="6"/>
      <c r="MP1" s="6"/>
      <c r="MQ1" s="6"/>
      <c r="MR1" s="6"/>
      <c r="MS1" s="6"/>
      <c r="MT1" s="6"/>
      <c r="MU1" s="6"/>
      <c r="MV1" s="6"/>
      <c r="MW1" s="6"/>
      <c r="MX1" s="6"/>
      <c r="MY1" s="6"/>
      <c r="MZ1" s="6"/>
      <c r="NA1" s="6"/>
      <c r="NB1" s="6"/>
      <c r="NC1" s="6"/>
      <c r="ND1" s="6"/>
      <c r="NE1" s="6"/>
      <c r="NF1" s="6"/>
      <c r="NG1" s="6"/>
      <c r="NH1" s="6"/>
      <c r="NI1" s="6"/>
      <c r="NJ1" s="6"/>
      <c r="NK1" s="6"/>
      <c r="NL1" s="6"/>
      <c r="NM1" s="6"/>
      <c r="NN1" s="6"/>
      <c r="NO1" s="6"/>
      <c r="NP1" s="6"/>
      <c r="NQ1" s="6"/>
      <c r="NR1" s="6"/>
      <c r="NS1" s="6"/>
      <c r="NT1" s="6"/>
      <c r="NU1" s="6"/>
      <c r="NV1" s="6"/>
      <c r="NW1" s="6"/>
      <c r="NX1" s="6"/>
      <c r="NY1" s="6"/>
      <c r="NZ1" s="6"/>
      <c r="OA1" s="6"/>
      <c r="OB1" s="6"/>
      <c r="OC1" s="6"/>
      <c r="OD1" s="6"/>
      <c r="OE1" s="6"/>
      <c r="OF1" s="6"/>
      <c r="OG1" s="6"/>
      <c r="OH1" s="6"/>
      <c r="OI1" s="6"/>
      <c r="OJ1" s="6"/>
      <c r="OK1" s="6"/>
      <c r="OL1" s="6"/>
      <c r="OM1" s="6"/>
      <c r="ON1" s="6"/>
      <c r="OO1" s="6"/>
      <c r="OP1" s="6"/>
      <c r="OQ1" s="6"/>
      <c r="OR1" s="6"/>
      <c r="OS1" s="6"/>
      <c r="OT1" s="6"/>
      <c r="OU1" s="6"/>
      <c r="OV1" s="6"/>
      <c r="OW1" s="6"/>
      <c r="OX1" s="6"/>
      <c r="OY1" s="6"/>
      <c r="OZ1" s="6"/>
      <c r="PA1" s="6"/>
      <c r="PB1" s="6"/>
      <c r="PC1" s="6"/>
      <c r="PD1" s="6"/>
      <c r="PE1" s="6"/>
      <c r="PF1" s="6"/>
      <c r="PG1" s="6"/>
      <c r="PH1" s="6"/>
      <c r="PI1" s="6"/>
      <c r="PJ1" s="6"/>
      <c r="PK1" s="6"/>
      <c r="PL1" s="6"/>
      <c r="PM1" s="6"/>
      <c r="PN1" s="6"/>
      <c r="PO1" s="6"/>
      <c r="PP1" s="6"/>
      <c r="PQ1" s="6"/>
      <c r="PR1" s="6"/>
      <c r="PS1" s="6"/>
      <c r="PT1" s="6"/>
      <c r="PU1" s="6"/>
      <c r="PV1" s="6"/>
      <c r="PW1" s="6"/>
      <c r="PX1" s="6"/>
      <c r="PY1" s="6"/>
      <c r="PZ1" s="6"/>
      <c r="QA1" s="6"/>
      <c r="QB1" s="6"/>
      <c r="QC1" s="6"/>
      <c r="QD1" s="6"/>
      <c r="QE1" s="6"/>
      <c r="QF1" s="6"/>
      <c r="QG1" s="6"/>
      <c r="QH1" s="6"/>
      <c r="QI1" s="6"/>
      <c r="QJ1" s="6"/>
      <c r="QK1" s="6"/>
      <c r="QL1" s="6"/>
      <c r="QM1" s="6"/>
      <c r="QN1" s="6"/>
      <c r="QO1" s="6"/>
      <c r="QP1" s="6"/>
      <c r="QQ1" s="6"/>
      <c r="QR1" s="6"/>
      <c r="QS1" s="6"/>
      <c r="QT1" s="6"/>
      <c r="QU1" s="6"/>
      <c r="QV1" s="6"/>
      <c r="QW1" s="6"/>
      <c r="QX1" s="6"/>
      <c r="QY1" s="6"/>
      <c r="QZ1" s="6"/>
      <c r="RA1" s="6"/>
      <c r="RB1" s="6"/>
      <c r="RC1" s="6"/>
      <c r="RD1" s="6"/>
      <c r="RE1" s="6"/>
      <c r="RF1" s="6"/>
      <c r="RG1" s="6"/>
      <c r="RH1" s="6"/>
      <c r="RI1" s="6"/>
      <c r="RJ1" s="6"/>
      <c r="RK1" s="6"/>
      <c r="RL1" s="6"/>
      <c r="RM1" s="6"/>
      <c r="RN1" s="6"/>
      <c r="RO1" s="6"/>
      <c r="RP1" s="6"/>
      <c r="RQ1" s="6"/>
      <c r="RR1" s="6"/>
      <c r="RS1" s="6"/>
      <c r="RT1" s="6"/>
      <c r="RU1" s="6"/>
      <c r="RV1" s="6"/>
      <c r="RW1" s="6"/>
      <c r="RX1" s="6"/>
      <c r="RY1" s="6"/>
      <c r="RZ1" s="6"/>
      <c r="SA1" s="6"/>
      <c r="SB1" s="6"/>
      <c r="SC1" s="6"/>
      <c r="SD1" s="6"/>
      <c r="SE1" s="6"/>
      <c r="SF1" s="6"/>
      <c r="SG1" s="6"/>
      <c r="SH1" s="6"/>
      <c r="SI1" s="6"/>
      <c r="SJ1" s="6"/>
      <c r="SK1" s="6"/>
      <c r="SL1" s="6"/>
      <c r="SM1" s="6"/>
      <c r="SN1" s="6"/>
      <c r="SO1" s="6"/>
      <c r="SP1" s="6"/>
      <c r="SQ1" s="6"/>
      <c r="SR1" s="6"/>
      <c r="SS1" s="6"/>
      <c r="ST1" s="6"/>
      <c r="SU1" s="6"/>
      <c r="SV1" s="6"/>
      <c r="SW1" s="6"/>
      <c r="SX1" s="6"/>
      <c r="SY1" s="6"/>
      <c r="SZ1" s="6"/>
      <c r="TA1" s="6"/>
      <c r="TB1" s="6"/>
      <c r="TC1" s="6"/>
      <c r="TD1" s="6"/>
      <c r="TE1" s="6"/>
      <c r="TF1" s="6"/>
      <c r="TG1" s="6"/>
      <c r="TH1" s="6"/>
      <c r="TI1" s="6"/>
      <c r="TJ1" s="6"/>
      <c r="TK1" s="6"/>
      <c r="TL1" s="6"/>
      <c r="TM1" s="6"/>
      <c r="TN1" s="6"/>
      <c r="TO1" s="6"/>
      <c r="TP1" s="6"/>
      <c r="TQ1" s="6"/>
      <c r="TR1" s="6"/>
      <c r="TS1" s="6"/>
      <c r="TT1" s="6"/>
      <c r="TU1" s="6"/>
      <c r="TV1" s="6"/>
      <c r="TW1" s="6"/>
      <c r="TX1" s="6"/>
      <c r="TY1" s="6"/>
      <c r="TZ1" s="6"/>
      <c r="UA1" s="6"/>
      <c r="UB1" s="6"/>
      <c r="UC1" s="6"/>
      <c r="UD1" s="6"/>
      <c r="UE1" s="6"/>
      <c r="UF1" s="6"/>
      <c r="UG1" s="6"/>
      <c r="UH1" s="6"/>
      <c r="UI1" s="6"/>
      <c r="UJ1" s="6"/>
      <c r="UK1" s="6"/>
      <c r="UL1" s="6"/>
      <c r="UM1" s="6"/>
      <c r="UN1" s="6"/>
      <c r="UO1" s="6"/>
      <c r="UP1" s="6"/>
      <c r="UQ1" s="6"/>
      <c r="UR1" s="6"/>
      <c r="US1" s="6"/>
      <c r="UT1" s="6"/>
      <c r="UU1" s="6"/>
      <c r="UV1" s="6"/>
      <c r="UW1" s="6"/>
      <c r="UX1" s="6"/>
      <c r="UY1" s="6"/>
      <c r="UZ1" s="6"/>
      <c r="VA1" s="6"/>
      <c r="VB1" s="6"/>
      <c r="VC1" s="6"/>
      <c r="VD1" s="6"/>
      <c r="VE1" s="6"/>
      <c r="VF1" s="6"/>
      <c r="VG1" s="6"/>
      <c r="VH1" s="6"/>
      <c r="VI1" s="6"/>
      <c r="VJ1" s="6"/>
      <c r="VK1" s="6"/>
      <c r="VL1" s="6"/>
      <c r="VM1" s="6"/>
      <c r="VN1" s="6"/>
      <c r="VO1" s="6"/>
      <c r="VP1" s="6"/>
      <c r="VQ1" s="6"/>
      <c r="VR1" s="6"/>
      <c r="VS1" s="6"/>
      <c r="VT1" s="6"/>
      <c r="VU1" s="6"/>
      <c r="VV1" s="6"/>
      <c r="VW1" s="6"/>
      <c r="VX1" s="6"/>
      <c r="VY1" s="6"/>
      <c r="VZ1" s="6"/>
      <c r="WA1" s="6"/>
      <c r="WB1" s="6"/>
      <c r="WC1" s="6"/>
      <c r="WD1" s="6"/>
      <c r="WE1" s="6"/>
      <c r="WF1" s="6"/>
      <c r="WG1" s="6"/>
      <c r="WH1" s="6"/>
      <c r="WI1" s="6"/>
      <c r="WJ1" s="6"/>
      <c r="WK1" s="6"/>
      <c r="WL1" s="6"/>
      <c r="WM1" s="6"/>
      <c r="WN1" s="6"/>
      <c r="WO1" s="6"/>
      <c r="WP1" s="6"/>
      <c r="WQ1" s="6"/>
      <c r="WR1" s="6"/>
      <c r="WS1" s="6"/>
      <c r="WT1" s="6"/>
      <c r="WU1" s="6"/>
      <c r="WV1" s="6"/>
      <c r="WW1" s="6"/>
      <c r="WX1" s="6"/>
      <c r="WY1" s="6"/>
      <c r="WZ1" s="6"/>
      <c r="XA1" s="6"/>
      <c r="XB1" s="6"/>
      <c r="XC1" s="6"/>
      <c r="XD1" s="6"/>
      <c r="XE1" s="6"/>
      <c r="XF1" s="6"/>
      <c r="XG1" s="6"/>
      <c r="XH1" s="6"/>
      <c r="XI1" s="6"/>
      <c r="XJ1" s="6"/>
      <c r="XK1" s="6"/>
      <c r="XL1" s="6"/>
      <c r="XM1" s="6"/>
      <c r="XN1" s="6"/>
      <c r="XO1" s="6"/>
      <c r="XP1" s="6"/>
      <c r="XQ1" s="6"/>
      <c r="XR1" s="6"/>
      <c r="XS1" s="6"/>
      <c r="XT1" s="6"/>
      <c r="XU1" s="6"/>
      <c r="XV1" s="6"/>
      <c r="XW1" s="6"/>
      <c r="XX1" s="6"/>
      <c r="XY1" s="6"/>
      <c r="XZ1" s="6"/>
      <c r="YA1" s="6"/>
      <c r="YB1" s="6"/>
      <c r="YC1" s="6"/>
      <c r="YD1" s="6"/>
      <c r="YE1" s="6"/>
      <c r="YF1" s="6"/>
      <c r="YG1" s="6"/>
      <c r="YH1" s="6"/>
      <c r="YI1" s="6"/>
      <c r="YJ1" s="6"/>
      <c r="YK1" s="6"/>
      <c r="YL1" s="6"/>
      <c r="YM1" s="6"/>
      <c r="YN1" s="6"/>
      <c r="YO1" s="6"/>
      <c r="YP1" s="6"/>
      <c r="YQ1" s="6"/>
      <c r="YR1" s="6"/>
      <c r="YS1" s="6"/>
      <c r="YT1" s="6"/>
      <c r="YU1" s="6"/>
      <c r="YV1" s="6"/>
      <c r="YW1" s="6"/>
      <c r="YX1" s="6"/>
      <c r="YY1" s="6"/>
      <c r="YZ1" s="6"/>
      <c r="ZA1" s="6"/>
      <c r="ZB1" s="6"/>
      <c r="ZC1" s="6"/>
      <c r="ZD1" s="6"/>
      <c r="ZE1" s="6"/>
      <c r="ZF1" s="6"/>
      <c r="ZG1" s="6"/>
      <c r="ZH1" s="6"/>
      <c r="ZI1" s="6"/>
      <c r="ZJ1" s="6"/>
      <c r="ZK1" s="6"/>
      <c r="ZL1" s="6"/>
      <c r="ZM1" s="6"/>
      <c r="ZN1" s="6"/>
      <c r="ZO1" s="6"/>
      <c r="ZP1" s="6"/>
      <c r="ZQ1" s="6"/>
      <c r="ZR1" s="6"/>
      <c r="ZS1" s="6"/>
      <c r="ZT1" s="6"/>
      <c r="ZU1" s="6"/>
      <c r="ZV1" s="6"/>
      <c r="ZW1" s="6"/>
      <c r="ZX1" s="6"/>
      <c r="ZY1" s="6"/>
      <c r="ZZ1" s="6"/>
      <c r="AAA1" s="6"/>
      <c r="AAB1" s="6"/>
      <c r="AAC1" s="6"/>
      <c r="AAD1" s="6"/>
      <c r="AAE1" s="6"/>
      <c r="AAF1" s="6"/>
      <c r="AAG1" s="6"/>
      <c r="AAH1" s="6"/>
      <c r="AAI1" s="6"/>
      <c r="AAJ1" s="6"/>
      <c r="AAK1" s="6"/>
      <c r="AAL1" s="6"/>
      <c r="AAM1" s="6"/>
      <c r="AAN1" s="6"/>
      <c r="AAO1" s="6"/>
      <c r="AAP1" s="6"/>
      <c r="AAQ1" s="6"/>
      <c r="AAR1" s="6"/>
      <c r="AAS1" s="6"/>
      <c r="AAT1" s="6"/>
      <c r="AAU1" s="6"/>
      <c r="AAV1" s="6"/>
      <c r="AAW1" s="6"/>
      <c r="AAX1" s="6"/>
      <c r="AAY1" s="6"/>
      <c r="AAZ1" s="6"/>
      <c r="ABA1" s="6"/>
      <c r="ABB1" s="6"/>
      <c r="ABC1" s="6"/>
      <c r="ABD1" s="6"/>
      <c r="ABE1" s="6"/>
      <c r="ABF1" s="6"/>
      <c r="ABG1" s="6"/>
      <c r="ABH1" s="6"/>
      <c r="ABI1" s="6"/>
      <c r="ABJ1" s="6"/>
      <c r="ABK1" s="6"/>
      <c r="ABL1" s="6"/>
      <c r="ABM1" s="6"/>
      <c r="ABN1" s="6"/>
      <c r="ABO1" s="6"/>
      <c r="ABP1" s="6"/>
      <c r="ABQ1" s="6"/>
      <c r="ABR1" s="6"/>
      <c r="ABS1" s="6"/>
      <c r="ABT1" s="6"/>
      <c r="ABU1" s="6"/>
      <c r="ABV1" s="6"/>
      <c r="ABW1" s="6"/>
      <c r="ABX1" s="6"/>
      <c r="ABY1" s="6"/>
      <c r="ABZ1" s="6"/>
      <c r="ACA1" s="6"/>
      <c r="ACB1" s="6"/>
      <c r="ACC1" s="6"/>
      <c r="ACD1" s="6"/>
      <c r="ACE1" s="6"/>
      <c r="ACF1" s="6"/>
      <c r="ACG1" s="6"/>
      <c r="ACH1" s="6"/>
      <c r="ACI1" s="6"/>
      <c r="ACJ1" s="6"/>
      <c r="ACK1" s="6"/>
      <c r="ACL1" s="6"/>
      <c r="ACM1" s="6"/>
      <c r="ACN1" s="6"/>
      <c r="ACO1" s="6"/>
      <c r="ACP1" s="6"/>
      <c r="ACQ1" s="6"/>
      <c r="ACR1" s="6"/>
      <c r="ACS1" s="6"/>
      <c r="ACT1" s="6"/>
      <c r="ACU1" s="6"/>
      <c r="ACV1" s="6"/>
      <c r="ACW1" s="6"/>
      <c r="ACX1" s="6"/>
      <c r="ACY1" s="6"/>
      <c r="ACZ1" s="6"/>
      <c r="ADA1" s="6"/>
      <c r="ADB1" s="6"/>
      <c r="ADC1" s="6"/>
      <c r="ADD1" s="6"/>
      <c r="ADE1" s="6"/>
      <c r="ADF1" s="6"/>
      <c r="ADG1" s="6"/>
      <c r="ADH1" s="6"/>
      <c r="ADI1" s="6"/>
      <c r="ADJ1" s="6"/>
      <c r="ADK1" s="6"/>
      <c r="ADL1" s="6"/>
      <c r="ADM1" s="6"/>
      <c r="ADN1" s="6"/>
      <c r="ADO1" s="6"/>
      <c r="ADP1" s="6"/>
      <c r="ADQ1" s="6"/>
      <c r="ADR1" s="6"/>
      <c r="ADS1" s="6"/>
      <c r="ADT1" s="6"/>
      <c r="ADU1" s="6"/>
      <c r="ADV1" s="6"/>
      <c r="ADW1" s="6"/>
      <c r="ADX1" s="6"/>
      <c r="ADY1" s="6"/>
      <c r="ADZ1" s="6"/>
      <c r="AEA1" s="6"/>
      <c r="AEB1" s="6"/>
      <c r="AEC1" s="6"/>
      <c r="AED1" s="6"/>
      <c r="AEE1" s="6"/>
      <c r="AEF1" s="6"/>
      <c r="AEG1" s="6"/>
      <c r="AEH1" s="6"/>
      <c r="AEI1" s="6"/>
      <c r="AEJ1" s="6"/>
      <c r="AEK1" s="6"/>
      <c r="AEL1" s="6"/>
      <c r="AEM1" s="6"/>
      <c r="AEN1" s="6"/>
      <c r="AEO1" s="6"/>
      <c r="AEP1" s="6"/>
      <c r="AEQ1" s="6"/>
      <c r="AER1" s="6"/>
      <c r="AES1" s="6"/>
      <c r="AET1" s="6"/>
      <c r="AEU1" s="6"/>
      <c r="AEV1" s="6"/>
      <c r="AEW1" s="6"/>
      <c r="AEX1" s="6"/>
      <c r="AEY1" s="6"/>
      <c r="AEZ1" s="6"/>
      <c r="AFA1" s="6"/>
      <c r="AFB1" s="6"/>
      <c r="AFC1" s="6"/>
      <c r="AFD1" s="6"/>
      <c r="AFE1" s="6"/>
      <c r="AFF1" s="6"/>
      <c r="AFG1" s="6"/>
      <c r="AFH1" s="6"/>
      <c r="AFI1" s="6"/>
      <c r="AFJ1" s="6"/>
      <c r="AFK1" s="6"/>
      <c r="AFL1" s="6"/>
      <c r="AFM1" s="6"/>
      <c r="AFN1" s="6"/>
      <c r="AFO1" s="6"/>
      <c r="AFP1" s="6"/>
      <c r="AFQ1" s="6"/>
      <c r="AFR1" s="6"/>
      <c r="AFS1" s="6"/>
      <c r="AFT1" s="6"/>
      <c r="AFU1" s="6"/>
      <c r="AFV1" s="6"/>
      <c r="AFW1" s="6"/>
      <c r="AFX1" s="6"/>
      <c r="AFY1" s="6"/>
      <c r="AFZ1" s="6"/>
      <c r="AGA1" s="6"/>
      <c r="AGB1" s="6"/>
      <c r="AGC1" s="6"/>
      <c r="AGD1" s="6"/>
      <c r="AGE1" s="6"/>
      <c r="AGF1" s="6"/>
      <c r="AGG1" s="6"/>
      <c r="AGH1" s="6"/>
      <c r="AGI1" s="6"/>
      <c r="AGJ1" s="6"/>
      <c r="AGK1" s="6"/>
      <c r="AGL1" s="6"/>
      <c r="AGM1" s="6"/>
      <c r="AGN1" s="6"/>
      <c r="AGO1" s="6"/>
      <c r="AGP1" s="6"/>
      <c r="AGQ1" s="6"/>
      <c r="AGR1" s="6"/>
      <c r="AGS1" s="6"/>
      <c r="AGT1" s="6"/>
      <c r="AGU1" s="6"/>
      <c r="AGV1" s="6"/>
      <c r="AGW1" s="6"/>
      <c r="AGX1" s="6"/>
      <c r="AGY1" s="6"/>
      <c r="AGZ1" s="6"/>
      <c r="AHA1" s="6"/>
      <c r="AHB1" s="6"/>
      <c r="AHC1" s="6"/>
      <c r="AHD1" s="6"/>
      <c r="AHE1" s="6"/>
      <c r="AHF1" s="6"/>
      <c r="AHG1" s="6"/>
      <c r="AHH1" s="6"/>
      <c r="AHI1" s="6"/>
      <c r="AHJ1" s="6"/>
      <c r="AHK1" s="6"/>
      <c r="AHL1" s="6"/>
      <c r="AHM1" s="6"/>
      <c r="AHN1" s="6"/>
      <c r="AHO1" s="6"/>
      <c r="AHP1" s="6"/>
      <c r="AHQ1" s="6"/>
      <c r="AHR1" s="6"/>
      <c r="AHS1" s="6"/>
      <c r="AHT1" s="6"/>
      <c r="AHU1" s="6"/>
      <c r="AHV1" s="6"/>
      <c r="AHW1" s="6"/>
      <c r="AHX1" s="6"/>
      <c r="AHY1" s="6"/>
      <c r="AHZ1" s="6"/>
      <c r="AIA1" s="6"/>
      <c r="AIB1" s="6"/>
      <c r="AIC1" s="6"/>
      <c r="AID1" s="6"/>
      <c r="AIE1" s="6"/>
      <c r="AIF1" s="6"/>
      <c r="AIG1" s="6"/>
      <c r="AIH1" s="6"/>
      <c r="AII1" s="6"/>
      <c r="AIJ1" s="6"/>
      <c r="AIK1" s="6"/>
      <c r="AIL1" s="6"/>
      <c r="AIM1" s="6"/>
      <c r="AIN1" s="6"/>
      <c r="AIO1" s="6"/>
      <c r="AIP1" s="6"/>
      <c r="AIQ1" s="6"/>
      <c r="AIR1" s="6"/>
      <c r="AIS1" s="6"/>
      <c r="AIT1" s="6"/>
      <c r="AIU1" s="6"/>
      <c r="AIV1" s="6"/>
      <c r="AIW1" s="6"/>
      <c r="AIX1" s="6"/>
      <c r="AIY1" s="6"/>
      <c r="AIZ1" s="6"/>
      <c r="AJA1" s="6"/>
      <c r="AJB1" s="6"/>
      <c r="AJC1" s="6"/>
      <c r="AJD1" s="6"/>
      <c r="AJE1" s="6"/>
      <c r="AJF1" s="6"/>
      <c r="AJG1" s="6"/>
      <c r="AJH1" s="6"/>
      <c r="AJI1" s="6"/>
      <c r="AJJ1" s="6"/>
      <c r="AJK1" s="6"/>
      <c r="AJL1" s="6"/>
      <c r="AJM1" s="6"/>
      <c r="AJN1" s="6"/>
      <c r="AJO1" s="6"/>
      <c r="AJP1" s="6"/>
      <c r="AJQ1" s="6"/>
      <c r="AJR1" s="6"/>
      <c r="AJS1" s="6"/>
      <c r="AJT1" s="6"/>
      <c r="AJU1" s="6"/>
      <c r="AJV1" s="6"/>
      <c r="AJW1" s="6"/>
      <c r="AJX1" s="6"/>
      <c r="AJY1" s="6"/>
      <c r="AJZ1" s="6"/>
      <c r="AKA1" s="6"/>
      <c r="AKB1" s="6"/>
      <c r="AKC1" s="6"/>
      <c r="AKD1" s="6"/>
      <c r="AKE1" s="6"/>
      <c r="AKF1" s="6"/>
      <c r="AKG1" s="6"/>
      <c r="AKH1" s="6"/>
      <c r="AKI1" s="6"/>
      <c r="AKJ1" s="6"/>
      <c r="AKK1" s="6"/>
      <c r="AKL1" s="6"/>
      <c r="AKM1" s="6"/>
      <c r="AKN1" s="6"/>
      <c r="AKO1" s="6"/>
      <c r="AKP1" s="6"/>
      <c r="AKQ1" s="6"/>
      <c r="AKR1" s="6"/>
      <c r="AKS1" s="6"/>
      <c r="AKT1" s="6"/>
      <c r="AKU1" s="6"/>
      <c r="AKV1" s="6"/>
      <c r="AKW1" s="6"/>
      <c r="AKX1" s="6"/>
      <c r="AKY1" s="6"/>
      <c r="AKZ1" s="6"/>
      <c r="ALA1" s="6"/>
      <c r="ALB1" s="6"/>
      <c r="ALC1" s="6"/>
      <c r="ALD1" s="6"/>
      <c r="ALE1" s="6"/>
      <c r="ALF1" s="6"/>
      <c r="ALG1" s="6"/>
      <c r="ALH1" s="6"/>
      <c r="ALI1" s="6"/>
      <c r="ALJ1" s="6"/>
      <c r="ALK1" s="6"/>
      <c r="ALL1" s="6"/>
      <c r="ALM1" s="6"/>
      <c r="ALN1" s="6"/>
      <c r="ALO1" s="6"/>
      <c r="ALP1" s="6"/>
      <c r="ALQ1" s="6"/>
      <c r="ALR1" s="6"/>
      <c r="ALS1" s="6"/>
      <c r="ALT1" s="6"/>
      <c r="ALU1" s="6"/>
      <c r="ALV1" s="6"/>
      <c r="ALW1" s="6"/>
      <c r="ALX1" s="6"/>
      <c r="ALY1" s="6"/>
      <c r="ALZ1" s="6"/>
      <c r="AMA1" s="6"/>
      <c r="AMB1" s="6"/>
      <c r="AMC1" s="6"/>
      <c r="AMD1" s="6"/>
      <c r="AME1" s="6"/>
      <c r="AMF1" s="6"/>
      <c r="AMG1" s="6"/>
      <c r="AMH1" s="6"/>
      <c r="AMI1" s="6"/>
      <c r="AMJ1" s="6"/>
      <c r="AMK1" s="6"/>
      <c r="AML1" s="6"/>
      <c r="AMM1" s="6"/>
      <c r="AMN1" s="6"/>
      <c r="AMO1" s="6"/>
      <c r="AMP1" s="6"/>
      <c r="AMQ1" s="6"/>
      <c r="AMR1" s="6"/>
      <c r="AMS1" s="6"/>
      <c r="AMT1" s="6"/>
      <c r="AMU1" s="6"/>
      <c r="AMV1" s="6"/>
      <c r="AMW1" s="6"/>
      <c r="AMX1" s="6"/>
      <c r="AMY1" s="6"/>
      <c r="AMZ1" s="6"/>
      <c r="ANA1" s="6"/>
      <c r="ANB1" s="6"/>
      <c r="ANC1" s="6"/>
      <c r="AND1" s="6"/>
      <c r="ANE1" s="6"/>
      <c r="ANF1" s="6"/>
      <c r="ANG1" s="6"/>
      <c r="ANH1" s="6"/>
      <c r="ANI1" s="6"/>
      <c r="ANJ1" s="6"/>
      <c r="ANK1" s="6"/>
      <c r="ANL1" s="6"/>
      <c r="ANM1" s="6"/>
      <c r="ANN1" s="6"/>
      <c r="ANO1" s="6"/>
      <c r="ANP1" s="6"/>
      <c r="ANQ1" s="6"/>
      <c r="ANR1" s="6"/>
      <c r="ANS1" s="6"/>
      <c r="ANT1" s="6"/>
      <c r="ANU1" s="6"/>
      <c r="ANV1" s="6"/>
      <c r="ANW1" s="6"/>
      <c r="ANX1" s="6"/>
      <c r="ANY1" s="6"/>
      <c r="ANZ1" s="6"/>
      <c r="AOA1" s="6"/>
      <c r="AOB1" s="6"/>
      <c r="AOC1" s="6"/>
      <c r="AOD1" s="6"/>
      <c r="AOE1" s="6"/>
      <c r="AOF1" s="6"/>
      <c r="AOG1" s="6"/>
      <c r="AOH1" s="6"/>
      <c r="AOI1" s="6"/>
      <c r="AOJ1" s="6"/>
      <c r="AOK1" s="6"/>
      <c r="AOL1" s="6"/>
      <c r="AOM1" s="6"/>
      <c r="AON1" s="6"/>
      <c r="AOO1" s="6"/>
      <c r="AOP1" s="6"/>
      <c r="AOQ1" s="6"/>
      <c r="AOR1" s="6"/>
      <c r="AOS1" s="6"/>
      <c r="AOT1" s="6"/>
      <c r="AOU1" s="6"/>
      <c r="AOV1" s="6"/>
      <c r="AOW1" s="6"/>
      <c r="AOX1" s="6"/>
      <c r="AOY1" s="6"/>
      <c r="AOZ1" s="6"/>
      <c r="APA1" s="6"/>
      <c r="APB1" s="6"/>
      <c r="APC1" s="6"/>
      <c r="APD1" s="6"/>
      <c r="APE1" s="6"/>
      <c r="APF1" s="6"/>
      <c r="APG1" s="6"/>
      <c r="APH1" s="6"/>
      <c r="API1" s="6"/>
      <c r="APJ1" s="6"/>
      <c r="APK1" s="6"/>
      <c r="APL1" s="6"/>
      <c r="APM1" s="6"/>
      <c r="APN1" s="6"/>
      <c r="APO1" s="6"/>
      <c r="APP1" s="6"/>
      <c r="APQ1" s="6"/>
      <c r="APR1" s="6"/>
      <c r="APS1" s="6"/>
      <c r="APT1" s="6"/>
      <c r="APU1" s="6"/>
      <c r="APV1" s="6"/>
      <c r="APW1" s="6"/>
      <c r="APX1" s="6"/>
      <c r="APY1" s="6"/>
      <c r="APZ1" s="6"/>
      <c r="AQA1" s="6"/>
      <c r="AQB1" s="6"/>
      <c r="AQC1" s="6"/>
      <c r="AQD1" s="6"/>
      <c r="AQE1" s="6"/>
      <c r="AQF1" s="6"/>
      <c r="AQG1" s="6"/>
      <c r="AQH1" s="6"/>
      <c r="AQI1" s="6"/>
      <c r="AQJ1" s="6"/>
      <c r="AQK1" s="6"/>
      <c r="AQL1" s="6"/>
      <c r="AQM1" s="6"/>
      <c r="AQN1" s="6"/>
      <c r="AQO1" s="6"/>
      <c r="AQP1" s="6"/>
      <c r="AQQ1" s="6"/>
      <c r="AQR1" s="6"/>
      <c r="AQS1" s="6"/>
      <c r="AQT1" s="6"/>
      <c r="AQU1" s="6"/>
      <c r="AQV1" s="6"/>
      <c r="AQW1" s="6"/>
      <c r="AQX1" s="6"/>
      <c r="AQY1" s="6"/>
      <c r="AQZ1" s="6"/>
      <c r="ARA1" s="6"/>
      <c r="ARB1" s="6"/>
      <c r="ARC1" s="6"/>
      <c r="ARD1" s="6"/>
      <c r="ARE1" s="6"/>
      <c r="ARF1" s="6"/>
      <c r="ARG1" s="6"/>
      <c r="ARH1" s="6"/>
      <c r="ARI1" s="6"/>
      <c r="ARJ1" s="6"/>
      <c r="ARK1" s="6"/>
      <c r="ARL1" s="6"/>
      <c r="ARM1" s="6"/>
      <c r="ARN1" s="6"/>
      <c r="ARO1" s="6"/>
      <c r="ARP1" s="6"/>
      <c r="ARQ1" s="6"/>
      <c r="ARR1" s="6"/>
      <c r="ARS1" s="6"/>
      <c r="ART1" s="6"/>
      <c r="ARU1" s="6"/>
      <c r="ARV1" s="6"/>
      <c r="ARW1" s="6"/>
      <c r="ARX1" s="6"/>
      <c r="ARY1" s="6"/>
      <c r="ARZ1" s="6"/>
      <c r="ASA1" s="6"/>
      <c r="ASB1" s="6"/>
      <c r="ASC1" s="6"/>
      <c r="ASD1" s="6"/>
      <c r="ASE1" s="6"/>
      <c r="ASF1" s="6"/>
      <c r="ASG1" s="6"/>
      <c r="ASH1" s="6"/>
      <c r="ASI1" s="6"/>
      <c r="ASJ1" s="6"/>
      <c r="ASK1" s="6"/>
      <c r="ASL1" s="6"/>
      <c r="ASM1" s="6"/>
      <c r="ASN1" s="6"/>
      <c r="ASO1" s="6"/>
      <c r="ASP1" s="6"/>
      <c r="ASQ1" s="6"/>
      <c r="ASR1" s="6"/>
      <c r="ASS1" s="6"/>
      <c r="AST1" s="6"/>
      <c r="ASU1" s="6"/>
      <c r="ASV1" s="6"/>
      <c r="ASW1" s="6"/>
      <c r="ASX1" s="6"/>
      <c r="ASY1" s="6"/>
      <c r="ASZ1" s="6"/>
      <c r="ATA1" s="6"/>
      <c r="ATB1" s="6"/>
      <c r="ATC1" s="6"/>
      <c r="ATD1" s="6"/>
      <c r="ATE1" s="6"/>
      <c r="ATF1" s="6"/>
      <c r="ATG1" s="6"/>
      <c r="ATH1" s="6"/>
      <c r="ATI1" s="6"/>
      <c r="ATJ1" s="6"/>
      <c r="ATK1" s="6"/>
      <c r="ATL1" s="6"/>
      <c r="ATM1" s="6"/>
      <c r="ATN1" s="6"/>
      <c r="ATO1" s="6"/>
      <c r="ATP1" s="6"/>
      <c r="ATQ1" s="6"/>
      <c r="ATR1" s="6"/>
      <c r="ATS1" s="6"/>
      <c r="ATT1" s="6"/>
      <c r="ATU1" s="6"/>
      <c r="ATV1" s="6"/>
      <c r="ATW1" s="6"/>
      <c r="ATX1" s="6"/>
      <c r="ATY1" s="6"/>
      <c r="ATZ1" s="6"/>
      <c r="AUA1" s="6"/>
      <c r="AUB1" s="6"/>
      <c r="AUC1" s="6"/>
      <c r="AUD1" s="6"/>
      <c r="AUE1" s="6"/>
      <c r="AUF1" s="6"/>
      <c r="AUG1" s="6"/>
      <c r="AUH1" s="6"/>
      <c r="AUI1" s="6"/>
      <c r="AUJ1" s="6"/>
      <c r="AUK1" s="6"/>
      <c r="AUL1" s="6"/>
      <c r="AUM1" s="6"/>
      <c r="AUN1" s="6"/>
      <c r="AUO1" s="6"/>
      <c r="AUP1" s="6"/>
      <c r="AUQ1" s="6"/>
      <c r="AUR1" s="6"/>
      <c r="AUS1" s="6"/>
      <c r="AUT1" s="6"/>
      <c r="AUU1" s="6"/>
      <c r="AUV1" s="6"/>
      <c r="AUW1" s="6"/>
      <c r="AUX1" s="6"/>
      <c r="AUY1" s="6"/>
      <c r="AUZ1" s="6"/>
      <c r="AVA1" s="6"/>
      <c r="AVB1" s="6"/>
      <c r="AVC1" s="6"/>
      <c r="AVD1" s="6"/>
      <c r="AVE1" s="6"/>
      <c r="AVF1" s="6"/>
      <c r="AVG1" s="6"/>
      <c r="AVH1" s="6"/>
      <c r="AVI1" s="6"/>
      <c r="AVJ1" s="6"/>
      <c r="AVK1" s="6"/>
      <c r="AVL1" s="6"/>
      <c r="AVM1" s="6"/>
      <c r="AVN1" s="6"/>
      <c r="AVO1" s="6"/>
      <c r="AVP1" s="6"/>
      <c r="AVQ1" s="6"/>
      <c r="AVR1" s="6"/>
      <c r="AVS1" s="6"/>
      <c r="AVT1" s="6"/>
      <c r="AVU1" s="6"/>
      <c r="AVV1" s="6"/>
      <c r="AVW1" s="6"/>
      <c r="AVX1" s="6"/>
      <c r="AVY1" s="6"/>
      <c r="AVZ1" s="6"/>
      <c r="AWA1" s="6"/>
      <c r="AWB1" s="6"/>
      <c r="AWC1" s="6"/>
      <c r="AWD1" s="6"/>
      <c r="AWE1" s="6"/>
      <c r="AWF1" s="6"/>
      <c r="AWG1" s="6"/>
      <c r="AWH1" s="6"/>
      <c r="AWI1" s="6"/>
      <c r="AWJ1" s="6"/>
      <c r="AWK1" s="6"/>
      <c r="AWL1" s="6"/>
      <c r="AWM1" s="6"/>
      <c r="AWN1" s="6"/>
      <c r="AWO1" s="6"/>
      <c r="AWP1" s="6"/>
      <c r="AWQ1" s="6"/>
      <c r="AWR1" s="6"/>
      <c r="AWS1" s="6"/>
      <c r="AWT1" s="6"/>
      <c r="AWU1" s="6"/>
      <c r="AWV1" s="6"/>
      <c r="AWW1" s="6"/>
      <c r="AWX1" s="6"/>
      <c r="AWY1" s="6"/>
      <c r="AWZ1" s="6"/>
      <c r="AXA1" s="6"/>
      <c r="AXB1" s="6"/>
      <c r="AXC1" s="6"/>
      <c r="AXD1" s="6"/>
      <c r="AXE1" s="6"/>
      <c r="AXF1" s="6"/>
      <c r="AXG1" s="6"/>
      <c r="AXH1" s="6"/>
      <c r="AXI1" s="6"/>
      <c r="AXJ1" s="6"/>
      <c r="AXK1" s="6"/>
      <c r="AXL1" s="6"/>
      <c r="AXM1" s="6"/>
      <c r="AXN1" s="6"/>
      <c r="AXO1" s="6"/>
      <c r="AXP1" s="6"/>
      <c r="AXQ1" s="6"/>
      <c r="AXR1" s="6"/>
      <c r="AXS1" s="6"/>
      <c r="AXT1" s="6"/>
      <c r="AXU1" s="6"/>
      <c r="AXV1" s="6"/>
      <c r="AXW1" s="6"/>
      <c r="AXX1" s="6"/>
      <c r="AXY1" s="6"/>
      <c r="AXZ1" s="6"/>
      <c r="AYA1" s="6"/>
      <c r="AYB1" s="6"/>
      <c r="AYC1" s="6"/>
      <c r="AYD1" s="6"/>
      <c r="AYE1" s="6"/>
      <c r="AYF1" s="6"/>
      <c r="AYG1" s="6"/>
      <c r="AYH1" s="6"/>
      <c r="AYI1" s="6"/>
      <c r="AYJ1" s="6"/>
      <c r="AYK1" s="6"/>
      <c r="AYL1" s="6"/>
      <c r="AYM1" s="6"/>
      <c r="AYN1" s="6"/>
      <c r="AYO1" s="6"/>
      <c r="AYP1" s="6"/>
      <c r="AYQ1" s="6"/>
      <c r="AYR1" s="6"/>
      <c r="AYS1" s="6"/>
      <c r="AYT1" s="6"/>
      <c r="AYU1" s="6"/>
      <c r="AYV1" s="6"/>
      <c r="AYW1" s="6"/>
      <c r="AYX1" s="6"/>
      <c r="AYY1" s="6"/>
      <c r="AYZ1" s="6"/>
      <c r="AZA1" s="6"/>
      <c r="AZB1" s="6"/>
      <c r="AZC1" s="6"/>
      <c r="AZD1" s="6"/>
      <c r="AZE1" s="6"/>
      <c r="AZF1" s="6"/>
      <c r="AZG1" s="6"/>
      <c r="AZH1" s="6"/>
      <c r="AZI1" s="6"/>
      <c r="AZJ1" s="6"/>
      <c r="AZK1" s="6"/>
      <c r="AZL1" s="6"/>
      <c r="AZM1" s="6"/>
      <c r="AZN1" s="6"/>
      <c r="AZO1" s="6"/>
      <c r="AZP1" s="6"/>
      <c r="AZQ1" s="6"/>
      <c r="AZR1" s="6"/>
      <c r="AZS1" s="6"/>
      <c r="AZT1" s="6"/>
      <c r="AZU1" s="6"/>
      <c r="AZV1" s="6"/>
      <c r="AZW1" s="6"/>
      <c r="AZX1" s="6"/>
      <c r="AZY1" s="6"/>
      <c r="AZZ1" s="6"/>
      <c r="BAA1" s="6"/>
      <c r="BAB1" s="6"/>
      <c r="BAC1" s="6"/>
      <c r="BAD1" s="6"/>
      <c r="BAE1" s="6"/>
      <c r="BAF1" s="6"/>
      <c r="BAG1" s="6"/>
      <c r="BAH1" s="6"/>
      <c r="BAI1" s="6"/>
      <c r="BAJ1" s="6"/>
      <c r="BAK1" s="6"/>
      <c r="BAL1" s="6"/>
      <c r="BAM1" s="6"/>
      <c r="BAN1" s="6"/>
      <c r="BAO1" s="6"/>
      <c r="BAP1" s="6"/>
      <c r="BAQ1" s="6"/>
      <c r="BAR1" s="6"/>
      <c r="BAS1" s="6"/>
      <c r="BAT1" s="6"/>
      <c r="BAU1" s="6"/>
      <c r="BAV1" s="6"/>
      <c r="BAW1" s="6"/>
      <c r="BAX1" s="6"/>
      <c r="BAY1" s="6"/>
      <c r="BAZ1" s="6"/>
      <c r="BBA1" s="6"/>
      <c r="BBB1" s="6"/>
      <c r="BBC1" s="6"/>
      <c r="BBD1" s="6"/>
      <c r="BBE1" s="6"/>
      <c r="BBF1" s="6"/>
      <c r="BBG1" s="6"/>
      <c r="BBH1" s="6"/>
      <c r="BBI1" s="6"/>
      <c r="BBJ1" s="6"/>
      <c r="BBK1" s="6"/>
      <c r="BBL1" s="6"/>
      <c r="BBM1" s="6"/>
      <c r="BBN1" s="6"/>
      <c r="BBO1" s="6"/>
      <c r="BBP1" s="6"/>
      <c r="BBQ1" s="6"/>
      <c r="BBR1" s="6"/>
      <c r="BBS1" s="6"/>
      <c r="BBT1" s="6"/>
      <c r="BBU1" s="6"/>
      <c r="BBV1" s="6"/>
      <c r="BBW1" s="6"/>
      <c r="BBX1" s="6"/>
      <c r="BBY1" s="6"/>
      <c r="BBZ1" s="6"/>
      <c r="BCA1" s="6"/>
      <c r="BCB1" s="6"/>
      <c r="BCC1" s="6"/>
      <c r="BCD1" s="6"/>
      <c r="BCE1" s="6"/>
      <c r="BCF1" s="6"/>
      <c r="BCG1" s="6"/>
      <c r="BCH1" s="6"/>
      <c r="BCI1" s="6"/>
      <c r="BCJ1" s="6"/>
      <c r="BCK1" s="6"/>
      <c r="BCL1" s="6"/>
      <c r="BCM1" s="6"/>
      <c r="BCN1" s="6"/>
      <c r="BCO1" s="6"/>
      <c r="BCP1" s="6"/>
      <c r="BCQ1" s="6"/>
      <c r="BCR1" s="6"/>
      <c r="BCS1" s="6"/>
      <c r="BCT1" s="6"/>
      <c r="BCU1" s="6"/>
      <c r="BCV1" s="6"/>
      <c r="BCW1" s="6"/>
      <c r="BCX1" s="6"/>
      <c r="BCY1" s="6"/>
      <c r="BCZ1" s="6"/>
      <c r="BDA1" s="6"/>
      <c r="BDB1" s="6"/>
      <c r="BDC1" s="6"/>
      <c r="BDD1" s="6"/>
      <c r="BDE1" s="6"/>
      <c r="BDF1" s="6"/>
      <c r="BDG1" s="6"/>
      <c r="BDH1" s="6"/>
      <c r="BDI1" s="6"/>
      <c r="BDJ1" s="6"/>
      <c r="BDK1" s="6"/>
      <c r="BDL1" s="6"/>
      <c r="BDM1" s="6"/>
      <c r="BDN1" s="6"/>
      <c r="BDO1" s="6"/>
      <c r="BDP1" s="6"/>
      <c r="BDQ1" s="6"/>
      <c r="BDR1" s="6"/>
      <c r="BDS1" s="6"/>
      <c r="BDT1" s="6"/>
      <c r="BDU1" s="6"/>
      <c r="BDV1" s="6"/>
      <c r="BDW1" s="6"/>
      <c r="BDX1" s="6"/>
      <c r="BDY1" s="6"/>
      <c r="BDZ1" s="6"/>
      <c r="BEA1" s="6"/>
      <c r="BEB1" s="6"/>
      <c r="BEC1" s="6"/>
      <c r="BED1" s="6"/>
      <c r="BEE1" s="6"/>
      <c r="BEF1" s="6"/>
      <c r="BEG1" s="6"/>
      <c r="BEH1" s="6"/>
      <c r="BEI1" s="6"/>
      <c r="BEJ1" s="6"/>
      <c r="BEK1" s="6"/>
      <c r="BEL1" s="6"/>
      <c r="BEM1" s="6"/>
      <c r="BEN1" s="6"/>
      <c r="BEO1" s="6"/>
      <c r="BEP1" s="6"/>
      <c r="BEQ1" s="6"/>
      <c r="BER1" s="6"/>
      <c r="BES1" s="6"/>
      <c r="BET1" s="6"/>
      <c r="BEU1" s="6"/>
      <c r="BEV1" s="6"/>
      <c r="BEW1" s="6"/>
      <c r="BEX1" s="6"/>
      <c r="BEY1" s="6"/>
      <c r="BEZ1" s="6"/>
      <c r="BFA1" s="6"/>
      <c r="BFB1" s="6"/>
      <c r="BFC1" s="6"/>
      <c r="BFD1" s="6"/>
      <c r="BFE1" s="6"/>
      <c r="BFF1" s="6"/>
      <c r="BFG1" s="6"/>
      <c r="BFH1" s="6"/>
      <c r="BFI1" s="6"/>
      <c r="BFJ1" s="6"/>
      <c r="BFK1" s="6"/>
      <c r="BFL1" s="6"/>
      <c r="BFM1" s="6"/>
      <c r="BFN1" s="6"/>
      <c r="BFO1" s="6"/>
      <c r="BFP1" s="6"/>
      <c r="BFQ1" s="6"/>
      <c r="BFR1" s="6"/>
      <c r="BFS1" s="6"/>
      <c r="BFT1" s="6"/>
      <c r="BFU1" s="6"/>
      <c r="BFV1" s="6"/>
      <c r="BFW1" s="6"/>
      <c r="BFX1" s="6"/>
      <c r="BFY1" s="6"/>
      <c r="BFZ1" s="6"/>
      <c r="BGA1" s="6"/>
      <c r="BGB1" s="6"/>
      <c r="BGC1" s="6"/>
      <c r="BGD1" s="6"/>
      <c r="BGE1" s="6"/>
      <c r="BGF1" s="6"/>
      <c r="BGG1" s="6"/>
      <c r="BGH1" s="6"/>
      <c r="BGI1" s="6"/>
      <c r="BGJ1" s="6"/>
      <c r="BGK1" s="6"/>
      <c r="BGL1" s="6"/>
      <c r="BGM1" s="6"/>
      <c r="BGN1" s="6"/>
      <c r="BGO1" s="6"/>
      <c r="BGP1" s="6"/>
      <c r="BGQ1" s="6"/>
      <c r="BGR1" s="6"/>
      <c r="BGS1" s="6"/>
      <c r="BGT1" s="6"/>
      <c r="BGU1" s="6"/>
      <c r="BGV1" s="6"/>
      <c r="BGW1" s="6"/>
      <c r="BGX1" s="6"/>
      <c r="BGY1" s="6"/>
      <c r="BGZ1" s="6"/>
      <c r="BHA1" s="6"/>
      <c r="BHB1" s="6"/>
      <c r="BHC1" s="6"/>
      <c r="BHD1" s="6"/>
      <c r="BHE1" s="6"/>
      <c r="BHF1" s="6"/>
      <c r="BHG1" s="6"/>
      <c r="BHH1" s="6"/>
      <c r="BHI1" s="6"/>
      <c r="BHJ1" s="6"/>
      <c r="BHK1" s="6"/>
      <c r="BHL1" s="6"/>
      <c r="BHM1" s="6"/>
      <c r="BHN1" s="6"/>
      <c r="BHO1" s="6"/>
      <c r="BHP1" s="6"/>
      <c r="BHQ1" s="6"/>
      <c r="BHR1" s="6"/>
      <c r="BHS1" s="6"/>
      <c r="BHT1" s="6"/>
      <c r="BHU1" s="6"/>
      <c r="BHV1" s="6"/>
      <c r="BHW1" s="6"/>
      <c r="BHX1" s="6"/>
      <c r="BHY1" s="6"/>
      <c r="BHZ1" s="6"/>
      <c r="BIA1" s="6"/>
      <c r="BIB1" s="6"/>
      <c r="BIC1" s="6"/>
      <c r="BID1" s="6"/>
      <c r="BIE1" s="6"/>
      <c r="BIF1" s="6"/>
      <c r="BIG1" s="6"/>
      <c r="BIH1" s="6"/>
      <c r="BII1" s="6"/>
      <c r="BIJ1" s="6"/>
      <c r="BIK1" s="6"/>
      <c r="BIL1" s="6"/>
      <c r="BIM1" s="6"/>
      <c r="BIN1" s="6"/>
      <c r="BIO1" s="6"/>
      <c r="BIP1" s="6"/>
      <c r="BIQ1" s="6"/>
      <c r="BIR1" s="6"/>
      <c r="BIS1" s="6"/>
      <c r="BIT1" s="6"/>
      <c r="BIU1" s="6"/>
      <c r="BIV1" s="6"/>
      <c r="BIW1" s="6"/>
      <c r="BIX1" s="6"/>
      <c r="BIY1" s="6"/>
      <c r="BIZ1" s="6"/>
      <c r="BJA1" s="6"/>
      <c r="BJB1" s="6"/>
      <c r="BJC1" s="6"/>
      <c r="BJD1" s="6"/>
      <c r="BJE1" s="6"/>
      <c r="BJF1" s="6"/>
      <c r="BJG1" s="6"/>
      <c r="BJH1" s="6"/>
      <c r="BJI1" s="6"/>
      <c r="BJJ1" s="6"/>
      <c r="BJK1" s="6"/>
      <c r="BJL1" s="6"/>
      <c r="BJM1" s="6"/>
      <c r="BJN1" s="6"/>
      <c r="BJO1" s="6"/>
      <c r="BJP1" s="6"/>
      <c r="BJQ1" s="6"/>
      <c r="BJR1" s="6"/>
      <c r="BJS1" s="6"/>
      <c r="BJT1" s="6"/>
      <c r="BJU1" s="6"/>
      <c r="BJV1" s="6"/>
      <c r="BJW1" s="6"/>
      <c r="BJX1" s="6"/>
      <c r="BJY1" s="6"/>
      <c r="BJZ1" s="6"/>
      <c r="BKA1" s="6"/>
      <c r="BKB1" s="6"/>
      <c r="BKC1" s="6"/>
      <c r="BKD1" s="6"/>
      <c r="BKE1" s="6"/>
      <c r="BKF1" s="6"/>
      <c r="BKG1" s="6"/>
      <c r="BKH1" s="6"/>
      <c r="BKI1" s="6"/>
      <c r="BKJ1" s="6"/>
      <c r="BKK1" s="6"/>
      <c r="BKL1" s="6"/>
      <c r="BKM1" s="6"/>
      <c r="BKN1" s="6"/>
      <c r="BKO1" s="6"/>
      <c r="BKP1" s="6"/>
      <c r="BKQ1" s="6"/>
      <c r="BKR1" s="6"/>
      <c r="BKS1" s="6"/>
      <c r="BKT1" s="6"/>
      <c r="BKU1" s="6"/>
      <c r="BKV1" s="6"/>
      <c r="BKW1" s="6"/>
      <c r="BKX1" s="6"/>
      <c r="BKY1" s="6"/>
      <c r="BKZ1" s="6"/>
      <c r="BLA1" s="6"/>
      <c r="BLB1" s="6"/>
      <c r="BLC1" s="6"/>
      <c r="BLD1" s="6"/>
      <c r="BLE1" s="6"/>
      <c r="BLF1" s="6"/>
      <c r="BLG1" s="6"/>
      <c r="BLH1" s="6"/>
      <c r="BLI1" s="6"/>
      <c r="BLJ1" s="6"/>
      <c r="BLK1" s="6"/>
      <c r="BLL1" s="6"/>
      <c r="BLM1" s="6"/>
      <c r="BLN1" s="6"/>
      <c r="BLO1" s="6"/>
      <c r="BLP1" s="6"/>
      <c r="BLQ1" s="6"/>
      <c r="BLR1" s="6"/>
      <c r="BLS1" s="6"/>
      <c r="BLT1" s="6"/>
      <c r="BLU1" s="6"/>
      <c r="BLV1" s="6"/>
      <c r="BLW1" s="6"/>
      <c r="BLX1" s="6"/>
      <c r="BLY1" s="6"/>
      <c r="BLZ1" s="6"/>
      <c r="BMA1" s="6"/>
      <c r="BMB1" s="6"/>
      <c r="BMC1" s="6"/>
      <c r="BMD1" s="6"/>
      <c r="BME1" s="6"/>
      <c r="BMF1" s="6"/>
      <c r="BMG1" s="6"/>
      <c r="BMH1" s="6"/>
      <c r="BMI1" s="6"/>
      <c r="BMJ1" s="6"/>
      <c r="BMK1" s="6"/>
      <c r="BML1" s="6"/>
      <c r="BMM1" s="6"/>
      <c r="BMN1" s="6"/>
      <c r="BMO1" s="6"/>
      <c r="BMP1" s="6"/>
      <c r="BMQ1" s="6"/>
      <c r="BMR1" s="6"/>
      <c r="BMS1" s="6"/>
      <c r="BMT1" s="6"/>
      <c r="BMU1" s="6"/>
      <c r="BMV1" s="6"/>
      <c r="BMW1" s="6"/>
      <c r="BMX1" s="6"/>
      <c r="BMY1" s="6"/>
      <c r="BMZ1" s="6"/>
      <c r="BNA1" s="6"/>
      <c r="BNB1" s="6"/>
      <c r="BNC1" s="6"/>
      <c r="BND1" s="6"/>
      <c r="BNE1" s="6"/>
      <c r="BNF1" s="6"/>
      <c r="BNG1" s="6"/>
      <c r="BNH1" s="6"/>
      <c r="BNI1" s="6"/>
      <c r="BNJ1" s="6"/>
      <c r="BNK1" s="6"/>
      <c r="BNL1" s="6"/>
      <c r="BNM1" s="6"/>
      <c r="BNN1" s="6"/>
      <c r="BNO1" s="6"/>
      <c r="BNP1" s="6"/>
      <c r="BNQ1" s="6"/>
      <c r="BNR1" s="6"/>
      <c r="BNS1" s="6"/>
      <c r="BNT1" s="6"/>
      <c r="BNU1" s="6"/>
      <c r="BNV1" s="6"/>
      <c r="BNW1" s="6"/>
      <c r="BNX1" s="6"/>
      <c r="BNY1" s="6"/>
      <c r="BNZ1" s="6"/>
      <c r="BOA1" s="6"/>
      <c r="BOB1" s="6"/>
      <c r="BOC1" s="6"/>
      <c r="BOD1" s="6"/>
      <c r="BOE1" s="6"/>
      <c r="BOF1" s="6"/>
      <c r="BOG1" s="6"/>
      <c r="BOH1" s="6"/>
      <c r="BOI1" s="6"/>
      <c r="BOJ1" s="6"/>
      <c r="BOK1" s="6"/>
      <c r="BOL1" s="6"/>
      <c r="BOM1" s="6"/>
      <c r="BON1" s="6"/>
      <c r="BOO1" s="6"/>
      <c r="BOP1" s="6"/>
      <c r="BOQ1" s="6"/>
      <c r="BOR1" s="6"/>
      <c r="BOS1" s="6"/>
      <c r="BOT1" s="6"/>
      <c r="BOU1" s="6"/>
      <c r="BOV1" s="6"/>
      <c r="BOW1" s="6"/>
      <c r="BOX1" s="6"/>
      <c r="BOY1" s="6"/>
      <c r="BOZ1" s="6"/>
      <c r="BPA1" s="6"/>
      <c r="BPB1" s="6"/>
      <c r="BPC1" s="6"/>
      <c r="BPD1" s="6"/>
      <c r="BPE1" s="6"/>
      <c r="BPF1" s="6"/>
      <c r="BPG1" s="6"/>
      <c r="BPH1" s="6"/>
      <c r="BPI1" s="6"/>
      <c r="BPJ1" s="6"/>
      <c r="BPK1" s="6"/>
      <c r="BPL1" s="6"/>
      <c r="BPM1" s="6"/>
      <c r="BPN1" s="6"/>
      <c r="BPO1" s="6"/>
      <c r="BPP1" s="6"/>
      <c r="BPQ1" s="6"/>
      <c r="BPR1" s="6"/>
      <c r="BPS1" s="6"/>
      <c r="BPT1" s="6"/>
      <c r="BPU1" s="6"/>
      <c r="BPV1" s="6"/>
      <c r="BPW1" s="6"/>
      <c r="BPX1" s="6"/>
      <c r="BPY1" s="6"/>
      <c r="BPZ1" s="6"/>
      <c r="BQA1" s="6"/>
      <c r="BQB1" s="6"/>
      <c r="BQC1" s="6"/>
      <c r="BQD1" s="6"/>
      <c r="BQE1" s="6"/>
      <c r="BQF1" s="6"/>
      <c r="BQG1" s="6"/>
      <c r="BQH1" s="6"/>
      <c r="BQI1" s="6"/>
      <c r="BQJ1" s="6"/>
      <c r="BQK1" s="6"/>
      <c r="BQL1" s="6"/>
      <c r="BQM1" s="6"/>
      <c r="BQN1" s="6"/>
      <c r="BQO1" s="6"/>
      <c r="BQP1" s="6"/>
      <c r="BQQ1" s="6"/>
      <c r="BQR1" s="6"/>
      <c r="BQS1" s="6"/>
      <c r="BQT1" s="6"/>
      <c r="BQU1" s="6"/>
      <c r="BQV1" s="6"/>
      <c r="BQW1" s="6"/>
      <c r="BQX1" s="6"/>
      <c r="BQY1" s="6"/>
      <c r="BQZ1" s="6"/>
      <c r="BRA1" s="6"/>
      <c r="BRB1" s="6"/>
      <c r="BRC1" s="6"/>
      <c r="BRD1" s="6"/>
      <c r="BRE1" s="6"/>
      <c r="BRF1" s="6"/>
      <c r="BRG1" s="6"/>
      <c r="BRH1" s="6"/>
      <c r="BRI1" s="6"/>
      <c r="BRJ1" s="6"/>
      <c r="BRK1" s="6"/>
      <c r="BRL1" s="6"/>
      <c r="BRM1" s="6"/>
      <c r="BRN1" s="6"/>
      <c r="BRO1" s="6"/>
      <c r="BRP1" s="6"/>
      <c r="BRQ1" s="6"/>
      <c r="BRR1" s="6"/>
      <c r="BRS1" s="6"/>
      <c r="BRT1" s="6"/>
      <c r="BRU1" s="6"/>
      <c r="BRV1" s="6"/>
      <c r="BRW1" s="6"/>
      <c r="BRX1" s="6"/>
      <c r="BRY1" s="6"/>
      <c r="BRZ1" s="6"/>
      <c r="BSA1" s="6"/>
      <c r="BSB1" s="6"/>
      <c r="BSC1" s="6"/>
      <c r="BSD1" s="6"/>
      <c r="BSE1" s="6"/>
      <c r="BSF1" s="6"/>
      <c r="BSG1" s="6"/>
      <c r="BSH1" s="6"/>
      <c r="BSI1" s="6"/>
      <c r="BSJ1" s="6"/>
      <c r="BSK1" s="6"/>
      <c r="BSL1" s="6"/>
      <c r="BSM1" s="6"/>
      <c r="BSN1" s="6"/>
      <c r="BSO1" s="6"/>
      <c r="BSP1" s="6"/>
      <c r="BSQ1" s="6"/>
      <c r="BSR1" s="6"/>
      <c r="BSS1" s="6"/>
      <c r="BST1" s="6"/>
      <c r="BSU1" s="6"/>
      <c r="BSV1" s="6"/>
      <c r="BSW1" s="6"/>
      <c r="BSX1" s="6"/>
      <c r="BSY1" s="6"/>
      <c r="BSZ1" s="6"/>
      <c r="BTA1" s="6"/>
      <c r="BTB1" s="6"/>
      <c r="BTC1" s="6"/>
      <c r="BTD1" s="6"/>
      <c r="BTE1" s="6"/>
      <c r="BTF1" s="6"/>
      <c r="BTG1" s="6"/>
      <c r="BTH1" s="6"/>
      <c r="BTI1" s="6"/>
      <c r="BTJ1" s="6"/>
      <c r="BTK1" s="6"/>
      <c r="BTL1" s="6"/>
      <c r="BTM1" s="6"/>
      <c r="BTN1" s="6"/>
      <c r="BTO1" s="6"/>
      <c r="BTP1" s="6"/>
      <c r="BTQ1" s="6"/>
      <c r="BTR1" s="6"/>
      <c r="BTS1" s="6"/>
      <c r="BTT1" s="6"/>
      <c r="BTU1" s="6"/>
      <c r="BTV1" s="6"/>
      <c r="BTW1" s="6"/>
      <c r="BTX1" s="6"/>
      <c r="BTY1" s="6"/>
      <c r="BTZ1" s="6"/>
      <c r="BUA1" s="6"/>
      <c r="BUB1" s="6"/>
      <c r="BUC1" s="6"/>
      <c r="BUD1" s="6"/>
      <c r="BUE1" s="6"/>
      <c r="BUF1" s="6"/>
      <c r="BUG1" s="6"/>
      <c r="BUH1" s="6"/>
      <c r="BUI1" s="6"/>
      <c r="BUJ1" s="6"/>
      <c r="BUK1" s="6"/>
      <c r="BUL1" s="6"/>
      <c r="BUM1" s="6"/>
      <c r="BUN1" s="6"/>
      <c r="BUO1" s="6"/>
      <c r="BUP1" s="6"/>
      <c r="BUQ1" s="6"/>
      <c r="BUR1" s="6"/>
      <c r="BUS1" s="6"/>
      <c r="BUT1" s="6"/>
      <c r="BUU1" s="6"/>
      <c r="BUV1" s="6"/>
      <c r="BUW1" s="6"/>
      <c r="BUX1" s="6"/>
      <c r="BUY1" s="6"/>
      <c r="BUZ1" s="6"/>
      <c r="BVA1" s="6"/>
      <c r="BVB1" s="6"/>
      <c r="BVC1" s="6"/>
      <c r="BVD1" s="6"/>
      <c r="BVE1" s="6"/>
      <c r="BVF1" s="6"/>
      <c r="BVG1" s="6"/>
      <c r="BVH1" s="6"/>
      <c r="BVI1" s="6"/>
      <c r="BVJ1" s="6"/>
      <c r="BVK1" s="6"/>
      <c r="BVL1" s="6"/>
      <c r="BVM1" s="6"/>
      <c r="BVN1" s="6"/>
      <c r="BVO1" s="6"/>
      <c r="BVP1" s="6"/>
      <c r="BVQ1" s="6"/>
      <c r="BVR1" s="6"/>
      <c r="BVS1" s="6"/>
      <c r="BVT1" s="6"/>
      <c r="BVU1" s="6"/>
      <c r="BVV1" s="6"/>
      <c r="BVW1" s="6"/>
      <c r="BVX1" s="6"/>
      <c r="BVY1" s="6"/>
      <c r="BVZ1" s="6"/>
      <c r="BWA1" s="6"/>
      <c r="BWB1" s="6"/>
      <c r="BWC1" s="6"/>
      <c r="BWD1" s="6"/>
      <c r="BWE1" s="6"/>
      <c r="BWF1" s="6"/>
      <c r="BWG1" s="6"/>
      <c r="BWH1" s="6"/>
      <c r="BWI1" s="6"/>
      <c r="BWJ1" s="6"/>
      <c r="BWK1" s="6"/>
      <c r="BWL1" s="6"/>
      <c r="BWM1" s="6"/>
      <c r="BWN1" s="6"/>
      <c r="BWO1" s="6"/>
      <c r="BWP1" s="6"/>
      <c r="BWQ1" s="6"/>
      <c r="BWR1" s="6"/>
      <c r="BWS1" s="6"/>
      <c r="BWT1" s="6"/>
      <c r="BWU1" s="6"/>
      <c r="BWV1" s="6"/>
      <c r="BWW1" s="6"/>
      <c r="BWX1" s="6"/>
      <c r="BWY1" s="6"/>
      <c r="BWZ1" s="6"/>
      <c r="BXA1" s="6"/>
      <c r="BXB1" s="6"/>
      <c r="BXC1" s="6"/>
      <c r="BXD1" s="6"/>
      <c r="BXE1" s="6"/>
      <c r="BXF1" s="6"/>
      <c r="BXG1" s="6"/>
      <c r="BXH1" s="6"/>
      <c r="BXI1" s="6"/>
      <c r="BXJ1" s="6"/>
      <c r="BXK1" s="6"/>
      <c r="BXL1" s="6"/>
      <c r="BXM1" s="6"/>
      <c r="BXN1" s="6"/>
      <c r="BXO1" s="6"/>
      <c r="BXP1" s="6"/>
      <c r="BXQ1" s="6"/>
      <c r="BXR1" s="6"/>
      <c r="BXS1" s="6"/>
      <c r="BXT1" s="6"/>
      <c r="BXU1" s="6"/>
      <c r="BXV1" s="6"/>
      <c r="BXW1" s="6"/>
      <c r="BXX1" s="6"/>
      <c r="BXY1" s="6"/>
      <c r="BXZ1" s="6"/>
      <c r="BYA1" s="6"/>
      <c r="BYB1" s="6"/>
      <c r="BYC1" s="6"/>
      <c r="BYD1" s="6"/>
      <c r="BYE1" s="6"/>
      <c r="BYF1" s="6"/>
      <c r="BYG1" s="6"/>
      <c r="BYH1" s="6"/>
      <c r="BYI1" s="6"/>
      <c r="BYJ1" s="6"/>
      <c r="BYK1" s="6"/>
      <c r="BYL1" s="6"/>
      <c r="BYM1" s="6"/>
      <c r="BYN1" s="6"/>
      <c r="BYO1" s="6"/>
      <c r="BYP1" s="6"/>
      <c r="BYQ1" s="6"/>
      <c r="BYR1" s="6"/>
      <c r="BYS1" s="6"/>
      <c r="BYT1" s="6"/>
      <c r="BYU1" s="6"/>
      <c r="BYV1" s="6"/>
      <c r="BYW1" s="6"/>
      <c r="BYX1" s="6"/>
      <c r="BYY1" s="6"/>
      <c r="BYZ1" s="6"/>
      <c r="BZA1" s="6"/>
      <c r="BZB1" s="6"/>
      <c r="BZC1" s="6"/>
      <c r="BZD1" s="6"/>
      <c r="BZE1" s="6"/>
      <c r="BZF1" s="6"/>
      <c r="BZG1" s="6"/>
      <c r="BZH1" s="6"/>
      <c r="BZI1" s="6"/>
      <c r="BZJ1" s="6"/>
      <c r="BZK1" s="6"/>
      <c r="BZL1" s="6"/>
      <c r="BZM1" s="6"/>
      <c r="BZN1" s="6"/>
      <c r="BZO1" s="6"/>
      <c r="BZP1" s="6"/>
      <c r="BZQ1" s="6"/>
      <c r="BZR1" s="6"/>
      <c r="BZS1" s="6"/>
      <c r="BZT1" s="6"/>
      <c r="BZU1" s="6"/>
      <c r="BZV1" s="6"/>
      <c r="BZW1" s="6"/>
      <c r="BZX1" s="6"/>
      <c r="BZY1" s="6"/>
      <c r="BZZ1" s="6"/>
      <c r="CAA1" s="6"/>
      <c r="CAB1" s="6"/>
      <c r="CAC1" s="6"/>
      <c r="CAD1" s="6"/>
      <c r="CAE1" s="6"/>
      <c r="CAF1" s="6"/>
      <c r="CAG1" s="6"/>
      <c r="CAH1" s="6"/>
      <c r="CAI1" s="6"/>
      <c r="CAJ1" s="6"/>
      <c r="CAK1" s="6"/>
      <c r="CAL1" s="6"/>
      <c r="CAM1" s="6"/>
      <c r="CAN1" s="6"/>
      <c r="CAO1" s="6"/>
      <c r="CAP1" s="6"/>
      <c r="CAQ1" s="6"/>
      <c r="CAR1" s="6"/>
      <c r="CAS1" s="6"/>
      <c r="CAT1" s="6"/>
      <c r="CAU1" s="6"/>
      <c r="CAV1" s="6"/>
      <c r="CAW1" s="6"/>
      <c r="CAX1" s="6"/>
      <c r="CAY1" s="6"/>
      <c r="CAZ1" s="6"/>
      <c r="CBA1" s="6"/>
      <c r="CBB1" s="6"/>
      <c r="CBC1" s="6"/>
      <c r="CBD1" s="6"/>
      <c r="CBE1" s="6"/>
      <c r="CBF1" s="6"/>
      <c r="CBG1" s="6"/>
      <c r="CBH1" s="6"/>
      <c r="CBI1" s="6"/>
      <c r="CBJ1" s="6"/>
      <c r="CBK1" s="6"/>
      <c r="CBL1" s="6"/>
      <c r="CBM1" s="6"/>
      <c r="CBN1" s="6"/>
      <c r="CBO1" s="6"/>
      <c r="CBP1" s="6"/>
      <c r="CBQ1" s="6"/>
      <c r="CBR1" s="6"/>
      <c r="CBS1" s="6"/>
      <c r="CBT1" s="6"/>
      <c r="CBU1" s="6"/>
      <c r="CBV1" s="6"/>
      <c r="CBW1" s="6"/>
      <c r="CBX1" s="6"/>
      <c r="CBY1" s="6"/>
      <c r="CBZ1" s="6"/>
      <c r="CCA1" s="6"/>
      <c r="CCB1" s="6"/>
      <c r="CCC1" s="6"/>
      <c r="CCD1" s="6"/>
      <c r="CCE1" s="6"/>
      <c r="CCF1" s="6"/>
      <c r="CCG1" s="6"/>
      <c r="CCH1" s="6"/>
      <c r="CCI1" s="6"/>
      <c r="CCJ1" s="6"/>
      <c r="CCK1" s="6"/>
      <c r="CCL1" s="6"/>
      <c r="CCM1" s="6"/>
      <c r="CCN1" s="6"/>
      <c r="CCO1" s="6"/>
      <c r="CCP1" s="6"/>
      <c r="CCQ1" s="6"/>
      <c r="CCR1" s="6"/>
      <c r="CCS1" s="6"/>
      <c r="CCT1" s="6"/>
      <c r="CCU1" s="6"/>
      <c r="CCV1" s="6"/>
      <c r="CCW1" s="6"/>
      <c r="CCX1" s="6"/>
      <c r="CCY1" s="6"/>
      <c r="CCZ1" s="6"/>
      <c r="CDA1" s="6"/>
      <c r="CDB1" s="6"/>
      <c r="CDC1" s="6"/>
      <c r="CDD1" s="6"/>
      <c r="CDE1" s="6"/>
      <c r="CDF1" s="6"/>
      <c r="CDG1" s="6"/>
      <c r="CDH1" s="6"/>
      <c r="CDI1" s="6"/>
      <c r="CDJ1" s="6"/>
      <c r="CDK1" s="6"/>
      <c r="CDL1" s="6"/>
      <c r="CDM1" s="6"/>
      <c r="CDN1" s="6"/>
      <c r="CDO1" s="6"/>
      <c r="CDP1" s="6"/>
      <c r="CDQ1" s="6"/>
      <c r="CDR1" s="6"/>
      <c r="CDS1" s="6"/>
      <c r="CDT1" s="6"/>
      <c r="CDU1" s="6"/>
      <c r="CDV1" s="6"/>
      <c r="CDW1" s="6"/>
      <c r="CDX1" s="6"/>
      <c r="CDY1" s="6"/>
      <c r="CDZ1" s="6"/>
      <c r="CEA1" s="6"/>
      <c r="CEB1" s="6"/>
      <c r="CEC1" s="6"/>
      <c r="CED1" s="6"/>
      <c r="CEE1" s="6"/>
      <c r="CEF1" s="6"/>
      <c r="CEG1" s="6"/>
      <c r="CEH1" s="6"/>
      <c r="CEI1" s="6"/>
      <c r="CEJ1" s="6"/>
      <c r="CEK1" s="6"/>
      <c r="CEL1" s="6"/>
      <c r="CEM1" s="6"/>
      <c r="CEN1" s="6"/>
      <c r="CEO1" s="6"/>
      <c r="CEP1" s="6"/>
      <c r="CEQ1" s="6"/>
      <c r="CER1" s="6"/>
      <c r="CES1" s="6"/>
      <c r="CET1" s="6"/>
      <c r="CEU1" s="6"/>
      <c r="CEV1" s="6"/>
      <c r="CEW1" s="6"/>
      <c r="CEX1" s="6"/>
      <c r="CEY1" s="6"/>
      <c r="CEZ1" s="6"/>
      <c r="CFA1" s="6"/>
      <c r="CFB1" s="6"/>
      <c r="CFC1" s="6"/>
      <c r="CFD1" s="6"/>
      <c r="CFE1" s="6"/>
      <c r="CFF1" s="6"/>
      <c r="CFG1" s="6"/>
      <c r="CFH1" s="6"/>
      <c r="CFI1" s="6"/>
      <c r="CFJ1" s="6"/>
      <c r="CFK1" s="6"/>
      <c r="CFL1" s="6"/>
      <c r="CFM1" s="6"/>
      <c r="CFN1" s="6"/>
      <c r="CFO1" s="6"/>
      <c r="CFP1" s="6"/>
      <c r="CFQ1" s="6"/>
      <c r="CFR1" s="6"/>
      <c r="CFS1" s="6"/>
      <c r="CFT1" s="6"/>
      <c r="CFU1" s="6"/>
      <c r="CFV1" s="6"/>
      <c r="CFW1" s="6"/>
      <c r="CFX1" s="6"/>
      <c r="CFY1" s="6"/>
      <c r="CFZ1" s="6"/>
      <c r="CGA1" s="6"/>
      <c r="CGB1" s="6"/>
      <c r="CGC1" s="6"/>
      <c r="CGD1" s="6"/>
      <c r="CGE1" s="6"/>
      <c r="CGF1" s="6"/>
      <c r="CGG1" s="6"/>
      <c r="CGH1" s="6"/>
      <c r="CGI1" s="6"/>
      <c r="CGJ1" s="6"/>
      <c r="CGK1" s="6"/>
      <c r="CGL1" s="6"/>
      <c r="CGM1" s="6"/>
      <c r="CGN1" s="6"/>
      <c r="CGO1" s="6"/>
      <c r="CGP1" s="6"/>
      <c r="CGQ1" s="6"/>
      <c r="CGR1" s="6"/>
      <c r="CGS1" s="6"/>
      <c r="CGT1" s="6"/>
      <c r="CGU1" s="6"/>
      <c r="CGV1" s="6"/>
      <c r="CGW1" s="6"/>
      <c r="CGX1" s="6"/>
      <c r="CGY1" s="6"/>
      <c r="CGZ1" s="6"/>
      <c r="CHA1" s="6"/>
      <c r="CHB1" s="6"/>
      <c r="CHC1" s="6"/>
      <c r="CHD1" s="6"/>
      <c r="CHE1" s="6"/>
      <c r="CHF1" s="6"/>
      <c r="CHG1" s="6"/>
      <c r="CHH1" s="6"/>
      <c r="CHI1" s="6"/>
      <c r="CHJ1" s="6"/>
      <c r="CHK1" s="6"/>
      <c r="CHL1" s="6"/>
      <c r="CHM1" s="6"/>
      <c r="CHN1" s="6"/>
      <c r="CHO1" s="6"/>
      <c r="CHP1" s="6"/>
      <c r="CHQ1" s="6"/>
      <c r="CHR1" s="6"/>
      <c r="CHS1" s="6"/>
      <c r="CHT1" s="6"/>
      <c r="CHU1" s="6"/>
      <c r="CHV1" s="6"/>
      <c r="CHW1" s="6"/>
      <c r="CHX1" s="6"/>
      <c r="CHY1" s="6"/>
      <c r="CHZ1" s="6"/>
      <c r="CIA1" s="6"/>
      <c r="CIB1" s="6"/>
      <c r="CIC1" s="6"/>
      <c r="CID1" s="6"/>
      <c r="CIE1" s="6"/>
      <c r="CIF1" s="6"/>
      <c r="CIG1" s="6"/>
      <c r="CIH1" s="6"/>
      <c r="CII1" s="6"/>
      <c r="CIJ1" s="6"/>
      <c r="CIK1" s="6"/>
      <c r="CIL1" s="6"/>
      <c r="CIM1" s="6"/>
      <c r="CIN1" s="6"/>
      <c r="CIO1" s="6"/>
      <c r="CIP1" s="6"/>
      <c r="CIQ1" s="6"/>
      <c r="CIR1" s="6"/>
      <c r="CIS1" s="6"/>
      <c r="CIT1" s="6"/>
      <c r="CIU1" s="6"/>
      <c r="CIV1" s="6"/>
      <c r="CIW1" s="6"/>
      <c r="CIX1" s="6"/>
      <c r="CIY1" s="6"/>
      <c r="CIZ1" s="6"/>
      <c r="CJA1" s="6"/>
      <c r="CJB1" s="6"/>
      <c r="CJC1" s="6"/>
      <c r="CJD1" s="6"/>
      <c r="CJE1" s="6"/>
      <c r="CJF1" s="6"/>
      <c r="CJG1" s="6"/>
      <c r="CJH1" s="6"/>
      <c r="CJI1" s="6"/>
      <c r="CJJ1" s="6"/>
      <c r="CJK1" s="6"/>
      <c r="CJL1" s="6"/>
      <c r="CJM1" s="6"/>
      <c r="CJN1" s="6"/>
      <c r="CJO1" s="6"/>
      <c r="CJP1" s="6"/>
      <c r="CJQ1" s="6"/>
      <c r="CJR1" s="6"/>
      <c r="CJS1" s="6"/>
      <c r="CJT1" s="6"/>
      <c r="CJU1" s="6"/>
      <c r="CJV1" s="6"/>
      <c r="CJW1" s="6"/>
      <c r="CJX1" s="6"/>
      <c r="CJY1" s="6"/>
      <c r="CJZ1" s="6"/>
      <c r="CKA1" s="6"/>
      <c r="CKB1" s="6"/>
      <c r="CKC1" s="6"/>
      <c r="CKD1" s="6"/>
      <c r="CKE1" s="6"/>
      <c r="CKF1" s="6"/>
      <c r="CKG1" s="6"/>
      <c r="CKH1" s="6"/>
      <c r="CKI1" s="6"/>
      <c r="CKJ1" s="6"/>
      <c r="CKK1" s="6"/>
      <c r="CKL1" s="6"/>
      <c r="CKM1" s="6"/>
      <c r="CKN1" s="6"/>
      <c r="CKO1" s="6"/>
      <c r="CKP1" s="6"/>
      <c r="CKQ1" s="6"/>
      <c r="CKR1" s="6"/>
      <c r="CKS1" s="6"/>
      <c r="CKT1" s="6"/>
      <c r="CKU1" s="6"/>
      <c r="CKV1" s="6"/>
      <c r="CKW1" s="6"/>
      <c r="CKX1" s="6"/>
      <c r="CKY1" s="6"/>
      <c r="CKZ1" s="6"/>
      <c r="CLA1" s="6"/>
      <c r="CLB1" s="6"/>
      <c r="CLC1" s="6"/>
      <c r="CLD1" s="6"/>
      <c r="CLE1" s="6"/>
      <c r="CLF1" s="6"/>
      <c r="CLG1" s="6"/>
      <c r="CLH1" s="6"/>
      <c r="CLI1" s="6"/>
      <c r="CLJ1" s="6"/>
      <c r="CLK1" s="6"/>
      <c r="CLL1" s="6"/>
      <c r="CLM1" s="6"/>
      <c r="CLN1" s="6"/>
      <c r="CLO1" s="6"/>
      <c r="CLP1" s="6"/>
      <c r="CLQ1" s="6"/>
      <c r="CLR1" s="6"/>
      <c r="CLS1" s="6"/>
      <c r="CLT1" s="6"/>
      <c r="CLU1" s="6"/>
      <c r="CLV1" s="6"/>
      <c r="CLW1" s="6"/>
      <c r="CLX1" s="6"/>
      <c r="CLY1" s="6"/>
      <c r="CLZ1" s="6"/>
      <c r="CMA1" s="6"/>
      <c r="CMB1" s="6"/>
      <c r="CMC1" s="6"/>
      <c r="CMD1" s="6"/>
      <c r="CME1" s="6"/>
      <c r="CMF1" s="6"/>
      <c r="CMG1" s="6"/>
      <c r="CMH1" s="6"/>
      <c r="CMI1" s="6"/>
      <c r="CMJ1" s="6"/>
      <c r="CMK1" s="6"/>
      <c r="CML1" s="6"/>
      <c r="CMM1" s="6"/>
      <c r="CMN1" s="6"/>
      <c r="CMO1" s="6"/>
      <c r="CMP1" s="6"/>
      <c r="CMQ1" s="6"/>
      <c r="CMR1" s="6"/>
      <c r="CMS1" s="6"/>
      <c r="CMT1" s="6"/>
      <c r="CMU1" s="6"/>
      <c r="CMV1" s="6"/>
      <c r="CMW1" s="6"/>
      <c r="CMX1" s="6"/>
      <c r="CMY1" s="6"/>
      <c r="CMZ1" s="6"/>
      <c r="CNA1" s="6"/>
      <c r="CNB1" s="6"/>
      <c r="CNC1" s="6"/>
      <c r="CND1" s="6"/>
      <c r="CNE1" s="6"/>
      <c r="CNF1" s="6"/>
      <c r="CNG1" s="6"/>
      <c r="CNH1" s="6"/>
      <c r="CNI1" s="6"/>
      <c r="CNJ1" s="6"/>
      <c r="CNK1" s="6"/>
      <c r="CNL1" s="6"/>
      <c r="CNM1" s="6"/>
      <c r="CNN1" s="6"/>
      <c r="CNO1" s="6"/>
      <c r="CNP1" s="6"/>
      <c r="CNQ1" s="6"/>
      <c r="CNR1" s="6"/>
      <c r="CNS1" s="6"/>
      <c r="CNT1" s="6"/>
      <c r="CNU1" s="6"/>
      <c r="CNV1" s="6"/>
      <c r="CNW1" s="6"/>
      <c r="CNX1" s="6"/>
      <c r="CNY1" s="6"/>
      <c r="CNZ1" s="6"/>
      <c r="COA1" s="6"/>
      <c r="COB1" s="6"/>
      <c r="COC1" s="6"/>
      <c r="COD1" s="6"/>
      <c r="COE1" s="6"/>
      <c r="COF1" s="6"/>
      <c r="COG1" s="6"/>
      <c r="COH1" s="6"/>
      <c r="COI1" s="6"/>
      <c r="COJ1" s="6"/>
      <c r="COK1" s="6"/>
      <c r="COL1" s="6"/>
      <c r="COM1" s="6"/>
      <c r="CON1" s="6"/>
      <c r="COO1" s="6"/>
      <c r="COP1" s="6"/>
      <c r="COQ1" s="6"/>
      <c r="COR1" s="6"/>
      <c r="COS1" s="6"/>
      <c r="COT1" s="6"/>
      <c r="COU1" s="6"/>
      <c r="COV1" s="6"/>
      <c r="COW1" s="6"/>
      <c r="COX1" s="6"/>
      <c r="COY1" s="6"/>
      <c r="COZ1" s="6"/>
      <c r="CPA1" s="6"/>
      <c r="CPB1" s="6"/>
      <c r="CPC1" s="6"/>
      <c r="CPD1" s="6"/>
      <c r="CPE1" s="6"/>
      <c r="CPF1" s="6"/>
      <c r="CPG1" s="6"/>
      <c r="CPH1" s="6"/>
      <c r="CPI1" s="6"/>
      <c r="CPJ1" s="6"/>
      <c r="CPK1" s="6"/>
      <c r="CPL1" s="6"/>
      <c r="CPM1" s="6"/>
      <c r="CPN1" s="6"/>
      <c r="CPO1" s="6"/>
      <c r="CPP1" s="6"/>
      <c r="CPQ1" s="6"/>
      <c r="CPR1" s="6"/>
      <c r="CPS1" s="6"/>
      <c r="CPT1" s="6"/>
      <c r="CPU1" s="6"/>
      <c r="CPV1" s="6"/>
      <c r="CPW1" s="6"/>
      <c r="CPX1" s="6"/>
      <c r="CPY1" s="6"/>
      <c r="CPZ1" s="6"/>
      <c r="CQA1" s="6"/>
      <c r="CQB1" s="6"/>
      <c r="CQC1" s="6"/>
      <c r="CQD1" s="6"/>
      <c r="CQE1" s="6"/>
      <c r="CQF1" s="6"/>
      <c r="CQG1" s="6"/>
      <c r="CQH1" s="6"/>
      <c r="CQI1" s="6"/>
      <c r="CQJ1" s="6"/>
      <c r="CQK1" s="6"/>
      <c r="CQL1" s="6"/>
      <c r="CQM1" s="6"/>
      <c r="CQN1" s="6"/>
      <c r="CQO1" s="6"/>
      <c r="CQP1" s="6"/>
      <c r="CQQ1" s="6"/>
      <c r="CQR1" s="6"/>
      <c r="CQS1" s="6"/>
      <c r="CQT1" s="6"/>
      <c r="CQU1" s="6"/>
      <c r="CQV1" s="6"/>
      <c r="CQW1" s="6"/>
      <c r="CQX1" s="6"/>
      <c r="CQY1" s="6"/>
      <c r="CQZ1" s="6"/>
      <c r="CRA1" s="6"/>
      <c r="CRB1" s="6"/>
      <c r="CRC1" s="6"/>
      <c r="CRD1" s="6"/>
      <c r="CRE1" s="6"/>
      <c r="CRF1" s="6"/>
      <c r="CRG1" s="6"/>
      <c r="CRH1" s="6"/>
      <c r="CRI1" s="6"/>
      <c r="CRJ1" s="6"/>
      <c r="CRK1" s="6"/>
      <c r="CRL1" s="6"/>
      <c r="CRM1" s="6"/>
      <c r="CRN1" s="6"/>
      <c r="CRO1" s="6"/>
      <c r="CRP1" s="6"/>
      <c r="CRQ1" s="6"/>
      <c r="CRR1" s="6"/>
      <c r="CRS1" s="6"/>
      <c r="CRT1" s="6"/>
      <c r="CRU1" s="6"/>
      <c r="CRV1" s="6"/>
      <c r="CRW1" s="6"/>
      <c r="CRX1" s="6"/>
      <c r="CRY1" s="6"/>
      <c r="CRZ1" s="6"/>
      <c r="CSA1" s="6"/>
      <c r="CSB1" s="6"/>
      <c r="CSC1" s="6"/>
      <c r="CSD1" s="6"/>
      <c r="CSE1" s="6"/>
      <c r="CSF1" s="6"/>
      <c r="CSG1" s="6"/>
      <c r="CSH1" s="6"/>
      <c r="CSI1" s="6"/>
      <c r="CSJ1" s="6"/>
      <c r="CSK1" s="6"/>
      <c r="CSL1" s="6"/>
      <c r="CSM1" s="6"/>
      <c r="CSN1" s="6"/>
      <c r="CSO1" s="6"/>
      <c r="CSP1" s="6"/>
      <c r="CSQ1" s="6"/>
      <c r="CSR1" s="6"/>
      <c r="CSS1" s="6"/>
      <c r="CST1" s="6"/>
      <c r="CSU1" s="6"/>
      <c r="CSV1" s="6"/>
      <c r="CSW1" s="6"/>
      <c r="CSX1" s="6"/>
      <c r="CSY1" s="6"/>
      <c r="CSZ1" s="6"/>
      <c r="CTA1" s="6"/>
      <c r="CTB1" s="6"/>
      <c r="CTC1" s="6"/>
      <c r="CTD1" s="6"/>
      <c r="CTE1" s="6"/>
      <c r="CTF1" s="6"/>
      <c r="CTG1" s="6"/>
      <c r="CTH1" s="6"/>
      <c r="CTI1" s="6"/>
      <c r="CTJ1" s="6"/>
      <c r="CTK1" s="6"/>
      <c r="CTL1" s="6"/>
      <c r="CTM1" s="6"/>
      <c r="CTN1" s="6"/>
      <c r="CTO1" s="6"/>
      <c r="CTP1" s="6"/>
      <c r="CTQ1" s="6"/>
      <c r="CTR1" s="6"/>
      <c r="CTS1" s="6"/>
      <c r="CTT1" s="6"/>
      <c r="CTU1" s="6"/>
      <c r="CTV1" s="6"/>
      <c r="CTW1" s="6"/>
      <c r="CTX1" s="6"/>
      <c r="CTY1" s="6"/>
      <c r="CTZ1" s="6"/>
      <c r="CUA1" s="6"/>
      <c r="CUB1" s="6"/>
      <c r="CUC1" s="6"/>
      <c r="CUD1" s="6"/>
      <c r="CUE1" s="6"/>
      <c r="CUF1" s="6"/>
      <c r="CUG1" s="6"/>
      <c r="CUH1" s="6"/>
      <c r="CUI1" s="6"/>
      <c r="CUJ1" s="6"/>
      <c r="CUK1" s="6"/>
      <c r="CUL1" s="6"/>
      <c r="CUM1" s="6"/>
      <c r="CUN1" s="6"/>
      <c r="CUO1" s="6"/>
      <c r="CUP1" s="6"/>
      <c r="CUQ1" s="6"/>
      <c r="CUR1" s="6"/>
      <c r="CUS1" s="6"/>
      <c r="CUT1" s="6"/>
      <c r="CUU1" s="6"/>
      <c r="CUV1" s="6"/>
      <c r="CUW1" s="6"/>
      <c r="CUX1" s="6"/>
      <c r="CUY1" s="6"/>
      <c r="CUZ1" s="6"/>
      <c r="CVA1" s="6"/>
      <c r="CVB1" s="6"/>
      <c r="CVC1" s="6"/>
      <c r="CVD1" s="6"/>
      <c r="CVE1" s="6"/>
      <c r="CVF1" s="6"/>
      <c r="CVG1" s="6"/>
      <c r="CVH1" s="6"/>
      <c r="CVI1" s="6"/>
      <c r="CVJ1" s="6"/>
      <c r="CVK1" s="6"/>
      <c r="CVL1" s="6"/>
      <c r="CVM1" s="6"/>
      <c r="CVN1" s="6"/>
      <c r="CVO1" s="6"/>
      <c r="CVP1" s="6"/>
      <c r="CVQ1" s="6"/>
      <c r="CVR1" s="6"/>
      <c r="CVS1" s="6"/>
      <c r="CVT1" s="6"/>
      <c r="CVU1" s="6"/>
      <c r="CVV1" s="6"/>
      <c r="CVW1" s="6"/>
      <c r="CVX1" s="6"/>
      <c r="CVY1" s="6"/>
      <c r="CVZ1" s="6"/>
      <c r="CWA1" s="6"/>
      <c r="CWB1" s="6"/>
      <c r="CWC1" s="6"/>
      <c r="CWD1" s="6"/>
      <c r="CWE1" s="6"/>
      <c r="CWF1" s="6"/>
      <c r="CWG1" s="6"/>
      <c r="CWH1" s="6"/>
      <c r="CWI1" s="6"/>
      <c r="CWJ1" s="6"/>
      <c r="CWK1" s="6"/>
      <c r="CWL1" s="6"/>
      <c r="CWM1" s="6"/>
      <c r="CWN1" s="6"/>
      <c r="CWO1" s="6"/>
      <c r="CWP1" s="6"/>
      <c r="CWQ1" s="6"/>
      <c r="CWR1" s="6"/>
      <c r="CWS1" s="6"/>
      <c r="CWT1" s="6"/>
      <c r="CWU1" s="6"/>
      <c r="CWV1" s="6"/>
      <c r="CWW1" s="6"/>
      <c r="CWX1" s="6"/>
      <c r="CWY1" s="6"/>
      <c r="CWZ1" s="6"/>
      <c r="CXA1" s="6"/>
      <c r="CXB1" s="6"/>
      <c r="CXC1" s="6"/>
      <c r="CXD1" s="6"/>
      <c r="CXE1" s="6"/>
      <c r="CXF1" s="6"/>
      <c r="CXG1" s="6"/>
      <c r="CXH1" s="6"/>
      <c r="CXI1" s="6"/>
      <c r="CXJ1" s="6"/>
      <c r="CXK1" s="6"/>
      <c r="CXL1" s="6"/>
      <c r="CXM1" s="6"/>
      <c r="CXN1" s="6"/>
      <c r="CXO1" s="6"/>
      <c r="CXP1" s="6"/>
      <c r="CXQ1" s="6"/>
      <c r="CXR1" s="6"/>
      <c r="CXS1" s="6"/>
      <c r="CXT1" s="6"/>
      <c r="CXU1" s="6"/>
      <c r="CXV1" s="6"/>
      <c r="CXW1" s="6"/>
      <c r="CXX1" s="6"/>
      <c r="CXY1" s="6"/>
      <c r="CXZ1" s="6"/>
      <c r="CYA1" s="6"/>
      <c r="CYB1" s="6"/>
      <c r="CYC1" s="6"/>
      <c r="CYD1" s="6"/>
      <c r="CYE1" s="6"/>
      <c r="CYF1" s="6"/>
      <c r="CYG1" s="6"/>
      <c r="CYH1" s="6"/>
      <c r="CYI1" s="6"/>
      <c r="CYJ1" s="6"/>
      <c r="CYK1" s="6"/>
      <c r="CYL1" s="6"/>
      <c r="CYM1" s="6"/>
      <c r="CYN1" s="6"/>
      <c r="CYO1" s="6"/>
      <c r="CYP1" s="6"/>
      <c r="CYQ1" s="6"/>
      <c r="CYR1" s="6"/>
      <c r="CYS1" s="6"/>
      <c r="CYT1" s="6"/>
      <c r="CYU1" s="6"/>
      <c r="CYV1" s="6"/>
      <c r="CYW1" s="6"/>
      <c r="CYX1" s="6"/>
      <c r="CYY1" s="6"/>
      <c r="CYZ1" s="6"/>
      <c r="CZA1" s="6"/>
      <c r="CZB1" s="6"/>
      <c r="CZC1" s="6"/>
      <c r="CZD1" s="6"/>
      <c r="CZE1" s="6"/>
      <c r="CZF1" s="6"/>
      <c r="CZG1" s="6"/>
      <c r="CZH1" s="6"/>
      <c r="CZI1" s="6"/>
      <c r="CZJ1" s="6"/>
      <c r="CZK1" s="6"/>
      <c r="CZL1" s="6"/>
      <c r="CZM1" s="6"/>
      <c r="CZN1" s="6"/>
      <c r="CZO1" s="6"/>
      <c r="CZP1" s="6"/>
      <c r="CZQ1" s="6"/>
      <c r="CZR1" s="6"/>
      <c r="CZS1" s="6"/>
      <c r="CZT1" s="6"/>
      <c r="CZU1" s="6"/>
      <c r="CZV1" s="6"/>
      <c r="CZW1" s="6"/>
      <c r="CZX1" s="6"/>
      <c r="CZY1" s="6"/>
      <c r="CZZ1" s="6"/>
      <c r="DAA1" s="6"/>
      <c r="DAB1" s="6"/>
      <c r="DAC1" s="6"/>
      <c r="DAD1" s="6"/>
      <c r="DAE1" s="6"/>
      <c r="DAF1" s="6"/>
      <c r="DAG1" s="6"/>
      <c r="DAH1" s="6"/>
      <c r="DAI1" s="6"/>
      <c r="DAJ1" s="6"/>
      <c r="DAK1" s="6"/>
      <c r="DAL1" s="6"/>
      <c r="DAM1" s="6"/>
      <c r="DAN1" s="6"/>
      <c r="DAO1" s="6"/>
      <c r="DAP1" s="6"/>
      <c r="DAQ1" s="6"/>
      <c r="DAR1" s="6"/>
      <c r="DAS1" s="6"/>
      <c r="DAT1" s="6"/>
      <c r="DAU1" s="6"/>
      <c r="DAV1" s="6"/>
      <c r="DAW1" s="6"/>
      <c r="DAX1" s="6"/>
      <c r="DAY1" s="6"/>
      <c r="DAZ1" s="6"/>
      <c r="DBA1" s="6"/>
      <c r="DBB1" s="6"/>
      <c r="DBC1" s="6"/>
      <c r="DBD1" s="6"/>
      <c r="DBE1" s="6"/>
      <c r="DBF1" s="6"/>
      <c r="DBG1" s="6"/>
      <c r="DBH1" s="6"/>
      <c r="DBI1" s="6"/>
      <c r="DBJ1" s="6"/>
      <c r="DBK1" s="6"/>
      <c r="DBL1" s="6"/>
      <c r="DBM1" s="6"/>
      <c r="DBN1" s="6"/>
      <c r="DBO1" s="6"/>
      <c r="DBP1" s="6"/>
      <c r="DBQ1" s="6"/>
      <c r="DBR1" s="6"/>
      <c r="DBS1" s="6"/>
      <c r="DBT1" s="6"/>
      <c r="DBU1" s="6"/>
      <c r="DBV1" s="6"/>
      <c r="DBW1" s="6"/>
      <c r="DBX1" s="6"/>
      <c r="DBY1" s="6"/>
      <c r="DBZ1" s="6"/>
      <c r="DCA1" s="6"/>
      <c r="DCB1" s="6"/>
      <c r="DCC1" s="6"/>
      <c r="DCD1" s="6"/>
      <c r="DCE1" s="6"/>
      <c r="DCF1" s="6"/>
      <c r="DCG1" s="6"/>
      <c r="DCH1" s="6"/>
      <c r="DCI1" s="6"/>
      <c r="DCJ1" s="6"/>
      <c r="DCK1" s="6"/>
      <c r="DCL1" s="6"/>
      <c r="DCM1" s="6"/>
      <c r="DCN1" s="6"/>
      <c r="DCO1" s="6"/>
      <c r="DCP1" s="6"/>
      <c r="DCQ1" s="6"/>
      <c r="DCR1" s="6"/>
      <c r="DCS1" s="6"/>
      <c r="DCT1" s="6"/>
      <c r="DCU1" s="6"/>
      <c r="DCV1" s="6"/>
      <c r="DCW1" s="6"/>
      <c r="DCX1" s="6"/>
      <c r="DCY1" s="6"/>
      <c r="DCZ1" s="6"/>
      <c r="DDA1" s="6"/>
      <c r="DDB1" s="6"/>
      <c r="DDC1" s="6"/>
      <c r="DDD1" s="6"/>
      <c r="DDE1" s="6"/>
      <c r="DDF1" s="6"/>
      <c r="DDG1" s="6"/>
      <c r="DDH1" s="6"/>
      <c r="DDI1" s="6"/>
      <c r="DDJ1" s="6"/>
      <c r="DDK1" s="6"/>
      <c r="DDL1" s="6"/>
      <c r="DDM1" s="6"/>
      <c r="DDN1" s="6"/>
      <c r="DDO1" s="6"/>
      <c r="DDP1" s="6"/>
      <c r="DDQ1" s="6"/>
      <c r="DDR1" s="6"/>
      <c r="DDS1" s="6"/>
      <c r="DDT1" s="6"/>
      <c r="DDU1" s="6"/>
      <c r="DDV1" s="6"/>
      <c r="DDW1" s="6"/>
      <c r="DDX1" s="6"/>
      <c r="DDY1" s="6"/>
      <c r="DDZ1" s="6"/>
      <c r="DEA1" s="6"/>
      <c r="DEB1" s="6"/>
      <c r="DEC1" s="6"/>
      <c r="DED1" s="6"/>
      <c r="DEE1" s="6"/>
      <c r="DEF1" s="6"/>
      <c r="DEG1" s="6"/>
      <c r="DEH1" s="6"/>
      <c r="DEI1" s="6"/>
      <c r="DEJ1" s="6"/>
      <c r="DEK1" s="6"/>
      <c r="DEL1" s="6"/>
      <c r="DEM1" s="6"/>
      <c r="DEN1" s="6"/>
      <c r="DEO1" s="6"/>
      <c r="DEP1" s="6"/>
      <c r="DEQ1" s="6"/>
      <c r="DER1" s="6"/>
      <c r="DES1" s="6"/>
      <c r="DET1" s="6"/>
      <c r="DEU1" s="6"/>
      <c r="DEV1" s="6"/>
      <c r="DEW1" s="6"/>
      <c r="DEX1" s="6"/>
      <c r="DEY1" s="6"/>
      <c r="DEZ1" s="6"/>
      <c r="DFA1" s="6"/>
      <c r="DFB1" s="6"/>
      <c r="DFC1" s="6"/>
      <c r="DFD1" s="6"/>
      <c r="DFE1" s="6"/>
      <c r="DFF1" s="6"/>
      <c r="DFG1" s="6"/>
      <c r="DFH1" s="6"/>
      <c r="DFI1" s="6"/>
      <c r="DFJ1" s="6"/>
      <c r="DFK1" s="6"/>
      <c r="DFL1" s="6"/>
      <c r="DFM1" s="6"/>
      <c r="DFN1" s="6"/>
      <c r="DFO1" s="6"/>
      <c r="DFP1" s="6"/>
      <c r="DFQ1" s="6"/>
      <c r="DFR1" s="6"/>
      <c r="DFS1" s="6"/>
      <c r="DFT1" s="6"/>
      <c r="DFU1" s="6"/>
      <c r="DFV1" s="6"/>
      <c r="DFW1" s="6"/>
      <c r="DFX1" s="6"/>
      <c r="DFY1" s="6"/>
      <c r="DFZ1" s="6"/>
      <c r="DGA1" s="6"/>
      <c r="DGB1" s="6"/>
      <c r="DGC1" s="6"/>
      <c r="DGD1" s="6"/>
      <c r="DGE1" s="6"/>
      <c r="DGF1" s="6"/>
      <c r="DGG1" s="6"/>
      <c r="DGH1" s="6"/>
      <c r="DGI1" s="6"/>
      <c r="DGJ1" s="6"/>
      <c r="DGK1" s="6"/>
      <c r="DGL1" s="6"/>
      <c r="DGM1" s="6"/>
      <c r="DGN1" s="6"/>
      <c r="DGO1" s="6"/>
      <c r="DGP1" s="6"/>
      <c r="DGQ1" s="6"/>
      <c r="DGR1" s="6"/>
      <c r="DGS1" s="6"/>
      <c r="DGT1" s="6"/>
      <c r="DGU1" s="6"/>
      <c r="DGV1" s="6"/>
      <c r="DGW1" s="6"/>
      <c r="DGX1" s="6"/>
      <c r="DGY1" s="6"/>
      <c r="DGZ1" s="6"/>
      <c r="DHA1" s="6"/>
      <c r="DHB1" s="6"/>
      <c r="DHC1" s="6"/>
      <c r="DHD1" s="6"/>
      <c r="DHE1" s="6"/>
      <c r="DHF1" s="6"/>
      <c r="DHG1" s="6"/>
      <c r="DHH1" s="6"/>
      <c r="DHI1" s="6"/>
      <c r="DHJ1" s="6"/>
      <c r="DHK1" s="6"/>
      <c r="DHL1" s="6"/>
      <c r="DHM1" s="6"/>
      <c r="DHN1" s="6"/>
      <c r="DHO1" s="6"/>
      <c r="DHP1" s="6"/>
      <c r="DHQ1" s="6"/>
      <c r="DHR1" s="6"/>
      <c r="DHS1" s="6"/>
      <c r="DHT1" s="6"/>
      <c r="DHU1" s="6"/>
      <c r="DHV1" s="6"/>
      <c r="DHW1" s="6"/>
      <c r="DHX1" s="6"/>
      <c r="DHY1" s="6"/>
      <c r="DHZ1" s="6"/>
      <c r="DIA1" s="6"/>
      <c r="DIB1" s="6"/>
      <c r="DIC1" s="6"/>
      <c r="DID1" s="6"/>
      <c r="DIE1" s="6"/>
      <c r="DIF1" s="6"/>
      <c r="DIG1" s="6"/>
      <c r="DIH1" s="6"/>
      <c r="DII1" s="6"/>
      <c r="DIJ1" s="6"/>
      <c r="DIK1" s="6"/>
      <c r="DIL1" s="6"/>
      <c r="DIM1" s="6"/>
      <c r="DIN1" s="6"/>
      <c r="DIO1" s="6"/>
      <c r="DIP1" s="6"/>
      <c r="DIQ1" s="6"/>
      <c r="DIR1" s="6"/>
      <c r="DIS1" s="6"/>
      <c r="DIT1" s="6"/>
      <c r="DIU1" s="6"/>
      <c r="DIV1" s="6"/>
      <c r="DIW1" s="6"/>
      <c r="DIX1" s="6"/>
      <c r="DIY1" s="6"/>
      <c r="DIZ1" s="6"/>
      <c r="DJA1" s="6"/>
      <c r="DJB1" s="6"/>
      <c r="DJC1" s="6"/>
      <c r="DJD1" s="6"/>
      <c r="DJE1" s="6"/>
      <c r="DJF1" s="6"/>
      <c r="DJG1" s="6"/>
      <c r="DJH1" s="6"/>
      <c r="DJI1" s="6"/>
      <c r="DJJ1" s="6"/>
      <c r="DJK1" s="6"/>
      <c r="DJL1" s="6"/>
      <c r="DJM1" s="6"/>
      <c r="DJN1" s="6"/>
      <c r="DJO1" s="6"/>
      <c r="DJP1" s="6"/>
      <c r="DJQ1" s="6"/>
      <c r="DJR1" s="6"/>
      <c r="DJS1" s="6"/>
      <c r="DJT1" s="6"/>
      <c r="DJU1" s="6"/>
      <c r="DJV1" s="6"/>
      <c r="DJW1" s="6"/>
      <c r="DJX1" s="6"/>
      <c r="DJY1" s="6"/>
      <c r="DJZ1" s="6"/>
      <c r="DKA1" s="6"/>
      <c r="DKB1" s="6"/>
      <c r="DKC1" s="6"/>
      <c r="DKD1" s="6"/>
      <c r="DKE1" s="6"/>
      <c r="DKF1" s="6"/>
      <c r="DKG1" s="6"/>
      <c r="DKH1" s="6"/>
      <c r="DKI1" s="6"/>
      <c r="DKJ1" s="6"/>
      <c r="DKK1" s="6"/>
      <c r="DKL1" s="6"/>
      <c r="DKM1" s="6"/>
      <c r="DKN1" s="6"/>
      <c r="DKO1" s="6"/>
      <c r="DKP1" s="6"/>
      <c r="DKQ1" s="6"/>
      <c r="DKR1" s="6"/>
      <c r="DKS1" s="6"/>
      <c r="DKT1" s="6"/>
      <c r="DKU1" s="6"/>
      <c r="DKV1" s="6"/>
      <c r="DKW1" s="6"/>
      <c r="DKX1" s="6"/>
      <c r="DKY1" s="6"/>
      <c r="DKZ1" s="6"/>
      <c r="DLA1" s="6"/>
      <c r="DLB1" s="6"/>
      <c r="DLC1" s="6"/>
      <c r="DLD1" s="6"/>
      <c r="DLE1" s="6"/>
      <c r="DLF1" s="6"/>
      <c r="DLG1" s="6"/>
      <c r="DLH1" s="6"/>
      <c r="DLI1" s="6"/>
      <c r="DLJ1" s="6"/>
      <c r="DLK1" s="6"/>
      <c r="DLL1" s="6"/>
      <c r="DLM1" s="6"/>
      <c r="DLN1" s="6"/>
      <c r="DLO1" s="6"/>
      <c r="DLP1" s="6"/>
      <c r="DLQ1" s="6"/>
      <c r="DLR1" s="6"/>
      <c r="DLS1" s="6"/>
      <c r="DLT1" s="6"/>
      <c r="DLU1" s="6"/>
      <c r="DLV1" s="6"/>
      <c r="DLW1" s="6"/>
      <c r="DLX1" s="6"/>
      <c r="DLY1" s="6"/>
      <c r="DLZ1" s="6"/>
      <c r="DMA1" s="6"/>
      <c r="DMB1" s="6"/>
      <c r="DMC1" s="6"/>
      <c r="DMD1" s="6"/>
      <c r="DME1" s="6"/>
      <c r="DMF1" s="6"/>
      <c r="DMG1" s="6"/>
      <c r="DMH1" s="6"/>
      <c r="DMI1" s="6"/>
      <c r="DMJ1" s="6"/>
      <c r="DMK1" s="6"/>
      <c r="DML1" s="6"/>
      <c r="DMM1" s="6"/>
      <c r="DMN1" s="6"/>
      <c r="DMO1" s="6"/>
      <c r="DMP1" s="6"/>
      <c r="DMQ1" s="6"/>
      <c r="DMR1" s="6"/>
      <c r="DMS1" s="6"/>
      <c r="DMT1" s="6"/>
      <c r="DMU1" s="6"/>
      <c r="DMV1" s="6"/>
      <c r="DMW1" s="6"/>
      <c r="DMX1" s="6"/>
      <c r="DMY1" s="6"/>
      <c r="DMZ1" s="6"/>
      <c r="DNA1" s="6"/>
      <c r="DNB1" s="6"/>
      <c r="DNC1" s="6"/>
      <c r="DND1" s="6"/>
      <c r="DNE1" s="6"/>
      <c r="DNF1" s="6"/>
      <c r="DNG1" s="6"/>
      <c r="DNH1" s="6"/>
      <c r="DNI1" s="6"/>
      <c r="DNJ1" s="6"/>
      <c r="DNK1" s="6"/>
      <c r="DNL1" s="6"/>
      <c r="DNM1" s="6"/>
      <c r="DNN1" s="6"/>
      <c r="DNO1" s="6"/>
      <c r="DNP1" s="6"/>
      <c r="DNQ1" s="6"/>
      <c r="DNR1" s="6"/>
      <c r="DNS1" s="6"/>
      <c r="DNT1" s="6"/>
      <c r="DNU1" s="6"/>
      <c r="DNV1" s="6"/>
      <c r="DNW1" s="6"/>
      <c r="DNX1" s="6"/>
      <c r="DNY1" s="6"/>
      <c r="DNZ1" s="6"/>
      <c r="DOA1" s="6"/>
      <c r="DOB1" s="6"/>
      <c r="DOC1" s="6"/>
      <c r="DOD1" s="6"/>
      <c r="DOE1" s="6"/>
      <c r="DOF1" s="6"/>
      <c r="DOG1" s="6"/>
      <c r="DOH1" s="6"/>
      <c r="DOI1" s="6"/>
      <c r="DOJ1" s="6"/>
      <c r="DOK1" s="6"/>
      <c r="DOL1" s="6"/>
      <c r="DOM1" s="6"/>
      <c r="DON1" s="6"/>
      <c r="DOO1" s="6"/>
      <c r="DOP1" s="6"/>
      <c r="DOQ1" s="6"/>
      <c r="DOR1" s="6"/>
      <c r="DOS1" s="6"/>
      <c r="DOT1" s="6"/>
      <c r="DOU1" s="6"/>
      <c r="DOV1" s="6"/>
      <c r="DOW1" s="6"/>
      <c r="DOX1" s="6"/>
      <c r="DOY1" s="6"/>
      <c r="DOZ1" s="6"/>
      <c r="DPA1" s="6"/>
      <c r="DPB1" s="6"/>
      <c r="DPC1" s="6"/>
      <c r="DPD1" s="6"/>
      <c r="DPE1" s="6"/>
      <c r="DPF1" s="6"/>
      <c r="DPG1" s="6"/>
      <c r="DPH1" s="6"/>
      <c r="DPI1" s="6"/>
      <c r="DPJ1" s="6"/>
      <c r="DPK1" s="6"/>
      <c r="DPL1" s="6"/>
      <c r="DPM1" s="6"/>
      <c r="DPN1" s="6"/>
      <c r="DPO1" s="6"/>
      <c r="DPP1" s="6"/>
      <c r="DPQ1" s="6"/>
      <c r="DPR1" s="6"/>
      <c r="DPS1" s="6"/>
      <c r="DPT1" s="6"/>
      <c r="DPU1" s="6"/>
      <c r="DPV1" s="6"/>
      <c r="DPW1" s="6"/>
      <c r="DPX1" s="6"/>
      <c r="DPY1" s="6"/>
      <c r="DPZ1" s="6"/>
      <c r="DQA1" s="6"/>
      <c r="DQB1" s="6"/>
      <c r="DQC1" s="6"/>
      <c r="DQD1" s="6"/>
      <c r="DQE1" s="6"/>
      <c r="DQF1" s="6"/>
      <c r="DQG1" s="6"/>
      <c r="DQH1" s="6"/>
      <c r="DQI1" s="6"/>
      <c r="DQJ1" s="6"/>
      <c r="DQK1" s="6"/>
      <c r="DQL1" s="6"/>
      <c r="DQM1" s="6"/>
      <c r="DQN1" s="6"/>
      <c r="DQO1" s="6"/>
      <c r="DQP1" s="6"/>
      <c r="DQQ1" s="6"/>
      <c r="DQR1" s="6"/>
      <c r="DQS1" s="6"/>
      <c r="DQT1" s="6"/>
      <c r="DQU1" s="6"/>
      <c r="DQV1" s="6"/>
      <c r="DQW1" s="6"/>
      <c r="DQX1" s="6"/>
      <c r="DQY1" s="6"/>
      <c r="DQZ1" s="6"/>
      <c r="DRA1" s="6"/>
      <c r="DRB1" s="6"/>
      <c r="DRC1" s="6"/>
      <c r="DRD1" s="6"/>
      <c r="DRE1" s="6"/>
      <c r="DRF1" s="6"/>
      <c r="DRG1" s="6"/>
      <c r="DRH1" s="6"/>
      <c r="DRI1" s="6"/>
      <c r="DRJ1" s="6"/>
      <c r="DRK1" s="6"/>
      <c r="DRL1" s="6"/>
      <c r="DRM1" s="6"/>
      <c r="DRN1" s="6"/>
      <c r="DRO1" s="6"/>
      <c r="DRP1" s="6"/>
      <c r="DRQ1" s="6"/>
      <c r="DRR1" s="6"/>
      <c r="DRS1" s="6"/>
      <c r="DRT1" s="6"/>
      <c r="DRU1" s="6"/>
      <c r="DRV1" s="6"/>
      <c r="DRW1" s="6"/>
      <c r="DRX1" s="6"/>
      <c r="DRY1" s="6"/>
      <c r="DRZ1" s="6"/>
      <c r="DSA1" s="6"/>
      <c r="DSB1" s="6"/>
      <c r="DSC1" s="6"/>
      <c r="DSD1" s="6"/>
      <c r="DSE1" s="6"/>
      <c r="DSF1" s="6"/>
      <c r="DSG1" s="6"/>
      <c r="DSH1" s="6"/>
      <c r="DSI1" s="6"/>
      <c r="DSJ1" s="6"/>
      <c r="DSK1" s="6"/>
      <c r="DSL1" s="6"/>
      <c r="DSM1" s="6"/>
      <c r="DSN1" s="6"/>
      <c r="DSO1" s="6"/>
      <c r="DSP1" s="6"/>
      <c r="DSQ1" s="6"/>
      <c r="DSR1" s="6"/>
      <c r="DSS1" s="6"/>
      <c r="DST1" s="6"/>
      <c r="DSU1" s="6"/>
      <c r="DSV1" s="6"/>
      <c r="DSW1" s="6"/>
      <c r="DSX1" s="6"/>
      <c r="DSY1" s="6"/>
      <c r="DSZ1" s="6"/>
      <c r="DTA1" s="6"/>
      <c r="DTB1" s="6"/>
      <c r="DTC1" s="6"/>
      <c r="DTD1" s="6"/>
      <c r="DTE1" s="6"/>
      <c r="DTF1" s="6"/>
      <c r="DTG1" s="6"/>
      <c r="DTH1" s="6"/>
      <c r="DTI1" s="6"/>
      <c r="DTJ1" s="6"/>
      <c r="DTK1" s="6"/>
      <c r="DTL1" s="6"/>
      <c r="DTM1" s="6"/>
      <c r="DTN1" s="6"/>
      <c r="DTO1" s="6"/>
      <c r="DTP1" s="6"/>
      <c r="DTQ1" s="6"/>
      <c r="DTR1" s="6"/>
      <c r="DTS1" s="6"/>
      <c r="DTT1" s="6"/>
      <c r="DTU1" s="6"/>
      <c r="DTV1" s="6"/>
      <c r="DTW1" s="6"/>
      <c r="DTX1" s="6"/>
      <c r="DTY1" s="6"/>
      <c r="DTZ1" s="6"/>
      <c r="DUA1" s="6"/>
      <c r="DUB1" s="6"/>
      <c r="DUC1" s="6"/>
      <c r="DUD1" s="6"/>
      <c r="DUE1" s="6"/>
      <c r="DUF1" s="6"/>
      <c r="DUG1" s="6"/>
      <c r="DUH1" s="6"/>
      <c r="DUI1" s="6"/>
      <c r="DUJ1" s="6"/>
      <c r="DUK1" s="6"/>
      <c r="DUL1" s="6"/>
      <c r="DUM1" s="6"/>
      <c r="DUN1" s="6"/>
      <c r="DUO1" s="6"/>
      <c r="DUP1" s="6"/>
      <c r="DUQ1" s="6"/>
      <c r="DUR1" s="6"/>
      <c r="DUS1" s="6"/>
      <c r="DUT1" s="6"/>
      <c r="DUU1" s="6"/>
      <c r="DUV1" s="6"/>
      <c r="DUW1" s="6"/>
      <c r="DUX1" s="6"/>
      <c r="DUY1" s="6"/>
      <c r="DUZ1" s="6"/>
      <c r="DVA1" s="6"/>
      <c r="DVB1" s="6"/>
      <c r="DVC1" s="6"/>
      <c r="DVD1" s="6"/>
      <c r="DVE1" s="6"/>
      <c r="DVF1" s="6"/>
      <c r="DVG1" s="6"/>
      <c r="DVH1" s="6"/>
      <c r="DVI1" s="6"/>
      <c r="DVJ1" s="6"/>
      <c r="DVK1" s="6"/>
      <c r="DVL1" s="6"/>
      <c r="DVM1" s="6"/>
      <c r="DVN1" s="6"/>
      <c r="DVO1" s="6"/>
      <c r="DVP1" s="6"/>
      <c r="DVQ1" s="6"/>
      <c r="DVR1" s="6"/>
      <c r="DVS1" s="6"/>
      <c r="DVT1" s="6"/>
      <c r="DVU1" s="6"/>
      <c r="DVV1" s="6"/>
      <c r="DVW1" s="6"/>
      <c r="DVX1" s="6"/>
      <c r="DVY1" s="6"/>
      <c r="DVZ1" s="6"/>
      <c r="DWA1" s="6"/>
      <c r="DWB1" s="6"/>
      <c r="DWC1" s="6"/>
      <c r="DWD1" s="6"/>
      <c r="DWE1" s="6"/>
      <c r="DWF1" s="6"/>
      <c r="DWG1" s="6"/>
      <c r="DWH1" s="6"/>
      <c r="DWI1" s="6"/>
      <c r="DWJ1" s="6"/>
      <c r="DWK1" s="6"/>
      <c r="DWL1" s="6"/>
      <c r="DWM1" s="6"/>
      <c r="DWN1" s="6"/>
      <c r="DWO1" s="6"/>
      <c r="DWP1" s="6"/>
      <c r="DWQ1" s="6"/>
      <c r="DWR1" s="6"/>
      <c r="DWS1" s="6"/>
      <c r="DWT1" s="6"/>
      <c r="DWU1" s="6"/>
      <c r="DWV1" s="6"/>
      <c r="DWW1" s="6"/>
      <c r="DWX1" s="6"/>
      <c r="DWY1" s="6"/>
      <c r="DWZ1" s="6"/>
      <c r="DXA1" s="6"/>
      <c r="DXB1" s="6"/>
      <c r="DXC1" s="6"/>
      <c r="DXD1" s="6"/>
      <c r="DXE1" s="6"/>
      <c r="DXF1" s="6"/>
      <c r="DXG1" s="6"/>
      <c r="DXH1" s="6"/>
      <c r="DXI1" s="6"/>
      <c r="DXJ1" s="6"/>
      <c r="DXK1" s="6"/>
      <c r="DXL1" s="6"/>
      <c r="DXM1" s="6"/>
      <c r="DXN1" s="6"/>
      <c r="DXO1" s="6"/>
      <c r="DXP1" s="6"/>
      <c r="DXQ1" s="6"/>
      <c r="DXR1" s="6"/>
      <c r="DXS1" s="6"/>
      <c r="DXT1" s="6"/>
      <c r="DXU1" s="6"/>
      <c r="DXV1" s="6"/>
      <c r="DXW1" s="6"/>
      <c r="DXX1" s="6"/>
      <c r="DXY1" s="6"/>
      <c r="DXZ1" s="6"/>
      <c r="DYA1" s="6"/>
      <c r="DYB1" s="6"/>
      <c r="DYC1" s="6"/>
      <c r="DYD1" s="6"/>
      <c r="DYE1" s="6"/>
      <c r="DYF1" s="6"/>
      <c r="DYG1" s="6"/>
      <c r="DYH1" s="6"/>
      <c r="DYI1" s="6"/>
      <c r="DYJ1" s="6"/>
      <c r="DYK1" s="6"/>
      <c r="DYL1" s="6"/>
      <c r="DYM1" s="6"/>
      <c r="DYN1" s="6"/>
      <c r="DYO1" s="6"/>
      <c r="DYP1" s="6"/>
      <c r="DYQ1" s="6"/>
      <c r="DYR1" s="6"/>
      <c r="DYS1" s="6"/>
      <c r="DYT1" s="6"/>
      <c r="DYU1" s="6"/>
      <c r="DYV1" s="6"/>
      <c r="DYW1" s="6"/>
      <c r="DYX1" s="6"/>
      <c r="DYY1" s="6"/>
      <c r="DYZ1" s="6"/>
      <c r="DZA1" s="6"/>
      <c r="DZB1" s="6"/>
      <c r="DZC1" s="6"/>
      <c r="DZD1" s="6"/>
      <c r="DZE1" s="6"/>
      <c r="DZF1" s="6"/>
      <c r="DZG1" s="6"/>
      <c r="DZH1" s="6"/>
      <c r="DZI1" s="6"/>
      <c r="DZJ1" s="6"/>
      <c r="DZK1" s="6"/>
      <c r="DZL1" s="6"/>
      <c r="DZM1" s="6"/>
      <c r="DZN1" s="6"/>
      <c r="DZO1" s="6"/>
      <c r="DZP1" s="6"/>
      <c r="DZQ1" s="6"/>
      <c r="DZR1" s="6"/>
      <c r="DZS1" s="6"/>
      <c r="DZT1" s="6"/>
      <c r="DZU1" s="6"/>
      <c r="DZV1" s="6"/>
      <c r="DZW1" s="6"/>
      <c r="DZX1" s="6"/>
      <c r="DZY1" s="6"/>
      <c r="DZZ1" s="6"/>
      <c r="EAA1" s="6"/>
      <c r="EAB1" s="6"/>
      <c r="EAC1" s="6"/>
      <c r="EAD1" s="6"/>
      <c r="EAE1" s="6"/>
      <c r="EAF1" s="6"/>
      <c r="EAG1" s="6"/>
      <c r="EAH1" s="6"/>
      <c r="EAI1" s="6"/>
      <c r="EAJ1" s="6"/>
      <c r="EAK1" s="6"/>
      <c r="EAL1" s="6"/>
      <c r="EAM1" s="6"/>
      <c r="EAN1" s="6"/>
      <c r="EAO1" s="6"/>
      <c r="EAP1" s="6"/>
      <c r="EAQ1" s="6"/>
      <c r="EAR1" s="6"/>
      <c r="EAS1" s="6"/>
      <c r="EAT1" s="6"/>
      <c r="EAU1" s="6"/>
      <c r="EAV1" s="6"/>
      <c r="EAW1" s="6"/>
      <c r="EAX1" s="6"/>
      <c r="EAY1" s="6"/>
      <c r="EAZ1" s="6"/>
      <c r="EBA1" s="6"/>
      <c r="EBB1" s="6"/>
      <c r="EBC1" s="6"/>
      <c r="EBD1" s="6"/>
      <c r="EBE1" s="6"/>
      <c r="EBF1" s="6"/>
      <c r="EBG1" s="6"/>
      <c r="EBH1" s="6"/>
      <c r="EBI1" s="6"/>
      <c r="EBJ1" s="6"/>
      <c r="EBK1" s="6"/>
      <c r="EBL1" s="6"/>
      <c r="EBM1" s="6"/>
      <c r="EBN1" s="6"/>
      <c r="EBO1" s="6"/>
      <c r="EBP1" s="6"/>
      <c r="EBQ1" s="6"/>
      <c r="EBR1" s="6"/>
      <c r="EBS1" s="6"/>
      <c r="EBT1" s="6"/>
      <c r="EBU1" s="6"/>
      <c r="EBV1" s="6"/>
      <c r="EBW1" s="6"/>
      <c r="EBX1" s="6"/>
      <c r="EBY1" s="6"/>
      <c r="EBZ1" s="6"/>
      <c r="ECA1" s="6"/>
      <c r="ECB1" s="6"/>
      <c r="ECC1" s="6"/>
      <c r="ECD1" s="6"/>
      <c r="ECE1" s="6"/>
      <c r="ECF1" s="6"/>
      <c r="ECG1" s="6"/>
      <c r="ECH1" s="6"/>
      <c r="ECI1" s="6"/>
      <c r="ECJ1" s="6"/>
      <c r="ECK1" s="6"/>
      <c r="ECL1" s="6"/>
      <c r="ECM1" s="6"/>
      <c r="ECN1" s="6"/>
      <c r="ECO1" s="6"/>
      <c r="ECP1" s="6"/>
      <c r="ECQ1" s="6"/>
      <c r="ECR1" s="6"/>
      <c r="ECS1" s="6"/>
      <c r="ECT1" s="6"/>
      <c r="ECU1" s="6"/>
      <c r="ECV1" s="6"/>
      <c r="ECW1" s="6"/>
      <c r="ECX1" s="6"/>
      <c r="ECY1" s="6"/>
      <c r="ECZ1" s="6"/>
      <c r="EDA1" s="6"/>
      <c r="EDB1" s="6"/>
      <c r="EDC1" s="6"/>
      <c r="EDD1" s="6"/>
      <c r="EDE1" s="6"/>
      <c r="EDF1" s="6"/>
      <c r="EDG1" s="6"/>
      <c r="EDH1" s="6"/>
      <c r="EDI1" s="6"/>
      <c r="EDJ1" s="6"/>
      <c r="EDK1" s="6"/>
      <c r="EDL1" s="6"/>
      <c r="EDM1" s="6"/>
      <c r="EDN1" s="6"/>
      <c r="EDO1" s="6"/>
      <c r="EDP1" s="6"/>
      <c r="EDQ1" s="6"/>
      <c r="EDR1" s="6"/>
      <c r="EDS1" s="6"/>
      <c r="EDT1" s="6"/>
      <c r="EDU1" s="6"/>
      <c r="EDV1" s="6"/>
      <c r="EDW1" s="6"/>
      <c r="EDX1" s="6"/>
      <c r="EDY1" s="6"/>
      <c r="EDZ1" s="6"/>
      <c r="EEA1" s="6"/>
      <c r="EEB1" s="6"/>
      <c r="EEC1" s="6"/>
      <c r="EED1" s="6"/>
      <c r="EEE1" s="6"/>
      <c r="EEF1" s="6"/>
      <c r="EEG1" s="6"/>
      <c r="EEH1" s="6"/>
      <c r="EEI1" s="6"/>
      <c r="EEJ1" s="6"/>
      <c r="EEK1" s="6"/>
      <c r="EEL1" s="6"/>
      <c r="EEM1" s="6"/>
      <c r="EEN1" s="6"/>
      <c r="EEO1" s="6"/>
      <c r="EEP1" s="6"/>
      <c r="EEQ1" s="6"/>
      <c r="EER1" s="6"/>
      <c r="EES1" s="6"/>
      <c r="EET1" s="6"/>
      <c r="EEU1" s="6"/>
      <c r="EEV1" s="6"/>
      <c r="EEW1" s="6"/>
      <c r="EEX1" s="6"/>
      <c r="EEY1" s="6"/>
      <c r="EEZ1" s="6"/>
      <c r="EFA1" s="6"/>
      <c r="EFB1" s="6"/>
      <c r="EFC1" s="6"/>
      <c r="EFD1" s="6"/>
      <c r="EFE1" s="6"/>
      <c r="EFF1" s="6"/>
      <c r="EFG1" s="6"/>
      <c r="EFH1" s="6"/>
      <c r="EFI1" s="6"/>
      <c r="EFJ1" s="6"/>
      <c r="EFK1" s="6"/>
      <c r="EFL1" s="6"/>
      <c r="EFM1" s="6"/>
      <c r="EFN1" s="6"/>
      <c r="EFO1" s="6"/>
      <c r="EFP1" s="6"/>
      <c r="EFQ1" s="6"/>
      <c r="EFR1" s="6"/>
      <c r="EFS1" s="6"/>
      <c r="EFT1" s="6"/>
      <c r="EFU1" s="6"/>
      <c r="EFV1" s="6"/>
      <c r="EFW1" s="6"/>
      <c r="EFX1" s="6"/>
      <c r="EFY1" s="6"/>
      <c r="EFZ1" s="6"/>
      <c r="EGA1" s="6"/>
      <c r="EGB1" s="6"/>
      <c r="EGC1" s="6"/>
      <c r="EGD1" s="6"/>
      <c r="EGE1" s="6"/>
      <c r="EGF1" s="6"/>
      <c r="EGG1" s="6"/>
      <c r="EGH1" s="6"/>
      <c r="EGI1" s="6"/>
      <c r="EGJ1" s="6"/>
      <c r="EGK1" s="6"/>
      <c r="EGL1" s="6"/>
      <c r="EGM1" s="6"/>
      <c r="EGN1" s="6"/>
      <c r="EGO1" s="6"/>
      <c r="EGP1" s="6"/>
      <c r="EGQ1" s="6"/>
      <c r="EGR1" s="6"/>
      <c r="EGS1" s="6"/>
      <c r="EGT1" s="6"/>
      <c r="EGU1" s="6"/>
      <c r="EGV1" s="6"/>
      <c r="EGW1" s="6"/>
      <c r="EGX1" s="6"/>
      <c r="EGY1" s="6"/>
      <c r="EGZ1" s="6"/>
      <c r="EHA1" s="6"/>
      <c r="EHB1" s="6"/>
      <c r="EHC1" s="6"/>
      <c r="EHD1" s="6"/>
      <c r="EHE1" s="6"/>
      <c r="EHF1" s="6"/>
      <c r="EHG1" s="6"/>
      <c r="EHH1" s="6"/>
      <c r="EHI1" s="6"/>
      <c r="EHJ1" s="6"/>
      <c r="EHK1" s="6"/>
      <c r="EHL1" s="6"/>
      <c r="EHM1" s="6"/>
      <c r="EHN1" s="6"/>
      <c r="EHO1" s="6"/>
      <c r="EHP1" s="6"/>
      <c r="EHQ1" s="6"/>
      <c r="EHR1" s="6"/>
      <c r="EHS1" s="6"/>
      <c r="EHT1" s="6"/>
      <c r="EHU1" s="6"/>
      <c r="EHV1" s="6"/>
      <c r="EHW1" s="6"/>
      <c r="EHX1" s="6"/>
      <c r="EHY1" s="6"/>
      <c r="EHZ1" s="6"/>
      <c r="EIA1" s="6"/>
      <c r="EIB1" s="6"/>
      <c r="EIC1" s="6"/>
      <c r="EID1" s="6"/>
      <c r="EIE1" s="6"/>
      <c r="EIF1" s="6"/>
      <c r="EIG1" s="6"/>
      <c r="EIH1" s="6"/>
      <c r="EII1" s="6"/>
      <c r="EIJ1" s="6"/>
      <c r="EIK1" s="6"/>
      <c r="EIL1" s="6"/>
      <c r="EIM1" s="6"/>
      <c r="EIN1" s="6"/>
      <c r="EIO1" s="6"/>
      <c r="EIP1" s="6"/>
      <c r="EIQ1" s="6"/>
      <c r="EIR1" s="6"/>
      <c r="EIS1" s="6"/>
      <c r="EIT1" s="6"/>
      <c r="EIU1" s="6"/>
      <c r="EIV1" s="6"/>
      <c r="EIW1" s="6"/>
      <c r="EIX1" s="6"/>
      <c r="EIY1" s="6"/>
      <c r="EIZ1" s="6"/>
      <c r="EJA1" s="6"/>
      <c r="EJB1" s="6"/>
      <c r="EJC1" s="6"/>
      <c r="EJD1" s="6"/>
      <c r="EJE1" s="6"/>
      <c r="EJF1" s="6"/>
      <c r="EJG1" s="6"/>
      <c r="EJH1" s="6"/>
      <c r="EJI1" s="6"/>
      <c r="EJJ1" s="6"/>
      <c r="EJK1" s="6"/>
      <c r="EJL1" s="6"/>
      <c r="EJM1" s="6"/>
      <c r="EJN1" s="6"/>
      <c r="EJO1" s="6"/>
      <c r="EJP1" s="6"/>
      <c r="EJQ1" s="6"/>
      <c r="EJR1" s="6"/>
      <c r="EJS1" s="6"/>
      <c r="EJT1" s="6"/>
      <c r="EJU1" s="6"/>
      <c r="EJV1" s="6"/>
      <c r="EJW1" s="6"/>
      <c r="EJX1" s="6"/>
      <c r="EJY1" s="6"/>
      <c r="EJZ1" s="6"/>
      <c r="EKA1" s="6"/>
      <c r="EKB1" s="6"/>
      <c r="EKC1" s="6"/>
      <c r="EKD1" s="6"/>
      <c r="EKE1" s="6"/>
      <c r="EKF1" s="6"/>
      <c r="EKG1" s="6"/>
      <c r="EKH1" s="6"/>
      <c r="EKI1" s="6"/>
      <c r="EKJ1" s="6"/>
      <c r="EKK1" s="6"/>
      <c r="EKL1" s="6"/>
      <c r="EKM1" s="6"/>
      <c r="EKN1" s="6"/>
      <c r="EKO1" s="6"/>
      <c r="EKP1" s="6"/>
      <c r="EKQ1" s="6"/>
      <c r="EKR1" s="6"/>
      <c r="EKS1" s="6"/>
      <c r="EKT1" s="6"/>
      <c r="EKU1" s="6"/>
      <c r="EKV1" s="6"/>
      <c r="EKW1" s="6"/>
      <c r="EKX1" s="6"/>
      <c r="EKY1" s="6"/>
      <c r="EKZ1" s="6"/>
      <c r="ELA1" s="6"/>
      <c r="ELB1" s="6"/>
      <c r="ELC1" s="6"/>
      <c r="ELD1" s="6"/>
      <c r="ELE1" s="6"/>
      <c r="ELF1" s="6"/>
      <c r="ELG1" s="6"/>
      <c r="ELH1" s="6"/>
      <c r="ELI1" s="6"/>
      <c r="ELJ1" s="6"/>
      <c r="ELK1" s="6"/>
      <c r="ELL1" s="6"/>
      <c r="ELM1" s="6"/>
      <c r="ELN1" s="6"/>
      <c r="ELO1" s="6"/>
      <c r="ELP1" s="6"/>
      <c r="ELQ1" s="6"/>
      <c r="ELR1" s="6"/>
      <c r="ELS1" s="6"/>
      <c r="ELT1" s="6"/>
      <c r="ELU1" s="6"/>
      <c r="ELV1" s="6"/>
      <c r="ELW1" s="6"/>
      <c r="ELX1" s="6"/>
      <c r="ELY1" s="6"/>
      <c r="ELZ1" s="6"/>
      <c r="EMA1" s="6"/>
      <c r="EMB1" s="6"/>
      <c r="EMC1" s="6"/>
      <c r="EMD1" s="6"/>
      <c r="EME1" s="6"/>
      <c r="EMF1" s="6"/>
      <c r="EMG1" s="6"/>
      <c r="EMH1" s="6"/>
      <c r="EMI1" s="6"/>
      <c r="EMJ1" s="6"/>
      <c r="EMK1" s="6"/>
      <c r="EML1" s="6"/>
      <c r="EMM1" s="6"/>
      <c r="EMN1" s="6"/>
      <c r="EMO1" s="6"/>
      <c r="EMP1" s="6"/>
      <c r="EMQ1" s="6"/>
      <c r="EMR1" s="6"/>
      <c r="EMS1" s="6"/>
      <c r="EMT1" s="6"/>
      <c r="EMU1" s="6"/>
      <c r="EMV1" s="6"/>
      <c r="EMW1" s="6"/>
      <c r="EMX1" s="6"/>
      <c r="EMY1" s="6"/>
      <c r="EMZ1" s="6"/>
      <c r="ENA1" s="6"/>
      <c r="ENB1" s="6"/>
      <c r="ENC1" s="6"/>
      <c r="END1" s="6"/>
      <c r="ENE1" s="6"/>
      <c r="ENF1" s="6"/>
      <c r="ENG1" s="6"/>
      <c r="ENH1" s="6"/>
      <c r="ENI1" s="6"/>
      <c r="ENJ1" s="6"/>
      <c r="ENK1" s="6"/>
      <c r="ENL1" s="6"/>
      <c r="ENM1" s="6"/>
      <c r="ENN1" s="6"/>
      <c r="ENO1" s="6"/>
      <c r="ENP1" s="6"/>
      <c r="ENQ1" s="6"/>
      <c r="ENR1" s="6"/>
      <c r="ENS1" s="6"/>
      <c r="ENT1" s="6"/>
      <c r="ENU1" s="6"/>
      <c r="ENV1" s="6"/>
      <c r="ENW1" s="6"/>
      <c r="ENX1" s="6"/>
      <c r="ENY1" s="6"/>
      <c r="ENZ1" s="6"/>
      <c r="EOA1" s="6"/>
      <c r="EOB1" s="6"/>
      <c r="EOC1" s="6"/>
      <c r="EOD1" s="6"/>
      <c r="EOE1" s="6"/>
      <c r="EOF1" s="6"/>
      <c r="EOG1" s="6"/>
      <c r="EOH1" s="6"/>
      <c r="EOI1" s="6"/>
      <c r="EOJ1" s="6"/>
      <c r="EOK1" s="6"/>
      <c r="EOL1" s="6"/>
      <c r="EOM1" s="6"/>
      <c r="EON1" s="6"/>
      <c r="EOO1" s="6"/>
      <c r="EOP1" s="6"/>
      <c r="EOQ1" s="6"/>
      <c r="EOR1" s="6"/>
      <c r="EOS1" s="6"/>
      <c r="EOT1" s="6"/>
      <c r="EOU1" s="6"/>
      <c r="EOV1" s="6"/>
      <c r="EOW1" s="6"/>
      <c r="EOX1" s="6"/>
      <c r="EOY1" s="6"/>
      <c r="EOZ1" s="6"/>
      <c r="EPA1" s="6"/>
      <c r="EPB1" s="6"/>
      <c r="EPC1" s="6"/>
      <c r="EPD1" s="6"/>
      <c r="EPE1" s="6"/>
      <c r="EPF1" s="6"/>
      <c r="EPG1" s="6"/>
      <c r="EPH1" s="6"/>
      <c r="EPI1" s="6"/>
      <c r="EPJ1" s="6"/>
      <c r="EPK1" s="6"/>
      <c r="EPL1" s="6"/>
      <c r="EPM1" s="6"/>
      <c r="EPN1" s="6"/>
      <c r="EPO1" s="6"/>
      <c r="EPP1" s="6"/>
      <c r="EPQ1" s="6"/>
      <c r="EPR1" s="6"/>
      <c r="EPS1" s="6"/>
      <c r="EPT1" s="6"/>
      <c r="EPU1" s="6"/>
      <c r="EPV1" s="6"/>
      <c r="EPW1" s="6"/>
      <c r="EPX1" s="6"/>
      <c r="EPY1" s="6"/>
      <c r="EPZ1" s="6"/>
      <c r="EQA1" s="6"/>
      <c r="EQB1" s="6"/>
      <c r="EQC1" s="6"/>
      <c r="EQD1" s="6"/>
      <c r="EQE1" s="6"/>
      <c r="EQF1" s="6"/>
      <c r="EQG1" s="6"/>
      <c r="EQH1" s="6"/>
      <c r="EQI1" s="6"/>
      <c r="EQJ1" s="6"/>
      <c r="EQK1" s="6"/>
      <c r="EQL1" s="6"/>
      <c r="EQM1" s="6"/>
      <c r="EQN1" s="6"/>
      <c r="EQO1" s="6"/>
      <c r="EQP1" s="6"/>
      <c r="EQQ1" s="6"/>
      <c r="EQR1" s="6"/>
      <c r="EQS1" s="6"/>
      <c r="EQT1" s="6"/>
      <c r="EQU1" s="6"/>
      <c r="EQV1" s="6"/>
      <c r="EQW1" s="6"/>
      <c r="EQX1" s="6"/>
      <c r="EQY1" s="6"/>
      <c r="EQZ1" s="6"/>
      <c r="ERA1" s="6"/>
      <c r="ERB1" s="6"/>
      <c r="ERC1" s="6"/>
      <c r="ERD1" s="6"/>
      <c r="ERE1" s="6"/>
      <c r="ERF1" s="6"/>
      <c r="ERG1" s="6"/>
      <c r="ERH1" s="6"/>
      <c r="ERI1" s="6"/>
      <c r="ERJ1" s="6"/>
      <c r="ERK1" s="6"/>
      <c r="ERL1" s="6"/>
      <c r="ERM1" s="6"/>
      <c r="ERN1" s="6"/>
      <c r="ERO1" s="6"/>
      <c r="ERP1" s="6"/>
      <c r="ERQ1" s="6"/>
      <c r="ERR1" s="6"/>
      <c r="ERS1" s="6"/>
      <c r="ERT1" s="6"/>
      <c r="ERU1" s="6"/>
      <c r="ERV1" s="6"/>
      <c r="ERW1" s="6"/>
      <c r="ERX1" s="6"/>
      <c r="ERY1" s="6"/>
      <c r="ERZ1" s="6"/>
      <c r="ESA1" s="6"/>
      <c r="ESB1" s="6"/>
      <c r="ESC1" s="6"/>
      <c r="ESD1" s="6"/>
      <c r="ESE1" s="6"/>
      <c r="ESF1" s="6"/>
      <c r="ESG1" s="6"/>
      <c r="ESH1" s="6"/>
      <c r="ESI1" s="6"/>
      <c r="ESJ1" s="6"/>
      <c r="ESK1" s="6"/>
      <c r="ESL1" s="6"/>
      <c r="ESM1" s="6"/>
      <c r="ESN1" s="6"/>
      <c r="ESO1" s="6"/>
      <c r="ESP1" s="6"/>
      <c r="ESQ1" s="6"/>
      <c r="ESR1" s="6"/>
      <c r="ESS1" s="6"/>
      <c r="EST1" s="6"/>
      <c r="ESU1" s="6"/>
      <c r="ESV1" s="6"/>
      <c r="ESW1" s="6"/>
      <c r="ESX1" s="6"/>
      <c r="ESY1" s="6"/>
      <c r="ESZ1" s="6"/>
      <c r="ETA1" s="6"/>
      <c r="ETB1" s="6"/>
      <c r="ETC1" s="6"/>
      <c r="ETD1" s="6"/>
      <c r="ETE1" s="6"/>
      <c r="ETF1" s="6"/>
      <c r="ETG1" s="6"/>
      <c r="ETH1" s="6"/>
      <c r="ETI1" s="6"/>
      <c r="ETJ1" s="6"/>
      <c r="ETK1" s="6"/>
      <c r="ETL1" s="6"/>
      <c r="ETM1" s="6"/>
      <c r="ETN1" s="6"/>
      <c r="ETO1" s="6"/>
      <c r="ETP1" s="6"/>
      <c r="ETQ1" s="6"/>
      <c r="ETR1" s="6"/>
      <c r="ETS1" s="6"/>
      <c r="ETT1" s="6"/>
      <c r="ETU1" s="6"/>
      <c r="ETV1" s="6"/>
      <c r="ETW1" s="6"/>
      <c r="ETX1" s="6"/>
      <c r="ETY1" s="6"/>
      <c r="ETZ1" s="6"/>
      <c r="EUA1" s="6"/>
      <c r="EUB1" s="6"/>
      <c r="EUC1" s="6"/>
      <c r="EUD1" s="6"/>
      <c r="EUE1" s="6"/>
      <c r="EUF1" s="6"/>
      <c r="EUG1" s="6"/>
      <c r="EUH1" s="6"/>
      <c r="EUI1" s="6"/>
      <c r="EUJ1" s="6"/>
      <c r="EUK1" s="6"/>
      <c r="EUL1" s="6"/>
      <c r="EUM1" s="6"/>
      <c r="EUN1" s="6"/>
      <c r="EUO1" s="6"/>
      <c r="EUP1" s="6"/>
      <c r="EUQ1" s="6"/>
      <c r="EUR1" s="6"/>
      <c r="EUS1" s="6"/>
      <c r="EUT1" s="6"/>
      <c r="EUU1" s="6"/>
      <c r="EUV1" s="6"/>
      <c r="EUW1" s="6"/>
      <c r="EUX1" s="6"/>
      <c r="EUY1" s="6"/>
      <c r="EUZ1" s="6"/>
      <c r="EVA1" s="6"/>
      <c r="EVB1" s="6"/>
      <c r="EVC1" s="6"/>
      <c r="EVD1" s="6"/>
      <c r="EVE1" s="6"/>
      <c r="EVF1" s="6"/>
      <c r="EVG1" s="6"/>
      <c r="EVH1" s="6"/>
      <c r="EVI1" s="6"/>
      <c r="EVJ1" s="6"/>
      <c r="EVK1" s="6"/>
      <c r="EVL1" s="6"/>
      <c r="EVM1" s="6"/>
      <c r="EVN1" s="6"/>
      <c r="EVO1" s="6"/>
      <c r="EVP1" s="6"/>
      <c r="EVQ1" s="6"/>
      <c r="EVR1" s="6"/>
      <c r="EVS1" s="6"/>
      <c r="EVT1" s="6"/>
      <c r="EVU1" s="6"/>
      <c r="EVV1" s="6"/>
      <c r="EVW1" s="6"/>
      <c r="EVX1" s="6"/>
      <c r="EVY1" s="6"/>
      <c r="EVZ1" s="6"/>
      <c r="EWA1" s="6"/>
      <c r="EWB1" s="6"/>
      <c r="EWC1" s="6"/>
      <c r="EWD1" s="6"/>
      <c r="EWE1" s="6"/>
      <c r="EWF1" s="6"/>
      <c r="EWG1" s="6"/>
      <c r="EWH1" s="6"/>
      <c r="EWI1" s="6"/>
      <c r="EWJ1" s="6"/>
      <c r="EWK1" s="6"/>
      <c r="EWL1" s="6"/>
      <c r="EWM1" s="6"/>
      <c r="EWN1" s="6"/>
      <c r="EWO1" s="6"/>
      <c r="EWP1" s="6"/>
      <c r="EWQ1" s="6"/>
      <c r="EWR1" s="6"/>
      <c r="EWS1" s="6"/>
      <c r="EWT1" s="6"/>
      <c r="EWU1" s="6"/>
      <c r="EWV1" s="6"/>
      <c r="EWW1" s="6"/>
      <c r="EWX1" s="6"/>
      <c r="EWY1" s="6"/>
      <c r="EWZ1" s="6"/>
      <c r="EXA1" s="6"/>
      <c r="EXB1" s="6"/>
      <c r="EXC1" s="6"/>
      <c r="EXD1" s="6"/>
      <c r="EXE1" s="6"/>
      <c r="EXF1" s="6"/>
      <c r="EXG1" s="6"/>
      <c r="EXH1" s="6"/>
      <c r="EXI1" s="6"/>
      <c r="EXJ1" s="6"/>
      <c r="EXK1" s="6"/>
      <c r="EXL1" s="6"/>
      <c r="EXM1" s="6"/>
      <c r="EXN1" s="6"/>
      <c r="EXO1" s="6"/>
      <c r="EXP1" s="6"/>
      <c r="EXQ1" s="6"/>
      <c r="EXR1" s="6"/>
      <c r="EXS1" s="6"/>
      <c r="EXT1" s="6"/>
      <c r="EXU1" s="6"/>
      <c r="EXV1" s="6"/>
      <c r="EXW1" s="6"/>
      <c r="EXX1" s="6"/>
      <c r="EXY1" s="6"/>
      <c r="EXZ1" s="6"/>
      <c r="EYA1" s="6"/>
      <c r="EYB1" s="6"/>
      <c r="EYC1" s="6"/>
      <c r="EYD1" s="6"/>
      <c r="EYE1" s="6"/>
      <c r="EYF1" s="6"/>
      <c r="EYG1" s="6"/>
      <c r="EYH1" s="6"/>
      <c r="EYI1" s="6"/>
      <c r="EYJ1" s="6"/>
      <c r="EYK1" s="6"/>
      <c r="EYL1" s="6"/>
      <c r="EYM1" s="6"/>
      <c r="EYN1" s="6"/>
      <c r="EYO1" s="6"/>
      <c r="EYP1" s="6"/>
      <c r="EYQ1" s="6"/>
      <c r="EYR1" s="6"/>
      <c r="EYS1" s="6"/>
      <c r="EYT1" s="6"/>
      <c r="EYU1" s="6"/>
      <c r="EYV1" s="6"/>
      <c r="EYW1" s="6"/>
      <c r="EYX1" s="6"/>
      <c r="EYY1" s="6"/>
      <c r="EYZ1" s="6"/>
      <c r="EZA1" s="6"/>
      <c r="EZB1" s="6"/>
      <c r="EZC1" s="6"/>
      <c r="EZD1" s="6"/>
      <c r="EZE1" s="6"/>
      <c r="EZF1" s="6"/>
      <c r="EZG1" s="6"/>
      <c r="EZH1" s="6"/>
      <c r="EZI1" s="6"/>
      <c r="EZJ1" s="6"/>
      <c r="EZK1" s="6"/>
      <c r="EZL1" s="6"/>
      <c r="EZM1" s="6"/>
      <c r="EZN1" s="6"/>
      <c r="EZO1" s="6"/>
      <c r="EZP1" s="6"/>
      <c r="EZQ1" s="6"/>
      <c r="EZR1" s="6"/>
      <c r="EZS1" s="6"/>
      <c r="EZT1" s="6"/>
      <c r="EZU1" s="6"/>
      <c r="EZV1" s="6"/>
      <c r="EZW1" s="6"/>
      <c r="EZX1" s="6"/>
      <c r="EZY1" s="6"/>
      <c r="EZZ1" s="6"/>
      <c r="FAA1" s="6"/>
      <c r="FAB1" s="6"/>
      <c r="FAC1" s="6"/>
      <c r="FAD1" s="6"/>
      <c r="FAE1" s="6"/>
      <c r="FAF1" s="6"/>
      <c r="FAG1" s="6"/>
      <c r="FAH1" s="6"/>
      <c r="FAI1" s="6"/>
      <c r="FAJ1" s="6"/>
      <c r="FAK1" s="6"/>
      <c r="FAL1" s="6"/>
      <c r="FAM1" s="6"/>
      <c r="FAN1" s="6"/>
      <c r="FAO1" s="6"/>
      <c r="FAP1" s="6"/>
      <c r="FAQ1" s="6"/>
      <c r="FAR1" s="6"/>
      <c r="FAS1" s="6"/>
      <c r="FAT1" s="6"/>
      <c r="FAU1" s="6"/>
      <c r="FAV1" s="6"/>
      <c r="FAW1" s="6"/>
      <c r="FAX1" s="6"/>
      <c r="FAY1" s="6"/>
      <c r="FAZ1" s="6"/>
      <c r="FBA1" s="6"/>
      <c r="FBB1" s="6"/>
      <c r="FBC1" s="6"/>
      <c r="FBD1" s="6"/>
      <c r="FBE1" s="6"/>
      <c r="FBF1" s="6"/>
      <c r="FBG1" s="6"/>
      <c r="FBH1" s="6"/>
      <c r="FBI1" s="6"/>
      <c r="FBJ1" s="6"/>
      <c r="FBK1" s="6"/>
      <c r="FBL1" s="6"/>
      <c r="FBM1" s="6"/>
      <c r="FBN1" s="6"/>
      <c r="FBO1" s="6"/>
      <c r="FBP1" s="6"/>
      <c r="FBQ1" s="6"/>
      <c r="FBR1" s="6"/>
      <c r="FBS1" s="6"/>
      <c r="FBT1" s="6"/>
      <c r="FBU1" s="6"/>
      <c r="FBV1" s="6"/>
      <c r="FBW1" s="6"/>
      <c r="FBX1" s="6"/>
      <c r="FBY1" s="6"/>
      <c r="FBZ1" s="6"/>
      <c r="FCA1" s="6"/>
      <c r="FCB1" s="6"/>
      <c r="FCC1" s="6"/>
      <c r="FCD1" s="6"/>
      <c r="FCE1" s="6"/>
      <c r="FCF1" s="6"/>
      <c r="FCG1" s="6"/>
      <c r="FCH1" s="6"/>
      <c r="FCI1" s="6"/>
      <c r="FCJ1" s="6"/>
      <c r="FCK1" s="6"/>
      <c r="FCL1" s="6"/>
      <c r="FCM1" s="6"/>
      <c r="FCN1" s="6"/>
      <c r="FCO1" s="6"/>
      <c r="FCP1" s="6"/>
      <c r="FCQ1" s="6"/>
      <c r="FCR1" s="6"/>
      <c r="FCS1" s="6"/>
      <c r="FCT1" s="6"/>
      <c r="FCU1" s="6"/>
      <c r="FCV1" s="6"/>
      <c r="FCW1" s="6"/>
      <c r="FCX1" s="6"/>
      <c r="FCY1" s="6"/>
      <c r="FCZ1" s="6"/>
      <c r="FDA1" s="6"/>
      <c r="FDB1" s="6"/>
      <c r="FDC1" s="6"/>
      <c r="FDD1" s="6"/>
      <c r="FDE1" s="6"/>
      <c r="FDF1" s="6"/>
      <c r="FDG1" s="6"/>
      <c r="FDH1" s="6"/>
      <c r="FDI1" s="6"/>
      <c r="FDJ1" s="6"/>
      <c r="FDK1" s="6"/>
      <c r="FDL1" s="6"/>
      <c r="FDM1" s="6"/>
      <c r="FDN1" s="6"/>
      <c r="FDO1" s="6"/>
      <c r="FDP1" s="6"/>
      <c r="FDQ1" s="6"/>
      <c r="FDR1" s="6"/>
      <c r="FDS1" s="6"/>
      <c r="FDT1" s="6"/>
      <c r="FDU1" s="6"/>
      <c r="FDV1" s="6"/>
      <c r="FDW1" s="6"/>
      <c r="FDX1" s="6"/>
      <c r="FDY1" s="6"/>
      <c r="FDZ1" s="6"/>
      <c r="FEA1" s="6"/>
      <c r="FEB1" s="6"/>
      <c r="FEC1" s="6"/>
      <c r="FED1" s="6"/>
      <c r="FEE1" s="6"/>
      <c r="FEF1" s="6"/>
      <c r="FEG1" s="6"/>
      <c r="FEH1" s="6"/>
      <c r="FEI1" s="6"/>
      <c r="FEJ1" s="6"/>
      <c r="FEK1" s="6"/>
      <c r="FEL1" s="6"/>
      <c r="FEM1" s="6"/>
      <c r="FEN1" s="6"/>
      <c r="FEO1" s="6"/>
      <c r="FEP1" s="6"/>
      <c r="FEQ1" s="6"/>
      <c r="FER1" s="6"/>
      <c r="FES1" s="6"/>
      <c r="FET1" s="6"/>
      <c r="FEU1" s="6"/>
      <c r="FEV1" s="6"/>
      <c r="FEW1" s="6"/>
      <c r="FEX1" s="6"/>
      <c r="FEY1" s="6"/>
      <c r="FEZ1" s="6"/>
      <c r="FFA1" s="6"/>
      <c r="FFB1" s="6"/>
      <c r="FFC1" s="6"/>
      <c r="FFD1" s="6"/>
      <c r="FFE1" s="6"/>
      <c r="FFF1" s="6"/>
      <c r="FFG1" s="6"/>
      <c r="FFH1" s="6"/>
      <c r="FFI1" s="6"/>
      <c r="FFJ1" s="6"/>
      <c r="FFK1" s="6"/>
      <c r="FFL1" s="6"/>
      <c r="FFM1" s="6"/>
      <c r="FFN1" s="6"/>
      <c r="FFO1" s="6"/>
      <c r="FFP1" s="6"/>
      <c r="FFQ1" s="6"/>
      <c r="FFR1" s="6"/>
      <c r="FFS1" s="6"/>
      <c r="FFT1" s="6"/>
      <c r="FFU1" s="6"/>
      <c r="FFV1" s="6"/>
      <c r="FFW1" s="6"/>
      <c r="FFX1" s="6"/>
      <c r="FFY1" s="6"/>
      <c r="FFZ1" s="6"/>
      <c r="FGA1" s="6"/>
      <c r="FGB1" s="6"/>
      <c r="FGC1" s="6"/>
      <c r="FGD1" s="6"/>
      <c r="FGE1" s="6"/>
      <c r="FGF1" s="6"/>
      <c r="FGG1" s="6"/>
      <c r="FGH1" s="6"/>
      <c r="FGI1" s="6"/>
      <c r="FGJ1" s="6"/>
      <c r="FGK1" s="6"/>
      <c r="FGL1" s="6"/>
      <c r="FGM1" s="6"/>
      <c r="FGN1" s="6"/>
      <c r="FGO1" s="6"/>
      <c r="FGP1" s="6"/>
      <c r="FGQ1" s="6"/>
      <c r="FGR1" s="6"/>
      <c r="FGS1" s="6"/>
      <c r="FGT1" s="6"/>
      <c r="FGU1" s="6"/>
      <c r="FGV1" s="6"/>
      <c r="FGW1" s="6"/>
      <c r="FGX1" s="6"/>
      <c r="FGY1" s="6"/>
      <c r="FGZ1" s="6"/>
      <c r="FHA1" s="6"/>
      <c r="FHB1" s="6"/>
      <c r="FHC1" s="6"/>
      <c r="FHD1" s="6"/>
      <c r="FHE1" s="6"/>
      <c r="FHF1" s="6"/>
      <c r="FHG1" s="6"/>
      <c r="FHH1" s="6"/>
      <c r="FHI1" s="6"/>
      <c r="FHJ1" s="6"/>
      <c r="FHK1" s="6"/>
      <c r="FHL1" s="6"/>
      <c r="FHM1" s="6"/>
      <c r="FHN1" s="6"/>
      <c r="FHO1" s="6"/>
      <c r="FHP1" s="6"/>
      <c r="FHQ1" s="6"/>
      <c r="FHR1" s="6"/>
      <c r="FHS1" s="6"/>
      <c r="FHT1" s="6"/>
      <c r="FHU1" s="6"/>
      <c r="FHV1" s="6"/>
      <c r="FHW1" s="6"/>
      <c r="FHX1" s="6"/>
      <c r="FHY1" s="6"/>
      <c r="FHZ1" s="6"/>
      <c r="FIA1" s="6"/>
      <c r="FIB1" s="6"/>
      <c r="FIC1" s="6"/>
      <c r="FID1" s="6"/>
      <c r="FIE1" s="6"/>
      <c r="FIF1" s="6"/>
      <c r="FIG1" s="6"/>
      <c r="FIH1" s="6"/>
      <c r="FII1" s="6"/>
      <c r="FIJ1" s="6"/>
      <c r="FIK1" s="6"/>
      <c r="FIL1" s="6"/>
      <c r="FIM1" s="6"/>
      <c r="FIN1" s="6"/>
      <c r="FIO1" s="6"/>
      <c r="FIP1" s="6"/>
      <c r="FIQ1" s="6"/>
      <c r="FIR1" s="6"/>
      <c r="FIS1" s="6"/>
      <c r="FIT1" s="6"/>
      <c r="FIU1" s="6"/>
      <c r="FIV1" s="6"/>
      <c r="FIW1" s="6"/>
      <c r="FIX1" s="6"/>
      <c r="FIY1" s="6"/>
      <c r="FIZ1" s="6"/>
      <c r="FJA1" s="6"/>
      <c r="FJB1" s="6"/>
      <c r="FJC1" s="6"/>
      <c r="FJD1" s="6"/>
      <c r="FJE1" s="6"/>
      <c r="FJF1" s="6"/>
      <c r="FJG1" s="6"/>
      <c r="FJH1" s="6"/>
      <c r="FJI1" s="6"/>
      <c r="FJJ1" s="6"/>
      <c r="FJK1" s="6"/>
      <c r="FJL1" s="6"/>
      <c r="FJM1" s="6"/>
      <c r="FJN1" s="6"/>
      <c r="FJO1" s="6"/>
      <c r="FJP1" s="6"/>
      <c r="FJQ1" s="6"/>
      <c r="FJR1" s="6"/>
      <c r="FJS1" s="6"/>
      <c r="FJT1" s="6"/>
      <c r="FJU1" s="6"/>
      <c r="FJV1" s="6"/>
      <c r="FJW1" s="6"/>
      <c r="FJX1" s="6"/>
      <c r="FJY1" s="6"/>
      <c r="FJZ1" s="6"/>
      <c r="FKA1" s="6"/>
      <c r="FKB1" s="6"/>
      <c r="FKC1" s="6"/>
      <c r="FKD1" s="6"/>
      <c r="FKE1" s="6"/>
      <c r="FKF1" s="6"/>
      <c r="FKG1" s="6"/>
      <c r="FKH1" s="6"/>
      <c r="FKI1" s="6"/>
      <c r="FKJ1" s="6"/>
      <c r="FKK1" s="6"/>
      <c r="FKL1" s="6"/>
      <c r="FKM1" s="6"/>
      <c r="FKN1" s="6"/>
      <c r="FKO1" s="6"/>
      <c r="FKP1" s="6"/>
      <c r="FKQ1" s="6"/>
      <c r="FKR1" s="6"/>
      <c r="FKS1" s="6"/>
      <c r="FKT1" s="6"/>
      <c r="FKU1" s="6"/>
      <c r="FKV1" s="6"/>
      <c r="FKW1" s="6"/>
      <c r="FKX1" s="6"/>
      <c r="FKY1" s="6"/>
      <c r="FKZ1" s="6"/>
      <c r="FLA1" s="6"/>
      <c r="FLB1" s="6"/>
      <c r="FLC1" s="6"/>
      <c r="FLD1" s="6"/>
      <c r="FLE1" s="6"/>
      <c r="FLF1" s="6"/>
      <c r="FLG1" s="6"/>
      <c r="FLH1" s="6"/>
      <c r="FLI1" s="6"/>
      <c r="FLJ1" s="6"/>
      <c r="FLK1" s="6"/>
      <c r="FLL1" s="6"/>
      <c r="FLM1" s="6"/>
      <c r="FLN1" s="6"/>
      <c r="FLO1" s="6"/>
      <c r="FLP1" s="6"/>
      <c r="FLQ1" s="6"/>
      <c r="FLR1" s="6"/>
      <c r="FLS1" s="6"/>
      <c r="FLT1" s="6"/>
      <c r="FLU1" s="6"/>
      <c r="FLV1" s="6"/>
      <c r="FLW1" s="6"/>
      <c r="FLX1" s="6"/>
      <c r="FLY1" s="6"/>
      <c r="FLZ1" s="6"/>
      <c r="FMA1" s="6"/>
      <c r="FMB1" s="6"/>
      <c r="FMC1" s="6"/>
      <c r="FMD1" s="6"/>
      <c r="FME1" s="6"/>
      <c r="FMF1" s="6"/>
      <c r="FMG1" s="6"/>
      <c r="FMH1" s="6"/>
      <c r="FMI1" s="6"/>
      <c r="FMJ1" s="6"/>
      <c r="FMK1" s="6"/>
      <c r="FML1" s="6"/>
      <c r="FMM1" s="6"/>
      <c r="FMN1" s="6"/>
      <c r="FMO1" s="6"/>
      <c r="FMP1" s="6"/>
      <c r="FMQ1" s="6"/>
      <c r="FMR1" s="6"/>
      <c r="FMS1" s="6"/>
      <c r="FMT1" s="6"/>
      <c r="FMU1" s="6"/>
      <c r="FMV1" s="6"/>
      <c r="FMW1" s="6"/>
      <c r="FMX1" s="6"/>
      <c r="FMY1" s="6"/>
      <c r="FMZ1" s="6"/>
      <c r="FNA1" s="6"/>
      <c r="FNB1" s="6"/>
      <c r="FNC1" s="6"/>
      <c r="FND1" s="6"/>
      <c r="FNE1" s="6"/>
      <c r="FNF1" s="6"/>
      <c r="FNG1" s="6"/>
      <c r="FNH1" s="6"/>
      <c r="FNI1" s="6"/>
      <c r="FNJ1" s="6"/>
      <c r="FNK1" s="6"/>
      <c r="FNL1" s="6"/>
      <c r="FNM1" s="6"/>
      <c r="FNN1" s="6"/>
      <c r="FNO1" s="6"/>
      <c r="FNP1" s="6"/>
      <c r="FNQ1" s="6"/>
      <c r="FNR1" s="6"/>
      <c r="FNS1" s="6"/>
      <c r="FNT1" s="6"/>
      <c r="FNU1" s="6"/>
      <c r="FNV1" s="6"/>
      <c r="FNW1" s="6"/>
      <c r="FNX1" s="6"/>
      <c r="FNY1" s="6"/>
      <c r="FNZ1" s="6"/>
      <c r="FOA1" s="6"/>
      <c r="FOB1" s="6"/>
      <c r="FOC1" s="6"/>
      <c r="FOD1" s="6"/>
      <c r="FOE1" s="6"/>
      <c r="FOF1" s="6"/>
      <c r="FOG1" s="6"/>
      <c r="FOH1" s="6"/>
      <c r="FOI1" s="6"/>
      <c r="FOJ1" s="6"/>
      <c r="FOK1" s="6"/>
      <c r="FOL1" s="6"/>
      <c r="FOM1" s="6"/>
      <c r="FON1" s="6"/>
      <c r="FOO1" s="6"/>
      <c r="FOP1" s="6"/>
      <c r="FOQ1" s="6"/>
      <c r="FOR1" s="6"/>
      <c r="FOS1" s="6"/>
      <c r="FOT1" s="6"/>
      <c r="FOU1" s="6"/>
      <c r="FOV1" s="6"/>
      <c r="FOW1" s="6"/>
      <c r="FOX1" s="6"/>
      <c r="FOY1" s="6"/>
      <c r="FOZ1" s="6"/>
      <c r="FPA1" s="6"/>
      <c r="FPB1" s="6"/>
      <c r="FPC1" s="6"/>
      <c r="FPD1" s="6"/>
      <c r="FPE1" s="6"/>
      <c r="FPF1" s="6"/>
      <c r="FPG1" s="6"/>
      <c r="FPH1" s="6"/>
      <c r="FPI1" s="6"/>
      <c r="FPJ1" s="6"/>
      <c r="FPK1" s="6"/>
      <c r="FPL1" s="6"/>
      <c r="FPM1" s="6"/>
      <c r="FPN1" s="6"/>
      <c r="FPO1" s="6"/>
      <c r="FPP1" s="6"/>
      <c r="FPQ1" s="6"/>
      <c r="FPR1" s="6"/>
      <c r="FPS1" s="6"/>
      <c r="FPT1" s="6"/>
      <c r="FPU1" s="6"/>
      <c r="FPV1" s="6"/>
      <c r="FPW1" s="6"/>
      <c r="FPX1" s="6"/>
      <c r="FPY1" s="6"/>
      <c r="FPZ1" s="6"/>
      <c r="FQA1" s="6"/>
      <c r="FQB1" s="6"/>
      <c r="FQC1" s="6"/>
      <c r="FQD1" s="6"/>
      <c r="FQE1" s="6"/>
      <c r="FQF1" s="6"/>
      <c r="FQG1" s="6"/>
      <c r="FQH1" s="6"/>
      <c r="FQI1" s="6"/>
      <c r="FQJ1" s="6"/>
      <c r="FQK1" s="6"/>
      <c r="FQL1" s="6"/>
      <c r="FQM1" s="6"/>
      <c r="FQN1" s="6"/>
      <c r="FQO1" s="6"/>
      <c r="FQP1" s="6"/>
      <c r="FQQ1" s="6"/>
      <c r="FQR1" s="6"/>
      <c r="FQS1" s="6"/>
      <c r="FQT1" s="6"/>
      <c r="FQU1" s="6"/>
      <c r="FQV1" s="6"/>
      <c r="FQW1" s="6"/>
      <c r="FQX1" s="6"/>
      <c r="FQY1" s="6"/>
      <c r="FQZ1" s="6"/>
      <c r="FRA1" s="6"/>
      <c r="FRB1" s="6"/>
      <c r="FRC1" s="6"/>
      <c r="FRD1" s="6"/>
      <c r="FRE1" s="6"/>
      <c r="FRF1" s="6"/>
      <c r="FRG1" s="6"/>
      <c r="FRH1" s="6"/>
      <c r="FRI1" s="6"/>
      <c r="FRJ1" s="6"/>
      <c r="FRK1" s="6"/>
      <c r="FRL1" s="6"/>
      <c r="FRM1" s="6"/>
      <c r="FRN1" s="6"/>
      <c r="FRO1" s="6"/>
      <c r="FRP1" s="6"/>
      <c r="FRQ1" s="6"/>
      <c r="FRR1" s="6"/>
      <c r="FRS1" s="6"/>
      <c r="FRT1" s="6"/>
      <c r="FRU1" s="6"/>
      <c r="FRV1" s="6"/>
      <c r="FRW1" s="6"/>
      <c r="FRX1" s="6"/>
      <c r="FRY1" s="6"/>
      <c r="FRZ1" s="6"/>
      <c r="FSA1" s="6"/>
      <c r="FSB1" s="6"/>
      <c r="FSC1" s="6"/>
      <c r="FSD1" s="6"/>
      <c r="FSE1" s="6"/>
      <c r="FSF1" s="6"/>
      <c r="FSG1" s="6"/>
      <c r="FSH1" s="6"/>
      <c r="FSI1" s="6"/>
      <c r="FSJ1" s="6"/>
      <c r="FSK1" s="6"/>
      <c r="FSL1" s="6"/>
      <c r="FSM1" s="6"/>
      <c r="FSN1" s="6"/>
      <c r="FSO1" s="6"/>
      <c r="FSP1" s="6"/>
      <c r="FSQ1" s="6"/>
      <c r="FSR1" s="6"/>
      <c r="FSS1" s="6"/>
      <c r="FST1" s="6"/>
      <c r="FSU1" s="6"/>
      <c r="FSV1" s="6"/>
      <c r="FSW1" s="6"/>
      <c r="FSX1" s="6"/>
      <c r="FSY1" s="6"/>
      <c r="FSZ1" s="6"/>
      <c r="FTA1" s="6"/>
      <c r="FTB1" s="6"/>
      <c r="FTC1" s="6"/>
      <c r="FTD1" s="6"/>
      <c r="FTE1" s="6"/>
      <c r="FTF1" s="6"/>
      <c r="FTG1" s="6"/>
      <c r="FTH1" s="6"/>
      <c r="FTI1" s="6"/>
      <c r="FTJ1" s="6"/>
      <c r="FTK1" s="6"/>
      <c r="FTL1" s="6"/>
      <c r="FTM1" s="6"/>
      <c r="FTN1" s="6"/>
      <c r="FTO1" s="6"/>
      <c r="FTP1" s="6"/>
      <c r="FTQ1" s="6"/>
      <c r="FTR1" s="6"/>
      <c r="FTS1" s="6"/>
      <c r="FTT1" s="6"/>
      <c r="FTU1" s="6"/>
      <c r="FTV1" s="6"/>
      <c r="FTW1" s="6"/>
      <c r="FTX1" s="6"/>
      <c r="FTY1" s="6"/>
      <c r="FTZ1" s="6"/>
    </row>
    <row r="2" spans="1:4602">
      <c r="A2" t="s">
        <v>26</v>
      </c>
      <c r="B2" t="s">
        <v>27</v>
      </c>
      <c r="C2" t="s">
        <v>28</v>
      </c>
      <c r="D2" t="s">
        <v>29</v>
      </c>
      <c r="E2" t="s">
        <v>30</v>
      </c>
      <c r="F2" t="s">
        <v>31</v>
      </c>
      <c r="G2" t="s">
        <v>32</v>
      </c>
      <c r="H2">
        <v>8.9</v>
      </c>
      <c r="I2">
        <v>23.8</v>
      </c>
      <c r="J2" t="s">
        <v>33</v>
      </c>
      <c r="K2" t="s">
        <v>34</v>
      </c>
      <c r="L2" t="s">
        <v>35</v>
      </c>
      <c r="M2" t="s">
        <v>36</v>
      </c>
      <c r="N2" t="s">
        <v>37</v>
      </c>
      <c r="O2">
        <v>63</v>
      </c>
      <c r="P2" t="s">
        <v>2265</v>
      </c>
      <c r="Q2">
        <v>0</v>
      </c>
      <c r="R2">
        <v>0</v>
      </c>
      <c r="S2" t="s">
        <v>2265</v>
      </c>
      <c r="T2" t="s">
        <v>38</v>
      </c>
      <c r="U2" t="s">
        <v>39</v>
      </c>
      <c r="V2" t="s">
        <v>39</v>
      </c>
      <c r="W2" t="s">
        <v>39</v>
      </c>
      <c r="X2">
        <v>2023</v>
      </c>
      <c r="Y2" t="s">
        <v>40</v>
      </c>
      <c r="Z2" t="s">
        <v>41</v>
      </c>
    </row>
    <row r="3" spans="1:4602">
      <c r="A3" t="s">
        <v>42</v>
      </c>
      <c r="B3" t="s">
        <v>43</v>
      </c>
      <c r="C3" t="s">
        <v>44</v>
      </c>
      <c r="D3" t="s">
        <v>29</v>
      </c>
      <c r="E3" t="s">
        <v>45</v>
      </c>
      <c r="F3" t="s">
        <v>46</v>
      </c>
      <c r="G3" t="s">
        <v>32</v>
      </c>
      <c r="H3">
        <v>9.6999999999999993</v>
      </c>
      <c r="I3">
        <v>0.7</v>
      </c>
      <c r="J3" t="s">
        <v>33</v>
      </c>
      <c r="K3" t="s">
        <v>47</v>
      </c>
      <c r="L3" t="s">
        <v>48</v>
      </c>
      <c r="M3" t="s">
        <v>49</v>
      </c>
      <c r="N3" t="s">
        <v>50</v>
      </c>
      <c r="O3">
        <v>57</v>
      </c>
      <c r="P3" t="s">
        <v>2265</v>
      </c>
      <c r="Q3">
        <v>0</v>
      </c>
      <c r="R3">
        <v>500</v>
      </c>
      <c r="S3" t="s">
        <v>2265</v>
      </c>
      <c r="T3" t="s">
        <v>51</v>
      </c>
      <c r="U3" t="s">
        <v>39</v>
      </c>
      <c r="V3" t="s">
        <v>39</v>
      </c>
      <c r="W3" t="s">
        <v>52</v>
      </c>
      <c r="X3">
        <v>2024</v>
      </c>
      <c r="Y3" t="s">
        <v>53</v>
      </c>
      <c r="Z3" t="s">
        <v>54</v>
      </c>
    </row>
    <row r="4" spans="1:4602">
      <c r="A4" t="s">
        <v>55</v>
      </c>
      <c r="B4" t="s">
        <v>27</v>
      </c>
      <c r="C4" t="s">
        <v>28</v>
      </c>
      <c r="D4" t="s">
        <v>29</v>
      </c>
      <c r="E4" t="s">
        <v>56</v>
      </c>
      <c r="F4" t="s">
        <v>57</v>
      </c>
      <c r="G4" t="s">
        <v>58</v>
      </c>
      <c r="H4">
        <v>9.6999999999999993</v>
      </c>
      <c r="I4">
        <v>25.7</v>
      </c>
      <c r="J4" t="s">
        <v>20</v>
      </c>
      <c r="K4" t="s">
        <v>59</v>
      </c>
      <c r="L4" t="s">
        <v>60</v>
      </c>
      <c r="M4" t="s">
        <v>47</v>
      </c>
      <c r="N4" t="s">
        <v>61</v>
      </c>
      <c r="O4">
        <v>155</v>
      </c>
      <c r="P4" t="s">
        <v>2265</v>
      </c>
      <c r="Q4">
        <v>0</v>
      </c>
      <c r="R4">
        <v>0</v>
      </c>
      <c r="S4" t="s">
        <v>2265</v>
      </c>
      <c r="T4" t="s">
        <v>62</v>
      </c>
      <c r="U4" t="s">
        <v>39</v>
      </c>
      <c r="V4" t="s">
        <v>52</v>
      </c>
      <c r="W4" t="s">
        <v>52</v>
      </c>
      <c r="X4">
        <v>2023</v>
      </c>
      <c r="Y4" t="s">
        <v>63</v>
      </c>
      <c r="Z4" t="s">
        <v>64</v>
      </c>
    </row>
    <row r="5" spans="1:4602">
      <c r="A5" t="s">
        <v>65</v>
      </c>
      <c r="B5" t="s">
        <v>66</v>
      </c>
      <c r="C5" t="s">
        <v>67</v>
      </c>
      <c r="D5" t="s">
        <v>29</v>
      </c>
      <c r="E5" t="s">
        <v>30</v>
      </c>
      <c r="F5" t="s">
        <v>68</v>
      </c>
      <c r="G5" t="s">
        <v>32</v>
      </c>
      <c r="H5">
        <v>1.3</v>
      </c>
      <c r="I5">
        <v>10.1</v>
      </c>
      <c r="J5" t="s">
        <v>33</v>
      </c>
      <c r="K5" t="s">
        <v>69</v>
      </c>
      <c r="L5" t="s">
        <v>48</v>
      </c>
      <c r="M5" t="s">
        <v>70</v>
      </c>
      <c r="N5" t="s">
        <v>71</v>
      </c>
      <c r="O5">
        <v>75</v>
      </c>
      <c r="P5" t="s">
        <v>72</v>
      </c>
      <c r="Q5">
        <v>2453</v>
      </c>
      <c r="R5">
        <v>5000</v>
      </c>
      <c r="S5" t="s">
        <v>73</v>
      </c>
      <c r="T5" t="s">
        <v>62</v>
      </c>
      <c r="U5" t="s">
        <v>39</v>
      </c>
      <c r="V5" t="s">
        <v>52</v>
      </c>
      <c r="W5" t="s">
        <v>52</v>
      </c>
      <c r="X5">
        <v>2023</v>
      </c>
      <c r="Y5" t="s">
        <v>74</v>
      </c>
      <c r="Z5" t="s">
        <v>54</v>
      </c>
    </row>
    <row r="6" spans="1:4602">
      <c r="A6" t="s">
        <v>75</v>
      </c>
      <c r="B6" t="s">
        <v>43</v>
      </c>
      <c r="C6" t="s">
        <v>76</v>
      </c>
      <c r="D6" t="s">
        <v>77</v>
      </c>
      <c r="E6" t="s">
        <v>78</v>
      </c>
      <c r="F6" t="s">
        <v>46</v>
      </c>
      <c r="G6" t="s">
        <v>32</v>
      </c>
      <c r="H6">
        <v>10.1</v>
      </c>
      <c r="I6">
        <v>27.3</v>
      </c>
      <c r="J6" t="s">
        <v>33</v>
      </c>
      <c r="K6" t="s">
        <v>79</v>
      </c>
      <c r="L6" t="s">
        <v>35</v>
      </c>
      <c r="M6" t="s">
        <v>80</v>
      </c>
      <c r="N6" t="s">
        <v>37</v>
      </c>
      <c r="O6">
        <v>70</v>
      </c>
      <c r="P6" t="s">
        <v>2265</v>
      </c>
      <c r="Q6">
        <v>0</v>
      </c>
      <c r="R6">
        <v>500</v>
      </c>
      <c r="S6" t="s">
        <v>2265</v>
      </c>
      <c r="T6" t="s">
        <v>81</v>
      </c>
      <c r="U6" t="s">
        <v>39</v>
      </c>
      <c r="V6" t="s">
        <v>39</v>
      </c>
      <c r="W6" t="s">
        <v>52</v>
      </c>
      <c r="X6">
        <v>2024</v>
      </c>
      <c r="Y6" t="s">
        <v>82</v>
      </c>
      <c r="Z6" t="s">
        <v>83</v>
      </c>
    </row>
    <row r="7" spans="1:4602">
      <c r="A7" t="s">
        <v>84</v>
      </c>
      <c r="B7" t="s">
        <v>27</v>
      </c>
      <c r="C7" t="s">
        <v>44</v>
      </c>
      <c r="D7" t="s">
        <v>85</v>
      </c>
      <c r="E7" t="s">
        <v>86</v>
      </c>
      <c r="F7" t="s">
        <v>31</v>
      </c>
      <c r="G7" t="s">
        <v>32</v>
      </c>
      <c r="H7">
        <v>6.8</v>
      </c>
      <c r="I7">
        <v>9.6</v>
      </c>
      <c r="J7" t="s">
        <v>33</v>
      </c>
      <c r="K7" t="s">
        <v>87</v>
      </c>
      <c r="L7" t="s">
        <v>48</v>
      </c>
      <c r="M7" t="s">
        <v>88</v>
      </c>
      <c r="N7" t="s">
        <v>71</v>
      </c>
      <c r="O7">
        <v>68</v>
      </c>
      <c r="P7" t="s">
        <v>89</v>
      </c>
      <c r="Q7">
        <v>1510</v>
      </c>
      <c r="R7">
        <v>2000</v>
      </c>
      <c r="S7" t="s">
        <v>90</v>
      </c>
      <c r="T7" t="s">
        <v>38</v>
      </c>
      <c r="U7" t="s">
        <v>39</v>
      </c>
      <c r="V7" t="s">
        <v>39</v>
      </c>
      <c r="W7" t="s">
        <v>52</v>
      </c>
      <c r="X7">
        <v>2022</v>
      </c>
      <c r="Y7" t="s">
        <v>91</v>
      </c>
      <c r="Z7" t="s">
        <v>64</v>
      </c>
    </row>
    <row r="8" spans="1:4602">
      <c r="A8" t="s">
        <v>92</v>
      </c>
      <c r="B8" t="s">
        <v>93</v>
      </c>
      <c r="C8" t="s">
        <v>76</v>
      </c>
      <c r="D8" t="s">
        <v>77</v>
      </c>
      <c r="E8" t="s">
        <v>94</v>
      </c>
      <c r="F8" t="s">
        <v>95</v>
      </c>
      <c r="G8" t="s">
        <v>32</v>
      </c>
      <c r="H8">
        <v>7.2</v>
      </c>
      <c r="I8">
        <v>16.600000000000001</v>
      </c>
      <c r="J8" t="s">
        <v>96</v>
      </c>
      <c r="K8" t="s">
        <v>97</v>
      </c>
      <c r="L8" t="s">
        <v>98</v>
      </c>
      <c r="M8" t="s">
        <v>99</v>
      </c>
      <c r="N8" t="s">
        <v>100</v>
      </c>
      <c r="O8">
        <v>99</v>
      </c>
      <c r="P8" t="s">
        <v>2265</v>
      </c>
      <c r="Q8">
        <v>0</v>
      </c>
      <c r="R8">
        <v>0</v>
      </c>
      <c r="S8" t="s">
        <v>2265</v>
      </c>
      <c r="T8" t="s">
        <v>51</v>
      </c>
      <c r="U8" t="s">
        <v>39</v>
      </c>
      <c r="V8" t="s">
        <v>52</v>
      </c>
      <c r="W8" t="s">
        <v>52</v>
      </c>
      <c r="X8">
        <v>2022</v>
      </c>
      <c r="Y8" t="s">
        <v>53</v>
      </c>
      <c r="Z8" t="s">
        <v>54</v>
      </c>
    </row>
    <row r="9" spans="1:4602">
      <c r="A9" t="s">
        <v>101</v>
      </c>
      <c r="B9" t="s">
        <v>66</v>
      </c>
      <c r="C9" t="s">
        <v>102</v>
      </c>
      <c r="D9" t="s">
        <v>77</v>
      </c>
      <c r="E9" t="s">
        <v>78</v>
      </c>
      <c r="F9" t="s">
        <v>68</v>
      </c>
      <c r="G9" t="s">
        <v>32</v>
      </c>
      <c r="H9">
        <v>10.5</v>
      </c>
      <c r="I9">
        <v>10.8</v>
      </c>
      <c r="J9" t="s">
        <v>96</v>
      </c>
      <c r="K9" t="s">
        <v>103</v>
      </c>
      <c r="L9" t="s">
        <v>48</v>
      </c>
      <c r="M9" t="s">
        <v>104</v>
      </c>
      <c r="N9" t="s">
        <v>71</v>
      </c>
      <c r="O9">
        <v>68</v>
      </c>
      <c r="P9" t="s">
        <v>105</v>
      </c>
      <c r="Q9">
        <v>7158</v>
      </c>
      <c r="R9">
        <v>0</v>
      </c>
      <c r="S9" t="s">
        <v>73</v>
      </c>
      <c r="T9" t="s">
        <v>62</v>
      </c>
      <c r="U9" t="s">
        <v>39</v>
      </c>
      <c r="V9" t="s">
        <v>52</v>
      </c>
      <c r="W9" t="s">
        <v>39</v>
      </c>
      <c r="X9">
        <v>2022</v>
      </c>
      <c r="Y9" t="s">
        <v>106</v>
      </c>
      <c r="Z9" t="s">
        <v>83</v>
      </c>
    </row>
    <row r="10" spans="1:4602">
      <c r="A10" t="s">
        <v>107</v>
      </c>
      <c r="B10" t="s">
        <v>108</v>
      </c>
      <c r="C10" t="s">
        <v>28</v>
      </c>
      <c r="D10" t="s">
        <v>29</v>
      </c>
      <c r="E10" t="s">
        <v>56</v>
      </c>
      <c r="F10" t="s">
        <v>109</v>
      </c>
      <c r="G10" t="s">
        <v>58</v>
      </c>
      <c r="H10">
        <v>11.4</v>
      </c>
      <c r="I10">
        <v>3.5</v>
      </c>
      <c r="J10" t="s">
        <v>33</v>
      </c>
      <c r="K10" t="s">
        <v>110</v>
      </c>
      <c r="L10" t="s">
        <v>98</v>
      </c>
      <c r="M10" t="s">
        <v>111</v>
      </c>
      <c r="N10" t="s">
        <v>71</v>
      </c>
      <c r="O10">
        <v>62</v>
      </c>
      <c r="P10" t="s">
        <v>112</v>
      </c>
      <c r="Q10">
        <v>2486</v>
      </c>
      <c r="R10">
        <v>1000</v>
      </c>
      <c r="S10" t="s">
        <v>113</v>
      </c>
      <c r="T10" t="s">
        <v>51</v>
      </c>
      <c r="U10" t="s">
        <v>52</v>
      </c>
      <c r="V10" t="s">
        <v>39</v>
      </c>
      <c r="W10" t="s">
        <v>52</v>
      </c>
      <c r="X10">
        <v>2023</v>
      </c>
      <c r="Y10" t="s">
        <v>114</v>
      </c>
      <c r="Z10" t="s">
        <v>41</v>
      </c>
    </row>
    <row r="11" spans="1:4602">
      <c r="A11" t="s">
        <v>115</v>
      </c>
      <c r="B11" t="s">
        <v>116</v>
      </c>
      <c r="C11" t="s">
        <v>102</v>
      </c>
      <c r="D11" t="s">
        <v>29</v>
      </c>
      <c r="E11" t="s">
        <v>117</v>
      </c>
      <c r="F11" t="s">
        <v>31</v>
      </c>
      <c r="G11" t="s">
        <v>58</v>
      </c>
      <c r="H11">
        <v>3.1</v>
      </c>
      <c r="I11">
        <v>2.7</v>
      </c>
      <c r="J11" t="s">
        <v>33</v>
      </c>
      <c r="K11" t="s">
        <v>118</v>
      </c>
      <c r="L11" t="s">
        <v>35</v>
      </c>
      <c r="M11" t="s">
        <v>119</v>
      </c>
      <c r="N11" t="s">
        <v>50</v>
      </c>
      <c r="O11">
        <v>113</v>
      </c>
      <c r="P11" t="s">
        <v>2265</v>
      </c>
      <c r="Q11">
        <v>0</v>
      </c>
      <c r="R11">
        <v>0</v>
      </c>
      <c r="S11" t="s">
        <v>2265</v>
      </c>
      <c r="T11" t="s">
        <v>38</v>
      </c>
      <c r="U11" t="s">
        <v>39</v>
      </c>
      <c r="V11" t="s">
        <v>39</v>
      </c>
      <c r="W11" t="s">
        <v>39</v>
      </c>
      <c r="X11">
        <v>2024</v>
      </c>
      <c r="Y11" t="s">
        <v>82</v>
      </c>
      <c r="Z11" t="s">
        <v>83</v>
      </c>
    </row>
    <row r="12" spans="1:4602">
      <c r="A12" t="s">
        <v>120</v>
      </c>
      <c r="B12" t="s">
        <v>43</v>
      </c>
      <c r="C12" t="s">
        <v>121</v>
      </c>
      <c r="D12" t="s">
        <v>122</v>
      </c>
      <c r="E12" t="s">
        <v>123</v>
      </c>
      <c r="F12" t="s">
        <v>124</v>
      </c>
      <c r="G12" t="s">
        <v>32</v>
      </c>
      <c r="H12">
        <v>8.1</v>
      </c>
      <c r="I12">
        <v>7.9</v>
      </c>
      <c r="J12" t="s">
        <v>96</v>
      </c>
      <c r="K12" t="s">
        <v>125</v>
      </c>
      <c r="L12" t="s">
        <v>126</v>
      </c>
      <c r="M12" t="s">
        <v>127</v>
      </c>
      <c r="N12" t="s">
        <v>61</v>
      </c>
      <c r="O12">
        <v>61</v>
      </c>
      <c r="P12" t="s">
        <v>2265</v>
      </c>
      <c r="Q12">
        <v>0</v>
      </c>
      <c r="R12">
        <v>0</v>
      </c>
      <c r="S12" t="s">
        <v>2265</v>
      </c>
      <c r="T12" t="s">
        <v>81</v>
      </c>
      <c r="U12" t="s">
        <v>39</v>
      </c>
      <c r="V12" t="s">
        <v>39</v>
      </c>
      <c r="W12" t="s">
        <v>52</v>
      </c>
      <c r="X12">
        <v>2024</v>
      </c>
      <c r="Y12" t="s">
        <v>128</v>
      </c>
      <c r="Z12" t="s">
        <v>64</v>
      </c>
    </row>
    <row r="13" spans="1:4602">
      <c r="A13" t="s">
        <v>129</v>
      </c>
      <c r="B13" t="s">
        <v>116</v>
      </c>
      <c r="C13" t="s">
        <v>102</v>
      </c>
      <c r="D13" t="s">
        <v>122</v>
      </c>
      <c r="E13" t="s">
        <v>130</v>
      </c>
      <c r="F13" t="s">
        <v>124</v>
      </c>
      <c r="G13" t="s">
        <v>58</v>
      </c>
      <c r="H13">
        <v>4.9000000000000004</v>
      </c>
      <c r="I13">
        <v>12.2</v>
      </c>
      <c r="J13" t="s">
        <v>20</v>
      </c>
      <c r="K13" t="s">
        <v>131</v>
      </c>
      <c r="L13" t="s">
        <v>126</v>
      </c>
      <c r="M13" t="s">
        <v>132</v>
      </c>
      <c r="N13" t="s">
        <v>71</v>
      </c>
      <c r="O13">
        <v>120</v>
      </c>
      <c r="P13" t="s">
        <v>89</v>
      </c>
      <c r="Q13">
        <v>903</v>
      </c>
      <c r="R13">
        <v>0</v>
      </c>
      <c r="S13" t="s">
        <v>90</v>
      </c>
      <c r="T13" t="s">
        <v>81</v>
      </c>
      <c r="U13" t="s">
        <v>39</v>
      </c>
      <c r="V13" t="s">
        <v>52</v>
      </c>
      <c r="W13" t="s">
        <v>52</v>
      </c>
      <c r="X13">
        <v>2024</v>
      </c>
      <c r="Y13" t="s">
        <v>74</v>
      </c>
      <c r="Z13" t="s">
        <v>54</v>
      </c>
    </row>
    <row r="14" spans="1:4602">
      <c r="A14" t="s">
        <v>133</v>
      </c>
      <c r="B14" t="s">
        <v>108</v>
      </c>
      <c r="C14" t="s">
        <v>121</v>
      </c>
      <c r="D14" t="s">
        <v>29</v>
      </c>
      <c r="E14" t="s">
        <v>117</v>
      </c>
      <c r="F14" t="s">
        <v>124</v>
      </c>
      <c r="G14" t="s">
        <v>32</v>
      </c>
      <c r="H14">
        <v>10.199999999999999</v>
      </c>
      <c r="I14">
        <v>6.2</v>
      </c>
      <c r="J14" t="s">
        <v>33</v>
      </c>
      <c r="K14" t="s">
        <v>134</v>
      </c>
      <c r="L14" t="s">
        <v>48</v>
      </c>
      <c r="M14" t="s">
        <v>135</v>
      </c>
      <c r="N14" t="s">
        <v>71</v>
      </c>
      <c r="O14">
        <v>13</v>
      </c>
      <c r="P14" t="s">
        <v>112</v>
      </c>
      <c r="Q14">
        <v>1882</v>
      </c>
      <c r="R14">
        <v>5000</v>
      </c>
      <c r="S14" t="s">
        <v>73</v>
      </c>
      <c r="T14" t="s">
        <v>136</v>
      </c>
      <c r="U14" t="s">
        <v>39</v>
      </c>
      <c r="V14" t="s">
        <v>52</v>
      </c>
      <c r="W14" t="s">
        <v>52</v>
      </c>
      <c r="X14">
        <v>2022</v>
      </c>
      <c r="Y14" t="s">
        <v>40</v>
      </c>
      <c r="Z14" t="s">
        <v>41</v>
      </c>
    </row>
    <row r="15" spans="1:4602">
      <c r="A15" t="s">
        <v>137</v>
      </c>
      <c r="B15" t="s">
        <v>66</v>
      </c>
      <c r="C15" t="s">
        <v>76</v>
      </c>
      <c r="D15" t="s">
        <v>85</v>
      </c>
      <c r="E15" t="s">
        <v>138</v>
      </c>
      <c r="F15" t="s">
        <v>46</v>
      </c>
      <c r="G15" t="s">
        <v>58</v>
      </c>
      <c r="H15">
        <v>2.7</v>
      </c>
      <c r="I15">
        <v>2.5</v>
      </c>
      <c r="J15" t="s">
        <v>33</v>
      </c>
      <c r="K15" t="s">
        <v>139</v>
      </c>
      <c r="L15" t="s">
        <v>140</v>
      </c>
      <c r="M15" t="s">
        <v>141</v>
      </c>
      <c r="N15" t="s">
        <v>37</v>
      </c>
      <c r="O15">
        <v>40</v>
      </c>
      <c r="P15" t="s">
        <v>2265</v>
      </c>
      <c r="Q15">
        <v>0</v>
      </c>
      <c r="R15">
        <v>500</v>
      </c>
      <c r="S15" t="s">
        <v>2265</v>
      </c>
      <c r="T15" t="s">
        <v>136</v>
      </c>
      <c r="U15" t="s">
        <v>39</v>
      </c>
      <c r="V15" t="s">
        <v>39</v>
      </c>
      <c r="W15" t="s">
        <v>39</v>
      </c>
      <c r="X15">
        <v>2024</v>
      </c>
      <c r="Y15" t="s">
        <v>114</v>
      </c>
      <c r="Z15" t="s">
        <v>41</v>
      </c>
    </row>
    <row r="16" spans="1:4602">
      <c r="A16" t="s">
        <v>142</v>
      </c>
      <c r="B16" t="s">
        <v>43</v>
      </c>
      <c r="C16" t="s">
        <v>76</v>
      </c>
      <c r="D16" t="s">
        <v>77</v>
      </c>
      <c r="E16" t="s">
        <v>143</v>
      </c>
      <c r="F16" t="s">
        <v>31</v>
      </c>
      <c r="G16" t="s">
        <v>58</v>
      </c>
      <c r="H16">
        <v>1.5</v>
      </c>
      <c r="I16">
        <v>31.2</v>
      </c>
      <c r="J16" t="s">
        <v>144</v>
      </c>
      <c r="K16" t="s">
        <v>145</v>
      </c>
      <c r="L16" t="s">
        <v>98</v>
      </c>
      <c r="M16" t="s">
        <v>146</v>
      </c>
      <c r="N16" t="s">
        <v>37</v>
      </c>
      <c r="O16">
        <v>173</v>
      </c>
      <c r="P16" t="s">
        <v>2265</v>
      </c>
      <c r="Q16">
        <v>0</v>
      </c>
      <c r="R16">
        <v>1000</v>
      </c>
      <c r="S16" t="s">
        <v>2265</v>
      </c>
      <c r="T16" t="s">
        <v>62</v>
      </c>
      <c r="U16" t="s">
        <v>39</v>
      </c>
      <c r="V16" t="s">
        <v>52</v>
      </c>
      <c r="W16" t="s">
        <v>52</v>
      </c>
      <c r="X16">
        <v>2022</v>
      </c>
      <c r="Y16" t="s">
        <v>53</v>
      </c>
      <c r="Z16" t="s">
        <v>54</v>
      </c>
    </row>
    <row r="17" spans="1:26">
      <c r="A17" t="s">
        <v>147</v>
      </c>
      <c r="B17" t="s">
        <v>116</v>
      </c>
      <c r="C17" t="s">
        <v>76</v>
      </c>
      <c r="D17" t="s">
        <v>122</v>
      </c>
      <c r="E17" t="s">
        <v>148</v>
      </c>
      <c r="F17" t="s">
        <v>149</v>
      </c>
      <c r="G17" t="s">
        <v>58</v>
      </c>
      <c r="H17">
        <v>3.9</v>
      </c>
      <c r="I17">
        <v>26.4</v>
      </c>
      <c r="J17" t="s">
        <v>33</v>
      </c>
      <c r="K17" t="s">
        <v>150</v>
      </c>
      <c r="L17" t="s">
        <v>140</v>
      </c>
      <c r="M17" t="s">
        <v>151</v>
      </c>
      <c r="N17" t="s">
        <v>71</v>
      </c>
      <c r="O17">
        <v>102</v>
      </c>
      <c r="P17" t="s">
        <v>89</v>
      </c>
      <c r="Q17">
        <v>1728</v>
      </c>
      <c r="R17">
        <v>500</v>
      </c>
      <c r="S17" t="s">
        <v>152</v>
      </c>
      <c r="T17" t="s">
        <v>81</v>
      </c>
      <c r="U17" t="s">
        <v>39</v>
      </c>
      <c r="V17" t="s">
        <v>39</v>
      </c>
      <c r="W17" t="s">
        <v>52</v>
      </c>
      <c r="X17">
        <v>2023</v>
      </c>
      <c r="Y17" t="s">
        <v>153</v>
      </c>
      <c r="Z17" t="s">
        <v>54</v>
      </c>
    </row>
    <row r="18" spans="1:26">
      <c r="A18" t="s">
        <v>154</v>
      </c>
      <c r="B18" t="s">
        <v>66</v>
      </c>
      <c r="C18" t="s">
        <v>76</v>
      </c>
      <c r="D18" t="s">
        <v>122</v>
      </c>
      <c r="E18" t="s">
        <v>155</v>
      </c>
      <c r="F18" t="s">
        <v>109</v>
      </c>
      <c r="G18" t="s">
        <v>32</v>
      </c>
      <c r="H18">
        <v>7.4</v>
      </c>
      <c r="I18">
        <v>34.6</v>
      </c>
      <c r="J18" t="s">
        <v>156</v>
      </c>
      <c r="K18" t="s">
        <v>157</v>
      </c>
      <c r="L18" t="s">
        <v>35</v>
      </c>
      <c r="M18" t="s">
        <v>158</v>
      </c>
      <c r="N18" t="s">
        <v>61</v>
      </c>
      <c r="O18">
        <v>113</v>
      </c>
      <c r="P18" t="s">
        <v>2265</v>
      </c>
      <c r="Q18">
        <v>0</v>
      </c>
      <c r="R18">
        <v>0</v>
      </c>
      <c r="S18" t="s">
        <v>2265</v>
      </c>
      <c r="T18" t="s">
        <v>81</v>
      </c>
      <c r="U18" t="s">
        <v>39</v>
      </c>
      <c r="V18" t="s">
        <v>39</v>
      </c>
      <c r="W18" t="s">
        <v>39</v>
      </c>
      <c r="X18">
        <v>2022</v>
      </c>
      <c r="Y18" t="s">
        <v>128</v>
      </c>
      <c r="Z18" t="s">
        <v>64</v>
      </c>
    </row>
    <row r="19" spans="1:26">
      <c r="A19" t="s">
        <v>159</v>
      </c>
      <c r="B19" t="s">
        <v>93</v>
      </c>
      <c r="C19" t="s">
        <v>121</v>
      </c>
      <c r="D19" t="s">
        <v>29</v>
      </c>
      <c r="E19" t="s">
        <v>45</v>
      </c>
      <c r="F19" t="s">
        <v>160</v>
      </c>
      <c r="G19" t="s">
        <v>58</v>
      </c>
      <c r="H19">
        <v>2.5</v>
      </c>
      <c r="I19">
        <v>22.4</v>
      </c>
      <c r="J19" t="s">
        <v>33</v>
      </c>
      <c r="K19" t="s">
        <v>161</v>
      </c>
      <c r="L19" t="s">
        <v>98</v>
      </c>
      <c r="M19" t="s">
        <v>162</v>
      </c>
      <c r="N19" t="s">
        <v>37</v>
      </c>
      <c r="O19">
        <v>73</v>
      </c>
      <c r="P19" t="s">
        <v>2265</v>
      </c>
      <c r="Q19">
        <v>0</v>
      </c>
      <c r="R19">
        <v>500</v>
      </c>
      <c r="S19" t="s">
        <v>2265</v>
      </c>
      <c r="T19" t="s">
        <v>136</v>
      </c>
      <c r="U19" t="s">
        <v>39</v>
      </c>
      <c r="V19" t="s">
        <v>39</v>
      </c>
      <c r="W19" t="s">
        <v>39</v>
      </c>
      <c r="X19">
        <v>2023</v>
      </c>
      <c r="Y19" t="s">
        <v>40</v>
      </c>
      <c r="Z19" t="s">
        <v>41</v>
      </c>
    </row>
    <row r="20" spans="1:26">
      <c r="A20" t="s">
        <v>163</v>
      </c>
      <c r="B20" t="s">
        <v>66</v>
      </c>
      <c r="C20" t="s">
        <v>164</v>
      </c>
      <c r="D20" t="s">
        <v>122</v>
      </c>
      <c r="E20" t="s">
        <v>148</v>
      </c>
      <c r="F20" t="s">
        <v>109</v>
      </c>
      <c r="G20" t="s">
        <v>58</v>
      </c>
      <c r="H20">
        <v>6.8</v>
      </c>
      <c r="I20">
        <v>4.4000000000000004</v>
      </c>
      <c r="J20" t="s">
        <v>96</v>
      </c>
      <c r="K20" t="s">
        <v>165</v>
      </c>
      <c r="L20" t="s">
        <v>60</v>
      </c>
      <c r="M20" t="s">
        <v>166</v>
      </c>
      <c r="N20" t="s">
        <v>50</v>
      </c>
      <c r="O20">
        <v>42</v>
      </c>
      <c r="P20" t="s">
        <v>2265</v>
      </c>
      <c r="Q20">
        <v>0</v>
      </c>
      <c r="R20">
        <v>1000</v>
      </c>
      <c r="S20" t="s">
        <v>2265</v>
      </c>
      <c r="T20" t="s">
        <v>62</v>
      </c>
      <c r="U20" t="s">
        <v>39</v>
      </c>
      <c r="V20" t="s">
        <v>52</v>
      </c>
      <c r="W20" t="s">
        <v>52</v>
      </c>
      <c r="X20">
        <v>2023</v>
      </c>
      <c r="Y20" t="s">
        <v>153</v>
      </c>
      <c r="Z20" t="s">
        <v>54</v>
      </c>
    </row>
    <row r="21" spans="1:26">
      <c r="A21" t="s">
        <v>167</v>
      </c>
      <c r="B21" t="s">
        <v>116</v>
      </c>
      <c r="C21" t="s">
        <v>67</v>
      </c>
      <c r="D21" t="s">
        <v>77</v>
      </c>
      <c r="E21" t="s">
        <v>168</v>
      </c>
      <c r="F21" t="s">
        <v>109</v>
      </c>
      <c r="G21" t="s">
        <v>32</v>
      </c>
      <c r="H21">
        <v>2.6</v>
      </c>
      <c r="I21">
        <v>9.1</v>
      </c>
      <c r="J21" t="s">
        <v>20</v>
      </c>
      <c r="K21" t="s">
        <v>169</v>
      </c>
      <c r="L21" t="s">
        <v>98</v>
      </c>
      <c r="M21" t="s">
        <v>170</v>
      </c>
      <c r="N21" t="s">
        <v>171</v>
      </c>
      <c r="O21">
        <v>11</v>
      </c>
      <c r="P21" t="s">
        <v>2265</v>
      </c>
      <c r="Q21">
        <v>0</v>
      </c>
      <c r="R21">
        <v>0</v>
      </c>
      <c r="S21" t="s">
        <v>2265</v>
      </c>
      <c r="T21" t="s">
        <v>81</v>
      </c>
      <c r="U21" t="s">
        <v>39</v>
      </c>
      <c r="V21" t="s">
        <v>39</v>
      </c>
      <c r="W21" t="s">
        <v>52</v>
      </c>
      <c r="X21">
        <v>2024</v>
      </c>
      <c r="Y21" t="s">
        <v>106</v>
      </c>
      <c r="Z21" t="s">
        <v>83</v>
      </c>
    </row>
    <row r="22" spans="1:26">
      <c r="A22" t="s">
        <v>172</v>
      </c>
      <c r="B22" t="s">
        <v>43</v>
      </c>
      <c r="C22" t="s">
        <v>173</v>
      </c>
      <c r="D22" t="s">
        <v>85</v>
      </c>
      <c r="E22" t="s">
        <v>174</v>
      </c>
      <c r="F22" t="s">
        <v>68</v>
      </c>
      <c r="G22" t="s">
        <v>58</v>
      </c>
      <c r="H22">
        <v>9.6</v>
      </c>
      <c r="I22">
        <v>30.3</v>
      </c>
      <c r="J22" t="s">
        <v>144</v>
      </c>
      <c r="K22" t="s">
        <v>175</v>
      </c>
      <c r="L22" t="s">
        <v>35</v>
      </c>
      <c r="M22" t="s">
        <v>176</v>
      </c>
      <c r="N22" t="s">
        <v>100</v>
      </c>
      <c r="O22">
        <v>86</v>
      </c>
      <c r="P22" t="s">
        <v>2265</v>
      </c>
      <c r="Q22">
        <v>0</v>
      </c>
      <c r="R22">
        <v>0</v>
      </c>
      <c r="S22" t="s">
        <v>2265</v>
      </c>
      <c r="T22" t="s">
        <v>136</v>
      </c>
      <c r="U22" t="s">
        <v>39</v>
      </c>
      <c r="V22" t="s">
        <v>39</v>
      </c>
      <c r="W22" t="s">
        <v>52</v>
      </c>
      <c r="X22">
        <v>2023</v>
      </c>
      <c r="Y22" t="s">
        <v>106</v>
      </c>
      <c r="Z22" t="s">
        <v>83</v>
      </c>
    </row>
    <row r="23" spans="1:26">
      <c r="A23" t="s">
        <v>177</v>
      </c>
      <c r="B23" t="s">
        <v>93</v>
      </c>
      <c r="C23" t="s">
        <v>67</v>
      </c>
      <c r="D23" t="s">
        <v>122</v>
      </c>
      <c r="E23" t="s">
        <v>155</v>
      </c>
      <c r="F23" t="s">
        <v>109</v>
      </c>
      <c r="G23" t="s">
        <v>32</v>
      </c>
      <c r="H23">
        <v>4</v>
      </c>
      <c r="I23">
        <v>30.3</v>
      </c>
      <c r="J23" t="s">
        <v>156</v>
      </c>
      <c r="K23" t="s">
        <v>69</v>
      </c>
      <c r="L23" t="s">
        <v>140</v>
      </c>
      <c r="M23" t="s">
        <v>178</v>
      </c>
      <c r="N23" t="s">
        <v>71</v>
      </c>
      <c r="O23">
        <v>58</v>
      </c>
      <c r="P23" t="s">
        <v>72</v>
      </c>
      <c r="Q23">
        <v>1291</v>
      </c>
      <c r="R23">
        <v>500</v>
      </c>
      <c r="S23" t="s">
        <v>73</v>
      </c>
      <c r="T23" t="s">
        <v>38</v>
      </c>
      <c r="U23" t="s">
        <v>39</v>
      </c>
      <c r="V23" t="s">
        <v>39</v>
      </c>
      <c r="W23" t="s">
        <v>52</v>
      </c>
      <c r="X23">
        <v>2023</v>
      </c>
      <c r="Y23" t="s">
        <v>74</v>
      </c>
      <c r="Z23" t="s">
        <v>54</v>
      </c>
    </row>
    <row r="24" spans="1:26">
      <c r="A24" t="s">
        <v>179</v>
      </c>
      <c r="B24" t="s">
        <v>116</v>
      </c>
      <c r="C24" t="s">
        <v>44</v>
      </c>
      <c r="D24" t="s">
        <v>77</v>
      </c>
      <c r="E24" t="s">
        <v>143</v>
      </c>
      <c r="F24" t="s">
        <v>31</v>
      </c>
      <c r="G24" t="s">
        <v>58</v>
      </c>
      <c r="H24">
        <v>5.3</v>
      </c>
      <c r="I24">
        <v>34.5</v>
      </c>
      <c r="J24" t="s">
        <v>33</v>
      </c>
      <c r="K24" t="s">
        <v>180</v>
      </c>
      <c r="L24" t="s">
        <v>35</v>
      </c>
      <c r="M24" t="s">
        <v>181</v>
      </c>
      <c r="N24" t="s">
        <v>171</v>
      </c>
      <c r="O24">
        <v>89</v>
      </c>
      <c r="P24" t="s">
        <v>2265</v>
      </c>
      <c r="Q24">
        <v>0</v>
      </c>
      <c r="R24">
        <v>0</v>
      </c>
      <c r="S24" t="s">
        <v>2265</v>
      </c>
      <c r="T24" t="s">
        <v>136</v>
      </c>
      <c r="U24" t="s">
        <v>39</v>
      </c>
      <c r="V24" t="s">
        <v>52</v>
      </c>
      <c r="W24" t="s">
        <v>52</v>
      </c>
      <c r="X24">
        <v>2024</v>
      </c>
      <c r="Y24" t="s">
        <v>153</v>
      </c>
      <c r="Z24" t="s">
        <v>54</v>
      </c>
    </row>
    <row r="25" spans="1:26">
      <c r="A25" t="s">
        <v>182</v>
      </c>
      <c r="B25" t="s">
        <v>116</v>
      </c>
      <c r="C25" t="s">
        <v>173</v>
      </c>
      <c r="D25" t="s">
        <v>122</v>
      </c>
      <c r="E25" t="s">
        <v>130</v>
      </c>
      <c r="F25" t="s">
        <v>109</v>
      </c>
      <c r="G25" t="s">
        <v>32</v>
      </c>
      <c r="H25">
        <v>7.5</v>
      </c>
      <c r="I25">
        <v>23.4</v>
      </c>
      <c r="J25" t="s">
        <v>156</v>
      </c>
      <c r="K25" t="s">
        <v>183</v>
      </c>
      <c r="L25" t="s">
        <v>126</v>
      </c>
      <c r="M25" t="s">
        <v>184</v>
      </c>
      <c r="N25" t="s">
        <v>171</v>
      </c>
      <c r="O25">
        <v>171</v>
      </c>
      <c r="P25" t="s">
        <v>2265</v>
      </c>
      <c r="Q25">
        <v>0</v>
      </c>
      <c r="R25">
        <v>0</v>
      </c>
      <c r="S25" t="s">
        <v>2265</v>
      </c>
      <c r="T25" t="s">
        <v>51</v>
      </c>
      <c r="U25" t="s">
        <v>52</v>
      </c>
      <c r="V25" t="s">
        <v>52</v>
      </c>
      <c r="W25" t="s">
        <v>52</v>
      </c>
      <c r="X25">
        <v>2022</v>
      </c>
      <c r="Y25" t="s">
        <v>53</v>
      </c>
      <c r="Z25" t="s">
        <v>54</v>
      </c>
    </row>
    <row r="26" spans="1:26">
      <c r="A26" t="s">
        <v>185</v>
      </c>
      <c r="B26" t="s">
        <v>27</v>
      </c>
      <c r="C26" t="s">
        <v>173</v>
      </c>
      <c r="D26" t="s">
        <v>29</v>
      </c>
      <c r="E26" t="s">
        <v>45</v>
      </c>
      <c r="F26" t="s">
        <v>57</v>
      </c>
      <c r="G26" t="s">
        <v>58</v>
      </c>
      <c r="H26">
        <v>8.1999999999999993</v>
      </c>
      <c r="I26">
        <v>31.6</v>
      </c>
      <c r="J26" t="s">
        <v>33</v>
      </c>
      <c r="K26" t="s">
        <v>186</v>
      </c>
      <c r="L26" t="s">
        <v>60</v>
      </c>
      <c r="M26" t="s">
        <v>187</v>
      </c>
      <c r="N26" t="s">
        <v>100</v>
      </c>
      <c r="O26">
        <v>108</v>
      </c>
      <c r="P26" t="s">
        <v>2265</v>
      </c>
      <c r="Q26">
        <v>0</v>
      </c>
      <c r="R26">
        <v>0</v>
      </c>
      <c r="S26" t="s">
        <v>2265</v>
      </c>
      <c r="T26" t="s">
        <v>81</v>
      </c>
      <c r="U26" t="s">
        <v>52</v>
      </c>
      <c r="V26" t="s">
        <v>52</v>
      </c>
      <c r="W26" t="s">
        <v>52</v>
      </c>
      <c r="X26">
        <v>2023</v>
      </c>
      <c r="Y26" t="s">
        <v>106</v>
      </c>
      <c r="Z26" t="s">
        <v>83</v>
      </c>
    </row>
    <row r="27" spans="1:26">
      <c r="A27" t="s">
        <v>188</v>
      </c>
      <c r="B27" t="s">
        <v>66</v>
      </c>
      <c r="C27" t="s">
        <v>164</v>
      </c>
      <c r="D27" t="s">
        <v>77</v>
      </c>
      <c r="E27" t="s">
        <v>78</v>
      </c>
      <c r="F27" t="s">
        <v>95</v>
      </c>
      <c r="G27" t="s">
        <v>32</v>
      </c>
      <c r="H27">
        <v>9.5</v>
      </c>
      <c r="I27">
        <v>33.6</v>
      </c>
      <c r="J27" t="s">
        <v>20</v>
      </c>
      <c r="K27" t="s">
        <v>189</v>
      </c>
      <c r="L27" t="s">
        <v>98</v>
      </c>
      <c r="M27" t="s">
        <v>190</v>
      </c>
      <c r="N27" t="s">
        <v>37</v>
      </c>
      <c r="O27">
        <v>173</v>
      </c>
      <c r="P27" t="s">
        <v>2265</v>
      </c>
      <c r="Q27">
        <v>0</v>
      </c>
      <c r="R27">
        <v>1000</v>
      </c>
      <c r="S27" t="s">
        <v>2265</v>
      </c>
      <c r="T27" t="s">
        <v>62</v>
      </c>
      <c r="U27" t="s">
        <v>39</v>
      </c>
      <c r="V27" t="s">
        <v>39</v>
      </c>
      <c r="W27" t="s">
        <v>52</v>
      </c>
      <c r="X27">
        <v>2024</v>
      </c>
      <c r="Y27" t="s">
        <v>153</v>
      </c>
      <c r="Z27" t="s">
        <v>54</v>
      </c>
    </row>
    <row r="28" spans="1:26">
      <c r="A28" t="s">
        <v>191</v>
      </c>
      <c r="B28" t="s">
        <v>116</v>
      </c>
      <c r="C28" t="s">
        <v>121</v>
      </c>
      <c r="D28" t="s">
        <v>29</v>
      </c>
      <c r="E28" t="s">
        <v>45</v>
      </c>
      <c r="F28" t="s">
        <v>57</v>
      </c>
      <c r="G28" t="s">
        <v>58</v>
      </c>
      <c r="H28">
        <v>11.8</v>
      </c>
      <c r="I28">
        <v>21.6</v>
      </c>
      <c r="J28" t="s">
        <v>156</v>
      </c>
      <c r="K28" t="s">
        <v>192</v>
      </c>
      <c r="L28" t="s">
        <v>98</v>
      </c>
      <c r="M28" t="s">
        <v>193</v>
      </c>
      <c r="N28" t="s">
        <v>71</v>
      </c>
      <c r="O28">
        <v>38</v>
      </c>
      <c r="P28" t="s">
        <v>112</v>
      </c>
      <c r="Q28">
        <v>1689</v>
      </c>
      <c r="R28">
        <v>0</v>
      </c>
      <c r="S28" t="s">
        <v>90</v>
      </c>
      <c r="T28" t="s">
        <v>136</v>
      </c>
      <c r="U28" t="s">
        <v>39</v>
      </c>
      <c r="V28" t="s">
        <v>39</v>
      </c>
      <c r="W28" t="s">
        <v>39</v>
      </c>
      <c r="X28">
        <v>2023</v>
      </c>
      <c r="Y28" t="s">
        <v>82</v>
      </c>
      <c r="Z28" t="s">
        <v>83</v>
      </c>
    </row>
    <row r="29" spans="1:26">
      <c r="A29" t="s">
        <v>194</v>
      </c>
      <c r="B29" t="s">
        <v>43</v>
      </c>
      <c r="C29" t="s">
        <v>28</v>
      </c>
      <c r="D29" t="s">
        <v>29</v>
      </c>
      <c r="E29" t="s">
        <v>195</v>
      </c>
      <c r="F29" t="s">
        <v>149</v>
      </c>
      <c r="G29" t="s">
        <v>58</v>
      </c>
      <c r="H29">
        <v>6.3</v>
      </c>
      <c r="I29">
        <v>2.2000000000000002</v>
      </c>
      <c r="J29" t="s">
        <v>96</v>
      </c>
      <c r="K29" t="s">
        <v>196</v>
      </c>
      <c r="L29" t="s">
        <v>126</v>
      </c>
      <c r="M29" t="s">
        <v>197</v>
      </c>
      <c r="N29" t="s">
        <v>71</v>
      </c>
      <c r="O29">
        <v>57</v>
      </c>
      <c r="P29" t="s">
        <v>105</v>
      </c>
      <c r="Q29">
        <v>4793</v>
      </c>
      <c r="R29">
        <v>2000</v>
      </c>
      <c r="S29" t="s">
        <v>152</v>
      </c>
      <c r="T29" t="s">
        <v>136</v>
      </c>
      <c r="U29" t="s">
        <v>52</v>
      </c>
      <c r="V29" t="s">
        <v>52</v>
      </c>
      <c r="W29" t="s">
        <v>52</v>
      </c>
      <c r="X29">
        <v>2024</v>
      </c>
      <c r="Y29" t="s">
        <v>53</v>
      </c>
      <c r="Z29" t="s">
        <v>54</v>
      </c>
    </row>
    <row r="30" spans="1:26">
      <c r="A30" t="s">
        <v>198</v>
      </c>
      <c r="B30" t="s">
        <v>66</v>
      </c>
      <c r="C30" t="s">
        <v>102</v>
      </c>
      <c r="D30" t="s">
        <v>77</v>
      </c>
      <c r="E30" t="s">
        <v>78</v>
      </c>
      <c r="F30" t="s">
        <v>160</v>
      </c>
      <c r="G30" t="s">
        <v>32</v>
      </c>
      <c r="H30">
        <v>9.1999999999999993</v>
      </c>
      <c r="I30">
        <v>18.5</v>
      </c>
      <c r="J30" t="s">
        <v>33</v>
      </c>
      <c r="K30" t="s">
        <v>199</v>
      </c>
      <c r="L30" t="s">
        <v>98</v>
      </c>
      <c r="M30" t="s">
        <v>200</v>
      </c>
      <c r="N30" t="s">
        <v>37</v>
      </c>
      <c r="O30">
        <v>67</v>
      </c>
      <c r="P30" t="s">
        <v>2265</v>
      </c>
      <c r="Q30">
        <v>0</v>
      </c>
      <c r="R30">
        <v>500</v>
      </c>
      <c r="S30" t="s">
        <v>2265</v>
      </c>
      <c r="T30" t="s">
        <v>51</v>
      </c>
      <c r="U30" t="s">
        <v>39</v>
      </c>
      <c r="V30" t="s">
        <v>52</v>
      </c>
      <c r="W30" t="s">
        <v>52</v>
      </c>
      <c r="X30">
        <v>2024</v>
      </c>
      <c r="Y30" t="s">
        <v>40</v>
      </c>
      <c r="Z30" t="s">
        <v>41</v>
      </c>
    </row>
    <row r="31" spans="1:26">
      <c r="A31" t="s">
        <v>201</v>
      </c>
      <c r="B31" t="s">
        <v>116</v>
      </c>
      <c r="C31" t="s">
        <v>44</v>
      </c>
      <c r="D31" t="s">
        <v>122</v>
      </c>
      <c r="E31" t="s">
        <v>202</v>
      </c>
      <c r="F31" t="s">
        <v>57</v>
      </c>
      <c r="G31" t="s">
        <v>32</v>
      </c>
      <c r="H31">
        <v>8.4</v>
      </c>
      <c r="I31">
        <v>24.9</v>
      </c>
      <c r="J31" t="s">
        <v>20</v>
      </c>
      <c r="K31" t="s">
        <v>203</v>
      </c>
      <c r="L31" t="s">
        <v>126</v>
      </c>
      <c r="M31" t="s">
        <v>204</v>
      </c>
      <c r="N31" t="s">
        <v>71</v>
      </c>
      <c r="O31">
        <v>36</v>
      </c>
      <c r="P31" t="s">
        <v>112</v>
      </c>
      <c r="Q31">
        <v>1447</v>
      </c>
      <c r="R31">
        <v>500</v>
      </c>
      <c r="S31" t="s">
        <v>73</v>
      </c>
      <c r="T31" t="s">
        <v>81</v>
      </c>
      <c r="U31" t="s">
        <v>52</v>
      </c>
      <c r="V31" t="s">
        <v>52</v>
      </c>
      <c r="W31" t="s">
        <v>39</v>
      </c>
      <c r="X31">
        <v>2022</v>
      </c>
      <c r="Y31" t="s">
        <v>153</v>
      </c>
      <c r="Z31" t="s">
        <v>54</v>
      </c>
    </row>
    <row r="32" spans="1:26">
      <c r="A32" t="s">
        <v>205</v>
      </c>
      <c r="B32" t="s">
        <v>108</v>
      </c>
      <c r="C32" t="s">
        <v>102</v>
      </c>
      <c r="D32" t="s">
        <v>77</v>
      </c>
      <c r="E32" t="s">
        <v>94</v>
      </c>
      <c r="F32" t="s">
        <v>149</v>
      </c>
      <c r="G32" t="s">
        <v>58</v>
      </c>
      <c r="H32">
        <v>3.7</v>
      </c>
      <c r="I32">
        <v>14</v>
      </c>
      <c r="J32" t="s">
        <v>33</v>
      </c>
      <c r="K32" t="s">
        <v>206</v>
      </c>
      <c r="L32" t="s">
        <v>126</v>
      </c>
      <c r="M32" t="s">
        <v>181</v>
      </c>
      <c r="N32" t="s">
        <v>171</v>
      </c>
      <c r="O32">
        <v>2</v>
      </c>
      <c r="P32" t="s">
        <v>2265</v>
      </c>
      <c r="Q32">
        <v>0</v>
      </c>
      <c r="R32">
        <v>0</v>
      </c>
      <c r="S32" t="s">
        <v>2265</v>
      </c>
      <c r="T32" t="s">
        <v>136</v>
      </c>
      <c r="U32" t="s">
        <v>39</v>
      </c>
      <c r="V32" t="s">
        <v>52</v>
      </c>
      <c r="W32" t="s">
        <v>52</v>
      </c>
      <c r="X32">
        <v>2024</v>
      </c>
      <c r="Y32" t="s">
        <v>114</v>
      </c>
      <c r="Z32" t="s">
        <v>41</v>
      </c>
    </row>
    <row r="33" spans="1:26">
      <c r="A33" t="s">
        <v>207</v>
      </c>
      <c r="B33" t="s">
        <v>66</v>
      </c>
      <c r="C33" t="s">
        <v>44</v>
      </c>
      <c r="D33" t="s">
        <v>85</v>
      </c>
      <c r="E33" t="s">
        <v>208</v>
      </c>
      <c r="F33" t="s">
        <v>68</v>
      </c>
      <c r="G33" t="s">
        <v>32</v>
      </c>
      <c r="H33">
        <v>6.8</v>
      </c>
      <c r="I33">
        <v>1.4</v>
      </c>
      <c r="J33" t="s">
        <v>33</v>
      </c>
      <c r="K33" t="s">
        <v>209</v>
      </c>
      <c r="L33" t="s">
        <v>35</v>
      </c>
      <c r="M33" t="s">
        <v>210</v>
      </c>
      <c r="N33" t="s">
        <v>71</v>
      </c>
      <c r="O33">
        <v>33</v>
      </c>
      <c r="P33" t="s">
        <v>72</v>
      </c>
      <c r="Q33">
        <v>2113</v>
      </c>
      <c r="R33">
        <v>1000</v>
      </c>
      <c r="S33" t="s">
        <v>90</v>
      </c>
      <c r="T33" t="s">
        <v>51</v>
      </c>
      <c r="U33" t="s">
        <v>39</v>
      </c>
      <c r="V33" t="s">
        <v>52</v>
      </c>
      <c r="W33" t="s">
        <v>52</v>
      </c>
      <c r="X33">
        <v>2024</v>
      </c>
      <c r="Y33" t="s">
        <v>211</v>
      </c>
      <c r="Z33" t="s">
        <v>41</v>
      </c>
    </row>
    <row r="34" spans="1:26">
      <c r="A34" t="s">
        <v>212</v>
      </c>
      <c r="B34" t="s">
        <v>66</v>
      </c>
      <c r="C34" t="s">
        <v>76</v>
      </c>
      <c r="D34" t="s">
        <v>122</v>
      </c>
      <c r="E34" t="s">
        <v>130</v>
      </c>
      <c r="F34" t="s">
        <v>46</v>
      </c>
      <c r="G34" t="s">
        <v>58</v>
      </c>
      <c r="H34">
        <v>10</v>
      </c>
      <c r="I34">
        <v>16.7</v>
      </c>
      <c r="J34" t="s">
        <v>156</v>
      </c>
      <c r="K34" t="s">
        <v>213</v>
      </c>
      <c r="L34" t="s">
        <v>35</v>
      </c>
      <c r="M34" t="s">
        <v>214</v>
      </c>
      <c r="N34" t="s">
        <v>61</v>
      </c>
      <c r="O34">
        <v>108</v>
      </c>
      <c r="P34" t="s">
        <v>2265</v>
      </c>
      <c r="Q34">
        <v>0</v>
      </c>
      <c r="R34">
        <v>0</v>
      </c>
      <c r="S34" t="s">
        <v>2265</v>
      </c>
      <c r="T34" t="s">
        <v>38</v>
      </c>
      <c r="U34" t="s">
        <v>39</v>
      </c>
      <c r="V34" t="s">
        <v>39</v>
      </c>
      <c r="W34" t="s">
        <v>52</v>
      </c>
      <c r="X34">
        <v>2023</v>
      </c>
      <c r="Y34" t="s">
        <v>40</v>
      </c>
      <c r="Z34" t="s">
        <v>41</v>
      </c>
    </row>
    <row r="35" spans="1:26">
      <c r="A35" t="s">
        <v>215</v>
      </c>
      <c r="B35" t="s">
        <v>66</v>
      </c>
      <c r="C35" t="s">
        <v>173</v>
      </c>
      <c r="D35" t="s">
        <v>77</v>
      </c>
      <c r="E35" t="s">
        <v>216</v>
      </c>
      <c r="F35" t="s">
        <v>46</v>
      </c>
      <c r="G35" t="s">
        <v>58</v>
      </c>
      <c r="H35">
        <v>6.8</v>
      </c>
      <c r="I35">
        <v>8</v>
      </c>
      <c r="J35" t="s">
        <v>20</v>
      </c>
      <c r="K35" t="s">
        <v>217</v>
      </c>
      <c r="L35" t="s">
        <v>140</v>
      </c>
      <c r="M35" t="s">
        <v>218</v>
      </c>
      <c r="N35" t="s">
        <v>50</v>
      </c>
      <c r="O35">
        <v>33</v>
      </c>
      <c r="P35" t="s">
        <v>2265</v>
      </c>
      <c r="Q35">
        <v>0</v>
      </c>
      <c r="R35">
        <v>0</v>
      </c>
      <c r="S35" t="s">
        <v>2265</v>
      </c>
      <c r="T35" t="s">
        <v>38</v>
      </c>
      <c r="U35" t="s">
        <v>39</v>
      </c>
      <c r="V35" t="s">
        <v>52</v>
      </c>
      <c r="W35" t="s">
        <v>39</v>
      </c>
      <c r="X35">
        <v>2023</v>
      </c>
      <c r="Y35" t="s">
        <v>53</v>
      </c>
      <c r="Z35" t="s">
        <v>54</v>
      </c>
    </row>
    <row r="36" spans="1:26">
      <c r="A36" t="s">
        <v>219</v>
      </c>
      <c r="B36" t="s">
        <v>116</v>
      </c>
      <c r="C36" t="s">
        <v>102</v>
      </c>
      <c r="D36" t="s">
        <v>77</v>
      </c>
      <c r="E36" t="s">
        <v>220</v>
      </c>
      <c r="F36" t="s">
        <v>95</v>
      </c>
      <c r="G36" t="s">
        <v>32</v>
      </c>
      <c r="H36">
        <v>4.8</v>
      </c>
      <c r="I36">
        <v>25.2</v>
      </c>
      <c r="J36" t="s">
        <v>96</v>
      </c>
      <c r="K36" t="s">
        <v>221</v>
      </c>
      <c r="L36" t="s">
        <v>98</v>
      </c>
      <c r="M36" t="s">
        <v>222</v>
      </c>
      <c r="N36" t="s">
        <v>100</v>
      </c>
      <c r="O36">
        <v>148</v>
      </c>
      <c r="P36" t="s">
        <v>2265</v>
      </c>
      <c r="Q36">
        <v>0</v>
      </c>
      <c r="R36">
        <v>0</v>
      </c>
      <c r="S36" t="s">
        <v>2265</v>
      </c>
      <c r="T36" t="s">
        <v>62</v>
      </c>
      <c r="U36" t="s">
        <v>39</v>
      </c>
      <c r="V36" t="s">
        <v>52</v>
      </c>
      <c r="W36" t="s">
        <v>39</v>
      </c>
      <c r="X36">
        <v>2023</v>
      </c>
      <c r="Y36" t="s">
        <v>91</v>
      </c>
      <c r="Z36" t="s">
        <v>64</v>
      </c>
    </row>
    <row r="37" spans="1:26">
      <c r="A37" t="s">
        <v>223</v>
      </c>
      <c r="B37" t="s">
        <v>116</v>
      </c>
      <c r="C37" t="s">
        <v>44</v>
      </c>
      <c r="D37" t="s">
        <v>122</v>
      </c>
      <c r="E37" t="s">
        <v>202</v>
      </c>
      <c r="F37" t="s">
        <v>149</v>
      </c>
      <c r="G37" t="s">
        <v>58</v>
      </c>
      <c r="H37">
        <v>0.9</v>
      </c>
      <c r="I37">
        <v>22.8</v>
      </c>
      <c r="J37" t="s">
        <v>144</v>
      </c>
      <c r="K37" t="s">
        <v>119</v>
      </c>
      <c r="L37" t="s">
        <v>60</v>
      </c>
      <c r="M37" t="s">
        <v>224</v>
      </c>
      <c r="N37" t="s">
        <v>171</v>
      </c>
      <c r="O37">
        <v>170</v>
      </c>
      <c r="P37" t="s">
        <v>2265</v>
      </c>
      <c r="Q37">
        <v>0</v>
      </c>
      <c r="R37">
        <v>0</v>
      </c>
      <c r="S37" t="s">
        <v>2265</v>
      </c>
      <c r="T37" t="s">
        <v>136</v>
      </c>
      <c r="U37" t="s">
        <v>39</v>
      </c>
      <c r="V37" t="s">
        <v>52</v>
      </c>
      <c r="W37" t="s">
        <v>52</v>
      </c>
      <c r="X37">
        <v>2024</v>
      </c>
      <c r="Y37" t="s">
        <v>53</v>
      </c>
      <c r="Z37" t="s">
        <v>54</v>
      </c>
    </row>
    <row r="38" spans="1:26">
      <c r="A38" t="s">
        <v>225</v>
      </c>
      <c r="B38" t="s">
        <v>93</v>
      </c>
      <c r="C38" t="s">
        <v>67</v>
      </c>
      <c r="D38" t="s">
        <v>29</v>
      </c>
      <c r="E38" t="s">
        <v>94</v>
      </c>
      <c r="F38" t="s">
        <v>124</v>
      </c>
      <c r="G38" t="s">
        <v>58</v>
      </c>
      <c r="H38">
        <v>5.3</v>
      </c>
      <c r="I38">
        <v>25.7</v>
      </c>
      <c r="J38" t="s">
        <v>33</v>
      </c>
      <c r="K38" t="s">
        <v>226</v>
      </c>
      <c r="L38" t="s">
        <v>126</v>
      </c>
      <c r="M38" t="s">
        <v>227</v>
      </c>
      <c r="N38" t="s">
        <v>50</v>
      </c>
      <c r="O38">
        <v>158</v>
      </c>
      <c r="P38" t="s">
        <v>2265</v>
      </c>
      <c r="Q38">
        <v>0</v>
      </c>
      <c r="R38">
        <v>1000</v>
      </c>
      <c r="S38" t="s">
        <v>2265</v>
      </c>
      <c r="T38" t="s">
        <v>81</v>
      </c>
      <c r="U38" t="s">
        <v>52</v>
      </c>
      <c r="V38" t="s">
        <v>52</v>
      </c>
      <c r="W38" t="s">
        <v>52</v>
      </c>
      <c r="X38">
        <v>2023</v>
      </c>
      <c r="Y38" t="s">
        <v>40</v>
      </c>
      <c r="Z38" t="s">
        <v>41</v>
      </c>
    </row>
    <row r="39" spans="1:26">
      <c r="A39" t="s">
        <v>228</v>
      </c>
      <c r="B39" t="s">
        <v>93</v>
      </c>
      <c r="C39" t="s">
        <v>173</v>
      </c>
      <c r="D39" t="s">
        <v>122</v>
      </c>
      <c r="E39" t="s">
        <v>123</v>
      </c>
      <c r="F39" t="s">
        <v>109</v>
      </c>
      <c r="G39" t="s">
        <v>58</v>
      </c>
      <c r="H39">
        <v>4.3</v>
      </c>
      <c r="I39">
        <v>9.4</v>
      </c>
      <c r="J39" t="s">
        <v>20</v>
      </c>
      <c r="K39" t="s">
        <v>229</v>
      </c>
      <c r="L39" t="s">
        <v>48</v>
      </c>
      <c r="M39" t="s">
        <v>127</v>
      </c>
      <c r="N39" t="s">
        <v>71</v>
      </c>
      <c r="O39">
        <v>84</v>
      </c>
      <c r="P39" t="s">
        <v>230</v>
      </c>
      <c r="Q39">
        <v>2497</v>
      </c>
      <c r="R39">
        <v>0</v>
      </c>
      <c r="S39" t="s">
        <v>113</v>
      </c>
      <c r="T39" t="s">
        <v>136</v>
      </c>
      <c r="U39" t="s">
        <v>52</v>
      </c>
      <c r="V39" t="s">
        <v>52</v>
      </c>
      <c r="W39" t="s">
        <v>52</v>
      </c>
      <c r="X39">
        <v>2024</v>
      </c>
      <c r="Y39" t="s">
        <v>91</v>
      </c>
      <c r="Z39" t="s">
        <v>64</v>
      </c>
    </row>
    <row r="40" spans="1:26">
      <c r="A40" t="s">
        <v>231</v>
      </c>
      <c r="B40" t="s">
        <v>66</v>
      </c>
      <c r="C40" t="s">
        <v>67</v>
      </c>
      <c r="D40" t="s">
        <v>77</v>
      </c>
      <c r="E40" t="s">
        <v>78</v>
      </c>
      <c r="F40" t="s">
        <v>149</v>
      </c>
      <c r="G40" t="s">
        <v>32</v>
      </c>
      <c r="H40">
        <v>4.9000000000000004</v>
      </c>
      <c r="I40">
        <v>8.9</v>
      </c>
      <c r="J40" t="s">
        <v>144</v>
      </c>
      <c r="K40" t="s">
        <v>232</v>
      </c>
      <c r="L40" t="s">
        <v>98</v>
      </c>
      <c r="M40" t="s">
        <v>233</v>
      </c>
      <c r="N40" t="s">
        <v>71</v>
      </c>
      <c r="O40">
        <v>5</v>
      </c>
      <c r="P40" t="s">
        <v>105</v>
      </c>
      <c r="Q40">
        <v>5410</v>
      </c>
      <c r="R40">
        <v>0</v>
      </c>
      <c r="S40" t="s">
        <v>152</v>
      </c>
      <c r="T40" t="s">
        <v>51</v>
      </c>
      <c r="U40" t="s">
        <v>52</v>
      </c>
      <c r="V40" t="s">
        <v>52</v>
      </c>
      <c r="W40" t="s">
        <v>52</v>
      </c>
      <c r="X40">
        <v>2024</v>
      </c>
      <c r="Y40" t="s">
        <v>40</v>
      </c>
      <c r="Z40" t="s">
        <v>41</v>
      </c>
    </row>
    <row r="41" spans="1:26">
      <c r="A41" t="s">
        <v>234</v>
      </c>
      <c r="B41" t="s">
        <v>66</v>
      </c>
      <c r="C41" t="s">
        <v>164</v>
      </c>
      <c r="D41" t="s">
        <v>29</v>
      </c>
      <c r="E41" t="s">
        <v>45</v>
      </c>
      <c r="F41" t="s">
        <v>124</v>
      </c>
      <c r="G41" t="s">
        <v>58</v>
      </c>
      <c r="H41">
        <v>1.5</v>
      </c>
      <c r="I41">
        <v>19</v>
      </c>
      <c r="J41" t="s">
        <v>156</v>
      </c>
      <c r="K41" t="s">
        <v>235</v>
      </c>
      <c r="L41" t="s">
        <v>126</v>
      </c>
      <c r="M41" t="s">
        <v>236</v>
      </c>
      <c r="N41" t="s">
        <v>171</v>
      </c>
      <c r="O41">
        <v>50</v>
      </c>
      <c r="P41" t="s">
        <v>2265</v>
      </c>
      <c r="Q41">
        <v>0</v>
      </c>
      <c r="R41">
        <v>0</v>
      </c>
      <c r="S41" t="s">
        <v>2265</v>
      </c>
      <c r="T41" t="s">
        <v>51</v>
      </c>
      <c r="U41" t="s">
        <v>39</v>
      </c>
      <c r="V41" t="s">
        <v>39</v>
      </c>
      <c r="W41" t="s">
        <v>52</v>
      </c>
      <c r="X41">
        <v>2022</v>
      </c>
      <c r="Y41" t="s">
        <v>114</v>
      </c>
      <c r="Z41" t="s">
        <v>41</v>
      </c>
    </row>
    <row r="42" spans="1:26">
      <c r="A42" t="s">
        <v>237</v>
      </c>
      <c r="B42" t="s">
        <v>93</v>
      </c>
      <c r="C42" t="s">
        <v>76</v>
      </c>
      <c r="D42" t="s">
        <v>29</v>
      </c>
      <c r="E42" t="s">
        <v>45</v>
      </c>
      <c r="F42" t="s">
        <v>238</v>
      </c>
      <c r="G42" t="s">
        <v>32</v>
      </c>
      <c r="H42">
        <v>0.3</v>
      </c>
      <c r="I42">
        <v>18.899999999999999</v>
      </c>
      <c r="J42" t="s">
        <v>156</v>
      </c>
      <c r="K42" t="s">
        <v>239</v>
      </c>
      <c r="L42" t="s">
        <v>48</v>
      </c>
      <c r="M42" t="s">
        <v>240</v>
      </c>
      <c r="N42" t="s">
        <v>61</v>
      </c>
      <c r="O42">
        <v>46</v>
      </c>
      <c r="P42" t="s">
        <v>2265</v>
      </c>
      <c r="Q42">
        <v>0</v>
      </c>
      <c r="R42">
        <v>0</v>
      </c>
      <c r="S42" t="s">
        <v>2265</v>
      </c>
      <c r="T42" t="s">
        <v>136</v>
      </c>
      <c r="U42" t="s">
        <v>39</v>
      </c>
      <c r="V42" t="s">
        <v>39</v>
      </c>
      <c r="W42" t="s">
        <v>52</v>
      </c>
      <c r="X42">
        <v>2024</v>
      </c>
      <c r="Y42" t="s">
        <v>106</v>
      </c>
      <c r="Z42" t="s">
        <v>83</v>
      </c>
    </row>
    <row r="43" spans="1:26">
      <c r="A43" t="s">
        <v>241</v>
      </c>
      <c r="B43" t="s">
        <v>116</v>
      </c>
      <c r="C43" t="s">
        <v>44</v>
      </c>
      <c r="D43" t="s">
        <v>77</v>
      </c>
      <c r="E43" t="s">
        <v>78</v>
      </c>
      <c r="F43" t="s">
        <v>149</v>
      </c>
      <c r="G43" t="s">
        <v>58</v>
      </c>
      <c r="H43">
        <v>11.3</v>
      </c>
      <c r="I43">
        <v>17</v>
      </c>
      <c r="J43" t="s">
        <v>20</v>
      </c>
      <c r="K43" t="s">
        <v>242</v>
      </c>
      <c r="L43" t="s">
        <v>98</v>
      </c>
      <c r="M43" t="s">
        <v>210</v>
      </c>
      <c r="N43" t="s">
        <v>71</v>
      </c>
      <c r="O43">
        <v>88</v>
      </c>
      <c r="P43" t="s">
        <v>230</v>
      </c>
      <c r="Q43">
        <v>3420</v>
      </c>
      <c r="R43">
        <v>0</v>
      </c>
      <c r="S43" t="s">
        <v>113</v>
      </c>
      <c r="T43" t="s">
        <v>81</v>
      </c>
      <c r="U43" t="s">
        <v>39</v>
      </c>
      <c r="V43" t="s">
        <v>39</v>
      </c>
      <c r="W43" t="s">
        <v>52</v>
      </c>
      <c r="X43">
        <v>2024</v>
      </c>
      <c r="Y43" t="s">
        <v>153</v>
      </c>
      <c r="Z43" t="s">
        <v>54</v>
      </c>
    </row>
    <row r="44" spans="1:26">
      <c r="A44" t="s">
        <v>243</v>
      </c>
      <c r="B44" t="s">
        <v>27</v>
      </c>
      <c r="C44" t="s">
        <v>44</v>
      </c>
      <c r="D44" t="s">
        <v>29</v>
      </c>
      <c r="E44" t="s">
        <v>244</v>
      </c>
      <c r="F44" t="s">
        <v>160</v>
      </c>
      <c r="G44" t="s">
        <v>58</v>
      </c>
      <c r="H44">
        <v>5.5</v>
      </c>
      <c r="I44">
        <v>15.8</v>
      </c>
      <c r="J44" t="s">
        <v>20</v>
      </c>
      <c r="K44" t="s">
        <v>245</v>
      </c>
      <c r="L44" t="s">
        <v>98</v>
      </c>
      <c r="M44" t="s">
        <v>246</v>
      </c>
      <c r="N44" t="s">
        <v>37</v>
      </c>
      <c r="O44">
        <v>156</v>
      </c>
      <c r="P44" t="s">
        <v>2265</v>
      </c>
      <c r="Q44">
        <v>0</v>
      </c>
      <c r="R44">
        <v>1000</v>
      </c>
      <c r="S44" t="s">
        <v>2265</v>
      </c>
      <c r="T44" t="s">
        <v>38</v>
      </c>
      <c r="U44" t="s">
        <v>39</v>
      </c>
      <c r="V44" t="s">
        <v>52</v>
      </c>
      <c r="W44" t="s">
        <v>52</v>
      </c>
      <c r="X44">
        <v>2024</v>
      </c>
      <c r="Y44" t="s">
        <v>53</v>
      </c>
      <c r="Z44" t="s">
        <v>54</v>
      </c>
    </row>
    <row r="45" spans="1:26">
      <c r="A45" t="s">
        <v>247</v>
      </c>
      <c r="B45" t="s">
        <v>108</v>
      </c>
      <c r="C45" t="s">
        <v>121</v>
      </c>
      <c r="D45" t="s">
        <v>29</v>
      </c>
      <c r="E45" t="s">
        <v>94</v>
      </c>
      <c r="F45" t="s">
        <v>31</v>
      </c>
      <c r="G45" t="s">
        <v>32</v>
      </c>
      <c r="H45">
        <v>6.7</v>
      </c>
      <c r="I45">
        <v>5.9</v>
      </c>
      <c r="J45" t="s">
        <v>33</v>
      </c>
      <c r="K45" t="s">
        <v>248</v>
      </c>
      <c r="L45" t="s">
        <v>35</v>
      </c>
      <c r="M45" t="s">
        <v>249</v>
      </c>
      <c r="N45" t="s">
        <v>37</v>
      </c>
      <c r="O45">
        <v>41</v>
      </c>
      <c r="P45" t="s">
        <v>2265</v>
      </c>
      <c r="Q45">
        <v>0</v>
      </c>
      <c r="R45">
        <v>0</v>
      </c>
      <c r="S45" t="s">
        <v>2265</v>
      </c>
      <c r="T45" t="s">
        <v>81</v>
      </c>
      <c r="U45" t="s">
        <v>39</v>
      </c>
      <c r="V45" t="s">
        <v>52</v>
      </c>
      <c r="W45" t="s">
        <v>52</v>
      </c>
      <c r="X45">
        <v>2022</v>
      </c>
      <c r="Y45" t="s">
        <v>153</v>
      </c>
      <c r="Z45" t="s">
        <v>54</v>
      </c>
    </row>
    <row r="46" spans="1:26">
      <c r="A46" t="s">
        <v>250</v>
      </c>
      <c r="B46" t="s">
        <v>43</v>
      </c>
      <c r="C46" t="s">
        <v>173</v>
      </c>
      <c r="D46" t="s">
        <v>77</v>
      </c>
      <c r="E46" t="s">
        <v>143</v>
      </c>
      <c r="F46" t="s">
        <v>68</v>
      </c>
      <c r="G46" t="s">
        <v>58</v>
      </c>
      <c r="H46">
        <v>1.5</v>
      </c>
      <c r="I46">
        <v>8.3000000000000007</v>
      </c>
      <c r="J46" t="s">
        <v>33</v>
      </c>
      <c r="K46" t="s">
        <v>251</v>
      </c>
      <c r="L46" t="s">
        <v>48</v>
      </c>
      <c r="M46" t="s">
        <v>252</v>
      </c>
      <c r="N46" t="s">
        <v>37</v>
      </c>
      <c r="O46">
        <v>68</v>
      </c>
      <c r="P46" t="s">
        <v>2265</v>
      </c>
      <c r="Q46">
        <v>0</v>
      </c>
      <c r="R46">
        <v>1000</v>
      </c>
      <c r="S46" t="s">
        <v>2265</v>
      </c>
      <c r="T46" t="s">
        <v>51</v>
      </c>
      <c r="U46" t="s">
        <v>39</v>
      </c>
      <c r="V46" t="s">
        <v>52</v>
      </c>
      <c r="W46" t="s">
        <v>39</v>
      </c>
      <c r="X46">
        <v>2023</v>
      </c>
      <c r="Y46" t="s">
        <v>74</v>
      </c>
      <c r="Z46" t="s">
        <v>54</v>
      </c>
    </row>
    <row r="47" spans="1:26">
      <c r="A47" t="s">
        <v>253</v>
      </c>
      <c r="B47" t="s">
        <v>108</v>
      </c>
      <c r="C47" t="s">
        <v>67</v>
      </c>
      <c r="D47" t="s">
        <v>77</v>
      </c>
      <c r="E47" t="s">
        <v>168</v>
      </c>
      <c r="F47" t="s">
        <v>31</v>
      </c>
      <c r="G47" t="s">
        <v>32</v>
      </c>
      <c r="H47">
        <v>1.1000000000000001</v>
      </c>
      <c r="I47">
        <v>1.9</v>
      </c>
      <c r="J47" t="s">
        <v>33</v>
      </c>
      <c r="K47" t="s">
        <v>254</v>
      </c>
      <c r="L47" t="s">
        <v>35</v>
      </c>
      <c r="M47" t="s">
        <v>255</v>
      </c>
      <c r="N47" t="s">
        <v>50</v>
      </c>
      <c r="O47">
        <v>70</v>
      </c>
      <c r="P47" t="s">
        <v>2265</v>
      </c>
      <c r="Q47">
        <v>0</v>
      </c>
      <c r="R47">
        <v>1000</v>
      </c>
      <c r="S47" t="s">
        <v>2265</v>
      </c>
      <c r="T47" t="s">
        <v>81</v>
      </c>
      <c r="U47" t="s">
        <v>39</v>
      </c>
      <c r="V47" t="s">
        <v>52</v>
      </c>
      <c r="W47" t="s">
        <v>52</v>
      </c>
      <c r="X47">
        <v>2024</v>
      </c>
      <c r="Y47" t="s">
        <v>74</v>
      </c>
      <c r="Z47" t="s">
        <v>54</v>
      </c>
    </row>
    <row r="48" spans="1:26">
      <c r="A48" t="s">
        <v>256</v>
      </c>
      <c r="B48" t="s">
        <v>66</v>
      </c>
      <c r="C48" t="s">
        <v>121</v>
      </c>
      <c r="D48" t="s">
        <v>77</v>
      </c>
      <c r="E48" t="s">
        <v>220</v>
      </c>
      <c r="F48" t="s">
        <v>95</v>
      </c>
      <c r="G48" t="s">
        <v>32</v>
      </c>
      <c r="H48">
        <v>2.2999999999999998</v>
      </c>
      <c r="I48">
        <v>20.7</v>
      </c>
      <c r="J48" t="s">
        <v>33</v>
      </c>
      <c r="K48" t="s">
        <v>257</v>
      </c>
      <c r="L48" t="s">
        <v>126</v>
      </c>
      <c r="M48" t="s">
        <v>258</v>
      </c>
      <c r="N48" t="s">
        <v>50</v>
      </c>
      <c r="O48">
        <v>121</v>
      </c>
      <c r="P48" t="s">
        <v>2265</v>
      </c>
      <c r="Q48">
        <v>0</v>
      </c>
      <c r="R48">
        <v>500</v>
      </c>
      <c r="S48" t="s">
        <v>2265</v>
      </c>
      <c r="T48" t="s">
        <v>51</v>
      </c>
      <c r="U48" t="s">
        <v>39</v>
      </c>
      <c r="V48" t="s">
        <v>52</v>
      </c>
      <c r="W48" t="s">
        <v>39</v>
      </c>
      <c r="X48">
        <v>2022</v>
      </c>
      <c r="Y48" t="s">
        <v>63</v>
      </c>
      <c r="Z48" t="s">
        <v>64</v>
      </c>
    </row>
    <row r="49" spans="1:26">
      <c r="A49" t="s">
        <v>259</v>
      </c>
      <c r="B49" t="s">
        <v>27</v>
      </c>
      <c r="C49" t="s">
        <v>76</v>
      </c>
      <c r="D49" t="s">
        <v>77</v>
      </c>
      <c r="E49" t="s">
        <v>260</v>
      </c>
      <c r="F49" t="s">
        <v>149</v>
      </c>
      <c r="G49" t="s">
        <v>58</v>
      </c>
      <c r="H49">
        <v>8</v>
      </c>
      <c r="I49">
        <v>14.3</v>
      </c>
      <c r="J49" t="s">
        <v>33</v>
      </c>
      <c r="K49" t="s">
        <v>261</v>
      </c>
      <c r="L49" t="s">
        <v>60</v>
      </c>
      <c r="M49" t="s">
        <v>262</v>
      </c>
      <c r="N49" t="s">
        <v>50</v>
      </c>
      <c r="O49">
        <v>178</v>
      </c>
      <c r="P49" t="s">
        <v>2265</v>
      </c>
      <c r="Q49">
        <v>0</v>
      </c>
      <c r="R49">
        <v>500</v>
      </c>
      <c r="S49" t="s">
        <v>2265</v>
      </c>
      <c r="T49" t="s">
        <v>51</v>
      </c>
      <c r="U49" t="s">
        <v>39</v>
      </c>
      <c r="V49" t="s">
        <v>52</v>
      </c>
      <c r="W49" t="s">
        <v>39</v>
      </c>
      <c r="X49">
        <v>2024</v>
      </c>
      <c r="Y49" t="s">
        <v>74</v>
      </c>
      <c r="Z49" t="s">
        <v>54</v>
      </c>
    </row>
    <row r="50" spans="1:26">
      <c r="A50" t="s">
        <v>263</v>
      </c>
      <c r="B50" t="s">
        <v>108</v>
      </c>
      <c r="C50" t="s">
        <v>76</v>
      </c>
      <c r="D50" t="s">
        <v>29</v>
      </c>
      <c r="E50" t="s">
        <v>117</v>
      </c>
      <c r="F50" t="s">
        <v>124</v>
      </c>
      <c r="G50" t="s">
        <v>32</v>
      </c>
      <c r="H50">
        <v>7.5</v>
      </c>
      <c r="I50">
        <v>17.7</v>
      </c>
      <c r="J50" t="s">
        <v>20</v>
      </c>
      <c r="K50" t="s">
        <v>264</v>
      </c>
      <c r="L50" t="s">
        <v>48</v>
      </c>
      <c r="M50" t="s">
        <v>265</v>
      </c>
      <c r="N50" t="s">
        <v>37</v>
      </c>
      <c r="O50">
        <v>14</v>
      </c>
      <c r="P50" t="s">
        <v>2265</v>
      </c>
      <c r="Q50">
        <v>0</v>
      </c>
      <c r="R50">
        <v>500</v>
      </c>
      <c r="S50" t="s">
        <v>2265</v>
      </c>
      <c r="T50" t="s">
        <v>51</v>
      </c>
      <c r="U50" t="s">
        <v>52</v>
      </c>
      <c r="V50" t="s">
        <v>52</v>
      </c>
      <c r="W50" t="s">
        <v>52</v>
      </c>
      <c r="X50">
        <v>2024</v>
      </c>
      <c r="Y50" t="s">
        <v>74</v>
      </c>
      <c r="Z50" t="s">
        <v>54</v>
      </c>
    </row>
    <row r="51" spans="1:26">
      <c r="A51" t="s">
        <v>266</v>
      </c>
      <c r="B51" t="s">
        <v>116</v>
      </c>
      <c r="C51" t="s">
        <v>102</v>
      </c>
      <c r="D51" t="s">
        <v>29</v>
      </c>
      <c r="E51" t="s">
        <v>30</v>
      </c>
      <c r="F51" t="s">
        <v>95</v>
      </c>
      <c r="G51" t="s">
        <v>32</v>
      </c>
      <c r="H51">
        <v>6.7</v>
      </c>
      <c r="I51">
        <v>19.600000000000001</v>
      </c>
      <c r="J51" t="s">
        <v>33</v>
      </c>
      <c r="K51" t="s">
        <v>267</v>
      </c>
      <c r="L51" t="s">
        <v>98</v>
      </c>
      <c r="M51" t="s">
        <v>268</v>
      </c>
      <c r="N51" t="s">
        <v>61</v>
      </c>
      <c r="O51">
        <v>41</v>
      </c>
      <c r="P51" t="s">
        <v>2265</v>
      </c>
      <c r="Q51">
        <v>0</v>
      </c>
      <c r="R51">
        <v>0</v>
      </c>
      <c r="S51" t="s">
        <v>2265</v>
      </c>
      <c r="T51" t="s">
        <v>81</v>
      </c>
      <c r="U51" t="s">
        <v>52</v>
      </c>
      <c r="V51" t="s">
        <v>52</v>
      </c>
      <c r="W51" t="s">
        <v>52</v>
      </c>
      <c r="X51">
        <v>2023</v>
      </c>
      <c r="Y51" t="s">
        <v>53</v>
      </c>
      <c r="Z51" t="s">
        <v>54</v>
      </c>
    </row>
    <row r="52" spans="1:26">
      <c r="A52" t="s">
        <v>269</v>
      </c>
      <c r="B52" t="s">
        <v>108</v>
      </c>
      <c r="C52" t="s">
        <v>102</v>
      </c>
      <c r="D52" t="s">
        <v>29</v>
      </c>
      <c r="E52" t="s">
        <v>94</v>
      </c>
      <c r="F52" t="s">
        <v>31</v>
      </c>
      <c r="G52" t="s">
        <v>58</v>
      </c>
      <c r="H52">
        <v>3</v>
      </c>
      <c r="I52">
        <v>19.5</v>
      </c>
      <c r="J52" t="s">
        <v>96</v>
      </c>
      <c r="K52" t="s">
        <v>270</v>
      </c>
      <c r="L52" t="s">
        <v>35</v>
      </c>
      <c r="M52" t="s">
        <v>271</v>
      </c>
      <c r="N52" t="s">
        <v>50</v>
      </c>
      <c r="O52">
        <v>107</v>
      </c>
      <c r="P52" t="s">
        <v>2265</v>
      </c>
      <c r="Q52">
        <v>0</v>
      </c>
      <c r="R52">
        <v>1000</v>
      </c>
      <c r="S52" t="s">
        <v>2265</v>
      </c>
      <c r="T52" t="s">
        <v>51</v>
      </c>
      <c r="U52" t="s">
        <v>52</v>
      </c>
      <c r="V52" t="s">
        <v>52</v>
      </c>
      <c r="W52" t="s">
        <v>52</v>
      </c>
      <c r="X52">
        <v>2023</v>
      </c>
      <c r="Y52" t="s">
        <v>40</v>
      </c>
      <c r="Z52" t="s">
        <v>41</v>
      </c>
    </row>
    <row r="53" spans="1:26">
      <c r="A53" t="s">
        <v>272</v>
      </c>
      <c r="B53" t="s">
        <v>93</v>
      </c>
      <c r="C53" t="s">
        <v>44</v>
      </c>
      <c r="D53" t="s">
        <v>77</v>
      </c>
      <c r="E53" t="s">
        <v>168</v>
      </c>
      <c r="F53" t="s">
        <v>149</v>
      </c>
      <c r="G53" t="s">
        <v>32</v>
      </c>
      <c r="H53">
        <v>5.4</v>
      </c>
      <c r="I53">
        <v>17.2</v>
      </c>
      <c r="J53" t="s">
        <v>96</v>
      </c>
      <c r="K53" t="s">
        <v>273</v>
      </c>
      <c r="L53" t="s">
        <v>48</v>
      </c>
      <c r="M53" t="s">
        <v>274</v>
      </c>
      <c r="N53" t="s">
        <v>50</v>
      </c>
      <c r="O53">
        <v>151</v>
      </c>
      <c r="P53" t="s">
        <v>2265</v>
      </c>
      <c r="Q53">
        <v>0</v>
      </c>
      <c r="R53">
        <v>0</v>
      </c>
      <c r="S53" t="s">
        <v>2265</v>
      </c>
      <c r="T53" t="s">
        <v>81</v>
      </c>
      <c r="U53" t="s">
        <v>52</v>
      </c>
      <c r="V53" t="s">
        <v>39</v>
      </c>
      <c r="W53" t="s">
        <v>52</v>
      </c>
      <c r="X53">
        <v>2023</v>
      </c>
      <c r="Y53" t="s">
        <v>114</v>
      </c>
      <c r="Z53" t="s">
        <v>41</v>
      </c>
    </row>
    <row r="54" spans="1:26">
      <c r="A54" t="s">
        <v>275</v>
      </c>
      <c r="B54" t="s">
        <v>66</v>
      </c>
      <c r="C54" t="s">
        <v>164</v>
      </c>
      <c r="D54" t="s">
        <v>77</v>
      </c>
      <c r="E54" t="s">
        <v>260</v>
      </c>
      <c r="F54" t="s">
        <v>149</v>
      </c>
      <c r="G54" t="s">
        <v>58</v>
      </c>
      <c r="H54">
        <v>11.9</v>
      </c>
      <c r="I54">
        <v>27.8</v>
      </c>
      <c r="J54" t="s">
        <v>33</v>
      </c>
      <c r="K54" t="s">
        <v>276</v>
      </c>
      <c r="L54" t="s">
        <v>140</v>
      </c>
      <c r="M54" t="s">
        <v>277</v>
      </c>
      <c r="N54" t="s">
        <v>100</v>
      </c>
      <c r="O54">
        <v>98</v>
      </c>
      <c r="P54" t="s">
        <v>2265</v>
      </c>
      <c r="Q54">
        <v>0</v>
      </c>
      <c r="R54">
        <v>0</v>
      </c>
      <c r="S54" t="s">
        <v>2265</v>
      </c>
      <c r="T54" t="s">
        <v>62</v>
      </c>
      <c r="U54" t="s">
        <v>39</v>
      </c>
      <c r="V54" t="s">
        <v>39</v>
      </c>
      <c r="W54" t="s">
        <v>52</v>
      </c>
      <c r="X54">
        <v>2024</v>
      </c>
      <c r="Y54" t="s">
        <v>211</v>
      </c>
      <c r="Z54" t="s">
        <v>41</v>
      </c>
    </row>
    <row r="55" spans="1:26">
      <c r="A55" t="s">
        <v>278</v>
      </c>
      <c r="B55" t="s">
        <v>108</v>
      </c>
      <c r="C55" t="s">
        <v>173</v>
      </c>
      <c r="D55" t="s">
        <v>29</v>
      </c>
      <c r="E55" t="s">
        <v>244</v>
      </c>
      <c r="F55" t="s">
        <v>46</v>
      </c>
      <c r="G55" t="s">
        <v>32</v>
      </c>
      <c r="H55">
        <v>7.9</v>
      </c>
      <c r="I55">
        <v>5.8</v>
      </c>
      <c r="J55" t="s">
        <v>156</v>
      </c>
      <c r="K55" t="s">
        <v>279</v>
      </c>
      <c r="L55" t="s">
        <v>35</v>
      </c>
      <c r="M55" t="s">
        <v>280</v>
      </c>
      <c r="N55" t="s">
        <v>71</v>
      </c>
      <c r="O55">
        <v>4</v>
      </c>
      <c r="P55" t="s">
        <v>72</v>
      </c>
      <c r="Q55">
        <v>3179</v>
      </c>
      <c r="R55">
        <v>5000</v>
      </c>
      <c r="S55" t="s">
        <v>90</v>
      </c>
      <c r="T55" t="s">
        <v>51</v>
      </c>
      <c r="U55" t="s">
        <v>52</v>
      </c>
      <c r="V55" t="s">
        <v>52</v>
      </c>
      <c r="W55" t="s">
        <v>39</v>
      </c>
      <c r="X55">
        <v>2024</v>
      </c>
      <c r="Y55" t="s">
        <v>40</v>
      </c>
      <c r="Z55" t="s">
        <v>41</v>
      </c>
    </row>
    <row r="56" spans="1:26">
      <c r="A56" t="s">
        <v>281</v>
      </c>
      <c r="B56" t="s">
        <v>108</v>
      </c>
      <c r="C56" t="s">
        <v>28</v>
      </c>
      <c r="D56" t="s">
        <v>77</v>
      </c>
      <c r="E56" t="s">
        <v>143</v>
      </c>
      <c r="F56" t="s">
        <v>95</v>
      </c>
      <c r="G56" t="s">
        <v>32</v>
      </c>
      <c r="H56">
        <v>12</v>
      </c>
      <c r="I56">
        <v>26.3</v>
      </c>
      <c r="J56" t="s">
        <v>33</v>
      </c>
      <c r="K56" t="s">
        <v>282</v>
      </c>
      <c r="L56" t="s">
        <v>98</v>
      </c>
      <c r="M56" t="s">
        <v>283</v>
      </c>
      <c r="N56" t="s">
        <v>61</v>
      </c>
      <c r="O56">
        <v>162</v>
      </c>
      <c r="P56" t="s">
        <v>2265</v>
      </c>
      <c r="Q56">
        <v>0</v>
      </c>
      <c r="R56">
        <v>0</v>
      </c>
      <c r="S56" t="s">
        <v>2265</v>
      </c>
      <c r="T56" t="s">
        <v>51</v>
      </c>
      <c r="U56" t="s">
        <v>39</v>
      </c>
      <c r="V56" t="s">
        <v>39</v>
      </c>
      <c r="W56" t="s">
        <v>52</v>
      </c>
      <c r="X56">
        <v>2023</v>
      </c>
      <c r="Y56" t="s">
        <v>74</v>
      </c>
      <c r="Z56" t="s">
        <v>54</v>
      </c>
    </row>
    <row r="57" spans="1:26">
      <c r="A57" t="s">
        <v>284</v>
      </c>
      <c r="B57" t="s">
        <v>27</v>
      </c>
      <c r="C57" t="s">
        <v>164</v>
      </c>
      <c r="D57" t="s">
        <v>77</v>
      </c>
      <c r="E57" t="s">
        <v>168</v>
      </c>
      <c r="F57" t="s">
        <v>68</v>
      </c>
      <c r="G57" t="s">
        <v>58</v>
      </c>
      <c r="H57">
        <v>1.8</v>
      </c>
      <c r="I57">
        <v>18.8</v>
      </c>
      <c r="J57" t="s">
        <v>33</v>
      </c>
      <c r="K57" t="s">
        <v>285</v>
      </c>
      <c r="L57" t="s">
        <v>140</v>
      </c>
      <c r="M57" t="s">
        <v>286</v>
      </c>
      <c r="N57" t="s">
        <v>100</v>
      </c>
      <c r="O57">
        <v>96</v>
      </c>
      <c r="P57" t="s">
        <v>2265</v>
      </c>
      <c r="Q57">
        <v>0</v>
      </c>
      <c r="R57">
        <v>0</v>
      </c>
      <c r="S57" t="s">
        <v>2265</v>
      </c>
      <c r="T57" t="s">
        <v>136</v>
      </c>
      <c r="U57" t="s">
        <v>39</v>
      </c>
      <c r="V57" t="s">
        <v>52</v>
      </c>
      <c r="W57" t="s">
        <v>52</v>
      </c>
      <c r="X57">
        <v>2024</v>
      </c>
      <c r="Y57" t="s">
        <v>106</v>
      </c>
      <c r="Z57" t="s">
        <v>83</v>
      </c>
    </row>
    <row r="58" spans="1:26">
      <c r="A58" t="s">
        <v>287</v>
      </c>
      <c r="B58" t="s">
        <v>108</v>
      </c>
      <c r="C58" t="s">
        <v>173</v>
      </c>
      <c r="D58" t="s">
        <v>77</v>
      </c>
      <c r="E58" t="s">
        <v>78</v>
      </c>
      <c r="F58" t="s">
        <v>109</v>
      </c>
      <c r="G58" t="s">
        <v>58</v>
      </c>
      <c r="H58">
        <v>8</v>
      </c>
      <c r="I58">
        <v>31.5</v>
      </c>
      <c r="J58" t="s">
        <v>33</v>
      </c>
      <c r="K58" t="s">
        <v>288</v>
      </c>
      <c r="L58" t="s">
        <v>126</v>
      </c>
      <c r="M58" t="s">
        <v>221</v>
      </c>
      <c r="N58" t="s">
        <v>61</v>
      </c>
      <c r="O58">
        <v>118</v>
      </c>
      <c r="P58" t="s">
        <v>2265</v>
      </c>
      <c r="Q58">
        <v>0</v>
      </c>
      <c r="R58">
        <v>0</v>
      </c>
      <c r="S58" t="s">
        <v>2265</v>
      </c>
      <c r="T58" t="s">
        <v>51</v>
      </c>
      <c r="U58" t="s">
        <v>39</v>
      </c>
      <c r="V58" t="s">
        <v>52</v>
      </c>
      <c r="W58" t="s">
        <v>52</v>
      </c>
      <c r="X58">
        <v>2023</v>
      </c>
      <c r="Y58" t="s">
        <v>153</v>
      </c>
      <c r="Z58" t="s">
        <v>54</v>
      </c>
    </row>
    <row r="59" spans="1:26">
      <c r="A59" t="s">
        <v>289</v>
      </c>
      <c r="B59" t="s">
        <v>108</v>
      </c>
      <c r="C59" t="s">
        <v>67</v>
      </c>
      <c r="D59" t="s">
        <v>29</v>
      </c>
      <c r="E59" t="s">
        <v>117</v>
      </c>
      <c r="F59" t="s">
        <v>31</v>
      </c>
      <c r="G59" t="s">
        <v>32</v>
      </c>
      <c r="H59">
        <v>10.3</v>
      </c>
      <c r="I59">
        <v>4.2</v>
      </c>
      <c r="J59" t="s">
        <v>156</v>
      </c>
      <c r="K59" t="s">
        <v>290</v>
      </c>
      <c r="L59" t="s">
        <v>60</v>
      </c>
      <c r="M59" t="s">
        <v>291</v>
      </c>
      <c r="N59" t="s">
        <v>100</v>
      </c>
      <c r="O59">
        <v>51</v>
      </c>
      <c r="P59" t="s">
        <v>2265</v>
      </c>
      <c r="Q59">
        <v>0</v>
      </c>
      <c r="R59">
        <v>0</v>
      </c>
      <c r="S59" t="s">
        <v>2265</v>
      </c>
      <c r="T59" t="s">
        <v>38</v>
      </c>
      <c r="U59" t="s">
        <v>52</v>
      </c>
      <c r="V59" t="s">
        <v>52</v>
      </c>
      <c r="W59" t="s">
        <v>39</v>
      </c>
      <c r="X59">
        <v>2023</v>
      </c>
      <c r="Y59" t="s">
        <v>114</v>
      </c>
      <c r="Z59" t="s">
        <v>41</v>
      </c>
    </row>
    <row r="60" spans="1:26">
      <c r="A60" t="s">
        <v>292</v>
      </c>
      <c r="B60" t="s">
        <v>93</v>
      </c>
      <c r="C60" t="s">
        <v>164</v>
      </c>
      <c r="D60" t="s">
        <v>77</v>
      </c>
      <c r="E60" t="s">
        <v>220</v>
      </c>
      <c r="F60" t="s">
        <v>95</v>
      </c>
      <c r="G60" t="s">
        <v>58</v>
      </c>
      <c r="H60">
        <v>2.7</v>
      </c>
      <c r="I60">
        <v>7.1</v>
      </c>
      <c r="J60" t="s">
        <v>33</v>
      </c>
      <c r="K60" t="s">
        <v>293</v>
      </c>
      <c r="L60" t="s">
        <v>126</v>
      </c>
      <c r="M60" t="s">
        <v>294</v>
      </c>
      <c r="N60" t="s">
        <v>37</v>
      </c>
      <c r="O60">
        <v>74</v>
      </c>
      <c r="P60" t="s">
        <v>2265</v>
      </c>
      <c r="Q60">
        <v>0</v>
      </c>
      <c r="R60">
        <v>500</v>
      </c>
      <c r="S60" t="s">
        <v>2265</v>
      </c>
      <c r="T60" t="s">
        <v>38</v>
      </c>
      <c r="U60" t="s">
        <v>39</v>
      </c>
      <c r="V60" t="s">
        <v>52</v>
      </c>
      <c r="W60" t="s">
        <v>52</v>
      </c>
      <c r="X60">
        <v>2024</v>
      </c>
      <c r="Y60" t="s">
        <v>91</v>
      </c>
      <c r="Z60" t="s">
        <v>64</v>
      </c>
    </row>
    <row r="61" spans="1:26">
      <c r="A61" t="s">
        <v>295</v>
      </c>
      <c r="B61" t="s">
        <v>93</v>
      </c>
      <c r="C61" t="s">
        <v>173</v>
      </c>
      <c r="D61" t="s">
        <v>29</v>
      </c>
      <c r="E61" t="s">
        <v>56</v>
      </c>
      <c r="F61" t="s">
        <v>68</v>
      </c>
      <c r="G61" t="s">
        <v>32</v>
      </c>
      <c r="H61">
        <v>9.5</v>
      </c>
      <c r="I61">
        <v>30.7</v>
      </c>
      <c r="J61" t="s">
        <v>96</v>
      </c>
      <c r="K61" t="s">
        <v>291</v>
      </c>
      <c r="L61" t="s">
        <v>126</v>
      </c>
      <c r="M61" t="s">
        <v>296</v>
      </c>
      <c r="N61" t="s">
        <v>71</v>
      </c>
      <c r="O61">
        <v>107</v>
      </c>
      <c r="P61" t="s">
        <v>72</v>
      </c>
      <c r="Q61">
        <v>2322</v>
      </c>
      <c r="R61">
        <v>0</v>
      </c>
      <c r="S61" t="s">
        <v>152</v>
      </c>
      <c r="T61" t="s">
        <v>38</v>
      </c>
      <c r="U61" t="s">
        <v>52</v>
      </c>
      <c r="V61" t="s">
        <v>39</v>
      </c>
      <c r="W61" t="s">
        <v>52</v>
      </c>
      <c r="X61">
        <v>2023</v>
      </c>
      <c r="Y61" t="s">
        <v>128</v>
      </c>
      <c r="Z61" t="s">
        <v>64</v>
      </c>
    </row>
    <row r="62" spans="1:26">
      <c r="A62" t="s">
        <v>297</v>
      </c>
      <c r="B62" t="s">
        <v>108</v>
      </c>
      <c r="C62" t="s">
        <v>67</v>
      </c>
      <c r="D62" t="s">
        <v>77</v>
      </c>
      <c r="E62" t="s">
        <v>94</v>
      </c>
      <c r="F62" t="s">
        <v>160</v>
      </c>
      <c r="G62" t="s">
        <v>32</v>
      </c>
      <c r="H62">
        <v>0.3</v>
      </c>
      <c r="I62">
        <v>19</v>
      </c>
      <c r="J62" t="s">
        <v>96</v>
      </c>
      <c r="K62" t="s">
        <v>298</v>
      </c>
      <c r="L62" t="s">
        <v>98</v>
      </c>
      <c r="M62" t="s">
        <v>299</v>
      </c>
      <c r="N62" t="s">
        <v>100</v>
      </c>
      <c r="O62">
        <v>24</v>
      </c>
      <c r="P62" t="s">
        <v>2265</v>
      </c>
      <c r="Q62">
        <v>0</v>
      </c>
      <c r="R62">
        <v>0</v>
      </c>
      <c r="S62" t="s">
        <v>2265</v>
      </c>
      <c r="T62" t="s">
        <v>51</v>
      </c>
      <c r="U62" t="s">
        <v>39</v>
      </c>
      <c r="V62" t="s">
        <v>52</v>
      </c>
      <c r="W62" t="s">
        <v>52</v>
      </c>
      <c r="X62">
        <v>2024</v>
      </c>
      <c r="Y62" t="s">
        <v>106</v>
      </c>
      <c r="Z62" t="s">
        <v>83</v>
      </c>
    </row>
    <row r="63" spans="1:26">
      <c r="A63" t="s">
        <v>300</v>
      </c>
      <c r="B63" t="s">
        <v>66</v>
      </c>
      <c r="C63" t="s">
        <v>173</v>
      </c>
      <c r="D63" t="s">
        <v>77</v>
      </c>
      <c r="E63" t="s">
        <v>220</v>
      </c>
      <c r="F63" t="s">
        <v>57</v>
      </c>
      <c r="G63" t="s">
        <v>58</v>
      </c>
      <c r="H63">
        <v>7.7</v>
      </c>
      <c r="I63">
        <v>16.5</v>
      </c>
      <c r="J63" t="s">
        <v>33</v>
      </c>
      <c r="K63" t="s">
        <v>301</v>
      </c>
      <c r="L63" t="s">
        <v>35</v>
      </c>
      <c r="M63" t="s">
        <v>302</v>
      </c>
      <c r="N63" t="s">
        <v>37</v>
      </c>
      <c r="O63">
        <v>157</v>
      </c>
      <c r="P63" t="s">
        <v>2265</v>
      </c>
      <c r="Q63">
        <v>0</v>
      </c>
      <c r="R63">
        <v>0</v>
      </c>
      <c r="S63" t="s">
        <v>2265</v>
      </c>
      <c r="T63" t="s">
        <v>38</v>
      </c>
      <c r="U63" t="s">
        <v>39</v>
      </c>
      <c r="V63" t="s">
        <v>52</v>
      </c>
      <c r="W63" t="s">
        <v>39</v>
      </c>
      <c r="X63">
        <v>2023</v>
      </c>
      <c r="Y63" t="s">
        <v>128</v>
      </c>
      <c r="Z63" t="s">
        <v>64</v>
      </c>
    </row>
    <row r="64" spans="1:26">
      <c r="A64" t="s">
        <v>303</v>
      </c>
      <c r="B64" t="s">
        <v>27</v>
      </c>
      <c r="C64" t="s">
        <v>44</v>
      </c>
      <c r="D64" t="s">
        <v>29</v>
      </c>
      <c r="E64" t="s">
        <v>45</v>
      </c>
      <c r="F64" t="s">
        <v>31</v>
      </c>
      <c r="G64" t="s">
        <v>58</v>
      </c>
      <c r="H64">
        <v>8.1</v>
      </c>
      <c r="I64">
        <v>26.1</v>
      </c>
      <c r="J64" t="s">
        <v>144</v>
      </c>
      <c r="K64" t="s">
        <v>304</v>
      </c>
      <c r="L64" t="s">
        <v>98</v>
      </c>
      <c r="M64" t="s">
        <v>305</v>
      </c>
      <c r="N64" t="s">
        <v>50</v>
      </c>
      <c r="O64">
        <v>100</v>
      </c>
      <c r="P64" t="s">
        <v>2265</v>
      </c>
      <c r="Q64">
        <v>0</v>
      </c>
      <c r="R64">
        <v>500</v>
      </c>
      <c r="S64" t="s">
        <v>2265</v>
      </c>
      <c r="T64" t="s">
        <v>38</v>
      </c>
      <c r="U64" t="s">
        <v>52</v>
      </c>
      <c r="V64" t="s">
        <v>52</v>
      </c>
      <c r="W64" t="s">
        <v>52</v>
      </c>
      <c r="X64">
        <v>2022</v>
      </c>
      <c r="Y64" t="s">
        <v>91</v>
      </c>
      <c r="Z64" t="s">
        <v>64</v>
      </c>
    </row>
    <row r="65" spans="1:26">
      <c r="A65" t="s">
        <v>306</v>
      </c>
      <c r="B65" t="s">
        <v>116</v>
      </c>
      <c r="C65" t="s">
        <v>67</v>
      </c>
      <c r="D65" t="s">
        <v>29</v>
      </c>
      <c r="E65" t="s">
        <v>30</v>
      </c>
      <c r="F65" t="s">
        <v>109</v>
      </c>
      <c r="G65" t="s">
        <v>32</v>
      </c>
      <c r="H65">
        <v>11.4</v>
      </c>
      <c r="I65">
        <v>30</v>
      </c>
      <c r="J65" t="s">
        <v>33</v>
      </c>
      <c r="K65" t="s">
        <v>307</v>
      </c>
      <c r="L65" t="s">
        <v>126</v>
      </c>
      <c r="M65" t="s">
        <v>308</v>
      </c>
      <c r="N65" t="s">
        <v>50</v>
      </c>
      <c r="O65">
        <v>56</v>
      </c>
      <c r="P65" t="s">
        <v>2265</v>
      </c>
      <c r="Q65">
        <v>0</v>
      </c>
      <c r="R65">
        <v>1000</v>
      </c>
      <c r="S65" t="s">
        <v>2265</v>
      </c>
      <c r="T65" t="s">
        <v>51</v>
      </c>
      <c r="U65" t="s">
        <v>39</v>
      </c>
      <c r="V65" t="s">
        <v>39</v>
      </c>
      <c r="W65" t="s">
        <v>52</v>
      </c>
      <c r="X65">
        <v>2024</v>
      </c>
      <c r="Y65" t="s">
        <v>106</v>
      </c>
      <c r="Z65" t="s">
        <v>83</v>
      </c>
    </row>
    <row r="66" spans="1:26">
      <c r="A66" t="s">
        <v>309</v>
      </c>
      <c r="B66" t="s">
        <v>27</v>
      </c>
      <c r="C66" t="s">
        <v>102</v>
      </c>
      <c r="D66" t="s">
        <v>29</v>
      </c>
      <c r="E66" t="s">
        <v>94</v>
      </c>
      <c r="F66" t="s">
        <v>95</v>
      </c>
      <c r="G66" t="s">
        <v>58</v>
      </c>
      <c r="H66">
        <v>4.0999999999999996</v>
      </c>
      <c r="I66">
        <v>34.6</v>
      </c>
      <c r="J66" t="s">
        <v>20</v>
      </c>
      <c r="K66" t="s">
        <v>310</v>
      </c>
      <c r="L66" t="s">
        <v>48</v>
      </c>
      <c r="M66" t="s">
        <v>311</v>
      </c>
      <c r="N66" t="s">
        <v>71</v>
      </c>
      <c r="O66">
        <v>165</v>
      </c>
      <c r="P66" t="s">
        <v>89</v>
      </c>
      <c r="Q66">
        <v>1707</v>
      </c>
      <c r="R66">
        <v>5000</v>
      </c>
      <c r="S66" t="s">
        <v>152</v>
      </c>
      <c r="T66" t="s">
        <v>81</v>
      </c>
      <c r="U66" t="s">
        <v>39</v>
      </c>
      <c r="V66" t="s">
        <v>52</v>
      </c>
      <c r="W66" t="s">
        <v>52</v>
      </c>
      <c r="X66">
        <v>2023</v>
      </c>
      <c r="Y66" t="s">
        <v>312</v>
      </c>
      <c r="Z66" t="s">
        <v>83</v>
      </c>
    </row>
    <row r="67" spans="1:26">
      <c r="A67" t="s">
        <v>313</v>
      </c>
      <c r="B67" t="s">
        <v>27</v>
      </c>
      <c r="C67" t="s">
        <v>67</v>
      </c>
      <c r="D67" t="s">
        <v>77</v>
      </c>
      <c r="E67" t="s">
        <v>168</v>
      </c>
      <c r="F67" t="s">
        <v>238</v>
      </c>
      <c r="G67" t="s">
        <v>58</v>
      </c>
      <c r="H67">
        <v>4.4000000000000004</v>
      </c>
      <c r="I67">
        <v>27.7</v>
      </c>
      <c r="J67" t="s">
        <v>33</v>
      </c>
      <c r="K67" t="s">
        <v>314</v>
      </c>
      <c r="L67" t="s">
        <v>35</v>
      </c>
      <c r="M67" t="s">
        <v>315</v>
      </c>
      <c r="N67" t="s">
        <v>71</v>
      </c>
      <c r="O67">
        <v>29</v>
      </c>
      <c r="P67" t="s">
        <v>89</v>
      </c>
      <c r="Q67">
        <v>4079</v>
      </c>
      <c r="R67">
        <v>0</v>
      </c>
      <c r="S67" t="s">
        <v>90</v>
      </c>
      <c r="T67" t="s">
        <v>62</v>
      </c>
      <c r="U67" t="s">
        <v>39</v>
      </c>
      <c r="V67" t="s">
        <v>52</v>
      </c>
      <c r="W67" t="s">
        <v>39</v>
      </c>
      <c r="X67">
        <v>2022</v>
      </c>
      <c r="Y67" t="s">
        <v>63</v>
      </c>
      <c r="Z67" t="s">
        <v>64</v>
      </c>
    </row>
    <row r="68" spans="1:26">
      <c r="A68" t="s">
        <v>316</v>
      </c>
      <c r="B68" t="s">
        <v>66</v>
      </c>
      <c r="C68" t="s">
        <v>173</v>
      </c>
      <c r="D68" t="s">
        <v>77</v>
      </c>
      <c r="E68" t="s">
        <v>78</v>
      </c>
      <c r="F68" t="s">
        <v>149</v>
      </c>
      <c r="G68" t="s">
        <v>58</v>
      </c>
      <c r="H68">
        <v>2.7</v>
      </c>
      <c r="I68">
        <v>21.7</v>
      </c>
      <c r="J68" t="s">
        <v>33</v>
      </c>
      <c r="K68" t="s">
        <v>317</v>
      </c>
      <c r="L68" t="s">
        <v>126</v>
      </c>
      <c r="M68" t="s">
        <v>318</v>
      </c>
      <c r="N68" t="s">
        <v>71</v>
      </c>
      <c r="O68">
        <v>132</v>
      </c>
      <c r="P68" t="s">
        <v>112</v>
      </c>
      <c r="Q68">
        <v>6702</v>
      </c>
      <c r="R68">
        <v>1000</v>
      </c>
      <c r="S68" t="s">
        <v>90</v>
      </c>
      <c r="T68" t="s">
        <v>38</v>
      </c>
      <c r="U68" t="s">
        <v>52</v>
      </c>
      <c r="V68" t="s">
        <v>52</v>
      </c>
      <c r="W68" t="s">
        <v>52</v>
      </c>
      <c r="X68">
        <v>2024</v>
      </c>
      <c r="Y68" t="s">
        <v>106</v>
      </c>
      <c r="Z68" t="s">
        <v>83</v>
      </c>
    </row>
    <row r="69" spans="1:26">
      <c r="A69" t="s">
        <v>319</v>
      </c>
      <c r="B69" t="s">
        <v>27</v>
      </c>
      <c r="C69" t="s">
        <v>67</v>
      </c>
      <c r="D69" t="s">
        <v>29</v>
      </c>
      <c r="E69" t="s">
        <v>30</v>
      </c>
      <c r="F69" t="s">
        <v>57</v>
      </c>
      <c r="G69" t="s">
        <v>32</v>
      </c>
      <c r="H69">
        <v>3.4</v>
      </c>
      <c r="I69">
        <v>22.3</v>
      </c>
      <c r="J69" t="s">
        <v>144</v>
      </c>
      <c r="K69" t="s">
        <v>320</v>
      </c>
      <c r="L69" t="s">
        <v>140</v>
      </c>
      <c r="M69" t="s">
        <v>321</v>
      </c>
      <c r="N69" t="s">
        <v>71</v>
      </c>
      <c r="O69">
        <v>156</v>
      </c>
      <c r="P69" t="s">
        <v>105</v>
      </c>
      <c r="Q69">
        <v>1769</v>
      </c>
      <c r="R69">
        <v>0</v>
      </c>
      <c r="S69" t="s">
        <v>90</v>
      </c>
      <c r="T69" t="s">
        <v>38</v>
      </c>
      <c r="U69" t="s">
        <v>39</v>
      </c>
      <c r="V69" t="s">
        <v>52</v>
      </c>
      <c r="W69" t="s">
        <v>52</v>
      </c>
      <c r="X69">
        <v>2023</v>
      </c>
      <c r="Y69" t="s">
        <v>91</v>
      </c>
      <c r="Z69" t="s">
        <v>64</v>
      </c>
    </row>
    <row r="70" spans="1:26">
      <c r="A70" t="s">
        <v>322</v>
      </c>
      <c r="B70" t="s">
        <v>66</v>
      </c>
      <c r="C70" t="s">
        <v>28</v>
      </c>
      <c r="D70" t="s">
        <v>85</v>
      </c>
      <c r="E70" t="s">
        <v>86</v>
      </c>
      <c r="F70" t="s">
        <v>46</v>
      </c>
      <c r="G70" t="s">
        <v>32</v>
      </c>
      <c r="H70">
        <v>9.9</v>
      </c>
      <c r="I70">
        <v>14.3</v>
      </c>
      <c r="J70" t="s">
        <v>33</v>
      </c>
      <c r="K70" t="s">
        <v>323</v>
      </c>
      <c r="L70" t="s">
        <v>98</v>
      </c>
      <c r="M70" t="s">
        <v>324</v>
      </c>
      <c r="N70" t="s">
        <v>171</v>
      </c>
      <c r="O70">
        <v>106</v>
      </c>
      <c r="P70" t="s">
        <v>2265</v>
      </c>
      <c r="Q70">
        <v>0</v>
      </c>
      <c r="R70">
        <v>0</v>
      </c>
      <c r="S70" t="s">
        <v>2265</v>
      </c>
      <c r="T70" t="s">
        <v>51</v>
      </c>
      <c r="U70" t="s">
        <v>39</v>
      </c>
      <c r="V70" t="s">
        <v>39</v>
      </c>
      <c r="W70" t="s">
        <v>52</v>
      </c>
      <c r="X70">
        <v>2023</v>
      </c>
      <c r="Y70" t="s">
        <v>74</v>
      </c>
      <c r="Z70" t="s">
        <v>54</v>
      </c>
    </row>
    <row r="71" spans="1:26">
      <c r="A71" t="s">
        <v>325</v>
      </c>
      <c r="B71" t="s">
        <v>43</v>
      </c>
      <c r="C71" t="s">
        <v>76</v>
      </c>
      <c r="D71" t="s">
        <v>29</v>
      </c>
      <c r="E71" t="s">
        <v>30</v>
      </c>
      <c r="F71" t="s">
        <v>31</v>
      </c>
      <c r="G71" t="s">
        <v>32</v>
      </c>
      <c r="H71">
        <v>1.2</v>
      </c>
      <c r="I71">
        <v>26</v>
      </c>
      <c r="J71" t="s">
        <v>156</v>
      </c>
      <c r="K71" t="s">
        <v>326</v>
      </c>
      <c r="L71" t="s">
        <v>35</v>
      </c>
      <c r="M71" t="s">
        <v>327</v>
      </c>
      <c r="N71" t="s">
        <v>100</v>
      </c>
      <c r="O71">
        <v>24</v>
      </c>
      <c r="P71" t="s">
        <v>2265</v>
      </c>
      <c r="Q71">
        <v>0</v>
      </c>
      <c r="R71">
        <v>0</v>
      </c>
      <c r="S71" t="s">
        <v>2265</v>
      </c>
      <c r="T71" t="s">
        <v>136</v>
      </c>
      <c r="U71" t="s">
        <v>39</v>
      </c>
      <c r="V71" t="s">
        <v>52</v>
      </c>
      <c r="W71" t="s">
        <v>52</v>
      </c>
      <c r="X71">
        <v>2022</v>
      </c>
      <c r="Y71" t="s">
        <v>153</v>
      </c>
      <c r="Z71" t="s">
        <v>54</v>
      </c>
    </row>
    <row r="72" spans="1:26">
      <c r="A72" t="s">
        <v>328</v>
      </c>
      <c r="B72" t="s">
        <v>43</v>
      </c>
      <c r="C72" t="s">
        <v>28</v>
      </c>
      <c r="D72" t="s">
        <v>77</v>
      </c>
      <c r="E72" t="s">
        <v>168</v>
      </c>
      <c r="F72" t="s">
        <v>46</v>
      </c>
      <c r="G72" t="s">
        <v>32</v>
      </c>
      <c r="H72">
        <v>2.6</v>
      </c>
      <c r="I72">
        <v>23.2</v>
      </c>
      <c r="J72" t="s">
        <v>33</v>
      </c>
      <c r="K72" t="s">
        <v>329</v>
      </c>
      <c r="L72" t="s">
        <v>60</v>
      </c>
      <c r="M72" t="s">
        <v>330</v>
      </c>
      <c r="N72" t="s">
        <v>71</v>
      </c>
      <c r="O72">
        <v>91</v>
      </c>
      <c r="P72" t="s">
        <v>105</v>
      </c>
      <c r="Q72">
        <v>7734</v>
      </c>
      <c r="R72">
        <v>1000</v>
      </c>
      <c r="S72" t="s">
        <v>113</v>
      </c>
      <c r="T72" t="s">
        <v>136</v>
      </c>
      <c r="U72" t="s">
        <v>39</v>
      </c>
      <c r="V72" t="s">
        <v>52</v>
      </c>
      <c r="W72" t="s">
        <v>52</v>
      </c>
      <c r="X72">
        <v>2023</v>
      </c>
      <c r="Y72" t="s">
        <v>91</v>
      </c>
      <c r="Z72" t="s">
        <v>64</v>
      </c>
    </row>
    <row r="73" spans="1:26">
      <c r="A73" t="s">
        <v>331</v>
      </c>
      <c r="B73" t="s">
        <v>43</v>
      </c>
      <c r="C73" t="s">
        <v>164</v>
      </c>
      <c r="D73" t="s">
        <v>77</v>
      </c>
      <c r="E73" t="s">
        <v>216</v>
      </c>
      <c r="F73" t="s">
        <v>31</v>
      </c>
      <c r="G73" t="s">
        <v>32</v>
      </c>
      <c r="H73">
        <v>11.1</v>
      </c>
      <c r="I73">
        <v>12.6</v>
      </c>
      <c r="J73" t="s">
        <v>33</v>
      </c>
      <c r="K73" t="s">
        <v>270</v>
      </c>
      <c r="L73" t="s">
        <v>48</v>
      </c>
      <c r="M73" t="s">
        <v>239</v>
      </c>
      <c r="N73" t="s">
        <v>61</v>
      </c>
      <c r="O73">
        <v>180</v>
      </c>
      <c r="P73" t="s">
        <v>2265</v>
      </c>
      <c r="Q73">
        <v>0</v>
      </c>
      <c r="R73">
        <v>0</v>
      </c>
      <c r="S73" t="s">
        <v>2265</v>
      </c>
      <c r="T73" t="s">
        <v>38</v>
      </c>
      <c r="U73" t="s">
        <v>39</v>
      </c>
      <c r="V73" t="s">
        <v>52</v>
      </c>
      <c r="W73" t="s">
        <v>52</v>
      </c>
      <c r="X73">
        <v>2023</v>
      </c>
      <c r="Y73" t="s">
        <v>40</v>
      </c>
      <c r="Z73" t="s">
        <v>41</v>
      </c>
    </row>
    <row r="74" spans="1:26">
      <c r="A74" t="s">
        <v>332</v>
      </c>
      <c r="B74" t="s">
        <v>27</v>
      </c>
      <c r="C74" t="s">
        <v>28</v>
      </c>
      <c r="D74" t="s">
        <v>85</v>
      </c>
      <c r="E74" t="s">
        <v>86</v>
      </c>
      <c r="F74" t="s">
        <v>238</v>
      </c>
      <c r="G74" t="s">
        <v>58</v>
      </c>
      <c r="H74">
        <v>8.6999999999999993</v>
      </c>
      <c r="I74">
        <v>27.3</v>
      </c>
      <c r="J74" t="s">
        <v>33</v>
      </c>
      <c r="K74" t="s">
        <v>333</v>
      </c>
      <c r="L74" t="s">
        <v>140</v>
      </c>
      <c r="M74" t="s">
        <v>293</v>
      </c>
      <c r="N74" t="s">
        <v>71</v>
      </c>
      <c r="O74">
        <v>88</v>
      </c>
      <c r="P74" t="s">
        <v>230</v>
      </c>
      <c r="Q74">
        <v>2015</v>
      </c>
      <c r="R74">
        <v>0</v>
      </c>
      <c r="S74" t="s">
        <v>73</v>
      </c>
      <c r="T74" t="s">
        <v>51</v>
      </c>
      <c r="U74" t="s">
        <v>52</v>
      </c>
      <c r="V74" t="s">
        <v>52</v>
      </c>
      <c r="W74" t="s">
        <v>52</v>
      </c>
      <c r="X74">
        <v>2024</v>
      </c>
      <c r="Y74" t="s">
        <v>40</v>
      </c>
      <c r="Z74" t="s">
        <v>41</v>
      </c>
    </row>
    <row r="75" spans="1:26">
      <c r="A75" t="s">
        <v>334</v>
      </c>
      <c r="B75" t="s">
        <v>66</v>
      </c>
      <c r="C75" t="s">
        <v>121</v>
      </c>
      <c r="D75" t="s">
        <v>77</v>
      </c>
      <c r="E75" t="s">
        <v>78</v>
      </c>
      <c r="F75" t="s">
        <v>109</v>
      </c>
      <c r="G75" t="s">
        <v>32</v>
      </c>
      <c r="H75">
        <v>4.2</v>
      </c>
      <c r="I75">
        <v>4.3</v>
      </c>
      <c r="J75" t="s">
        <v>33</v>
      </c>
      <c r="K75" t="s">
        <v>335</v>
      </c>
      <c r="L75" t="s">
        <v>48</v>
      </c>
      <c r="M75" t="s">
        <v>336</v>
      </c>
      <c r="N75" t="s">
        <v>37</v>
      </c>
      <c r="O75">
        <v>70</v>
      </c>
      <c r="P75" t="s">
        <v>2265</v>
      </c>
      <c r="Q75">
        <v>0</v>
      </c>
      <c r="R75">
        <v>0</v>
      </c>
      <c r="S75" t="s">
        <v>2265</v>
      </c>
      <c r="T75" t="s">
        <v>136</v>
      </c>
      <c r="U75" t="s">
        <v>39</v>
      </c>
      <c r="V75" t="s">
        <v>39</v>
      </c>
      <c r="W75" t="s">
        <v>52</v>
      </c>
      <c r="X75">
        <v>2024</v>
      </c>
      <c r="Y75" t="s">
        <v>74</v>
      </c>
      <c r="Z75" t="s">
        <v>54</v>
      </c>
    </row>
    <row r="76" spans="1:26">
      <c r="A76" t="s">
        <v>337</v>
      </c>
      <c r="B76" t="s">
        <v>66</v>
      </c>
      <c r="C76" t="s">
        <v>44</v>
      </c>
      <c r="D76" t="s">
        <v>29</v>
      </c>
      <c r="E76" t="s">
        <v>45</v>
      </c>
      <c r="F76" t="s">
        <v>68</v>
      </c>
      <c r="G76" t="s">
        <v>58</v>
      </c>
      <c r="H76">
        <v>4</v>
      </c>
      <c r="I76">
        <v>0.8</v>
      </c>
      <c r="J76" t="s">
        <v>144</v>
      </c>
      <c r="K76" t="s">
        <v>338</v>
      </c>
      <c r="L76" t="s">
        <v>140</v>
      </c>
      <c r="M76" t="s">
        <v>339</v>
      </c>
      <c r="N76" t="s">
        <v>61</v>
      </c>
      <c r="O76">
        <v>66</v>
      </c>
      <c r="P76" t="s">
        <v>2265</v>
      </c>
      <c r="Q76">
        <v>0</v>
      </c>
      <c r="R76">
        <v>0</v>
      </c>
      <c r="S76" t="s">
        <v>2265</v>
      </c>
      <c r="T76" t="s">
        <v>81</v>
      </c>
      <c r="U76" t="s">
        <v>39</v>
      </c>
      <c r="V76" t="s">
        <v>39</v>
      </c>
      <c r="W76" t="s">
        <v>52</v>
      </c>
      <c r="X76">
        <v>2022</v>
      </c>
      <c r="Y76" t="s">
        <v>91</v>
      </c>
      <c r="Z76" t="s">
        <v>64</v>
      </c>
    </row>
    <row r="77" spans="1:26">
      <c r="A77" t="s">
        <v>340</v>
      </c>
      <c r="B77" t="s">
        <v>66</v>
      </c>
      <c r="C77" t="s">
        <v>44</v>
      </c>
      <c r="D77" t="s">
        <v>77</v>
      </c>
      <c r="E77" t="s">
        <v>94</v>
      </c>
      <c r="F77" t="s">
        <v>160</v>
      </c>
      <c r="G77" t="s">
        <v>58</v>
      </c>
      <c r="H77">
        <v>5.2</v>
      </c>
      <c r="I77">
        <v>14.5</v>
      </c>
      <c r="J77" t="s">
        <v>144</v>
      </c>
      <c r="K77" t="s">
        <v>341</v>
      </c>
      <c r="L77" t="s">
        <v>35</v>
      </c>
      <c r="M77" t="s">
        <v>342</v>
      </c>
      <c r="N77" t="s">
        <v>71</v>
      </c>
      <c r="O77">
        <v>118</v>
      </c>
      <c r="P77" t="s">
        <v>72</v>
      </c>
      <c r="Q77">
        <v>5564</v>
      </c>
      <c r="R77">
        <v>1000</v>
      </c>
      <c r="S77" t="s">
        <v>113</v>
      </c>
      <c r="T77" t="s">
        <v>62</v>
      </c>
      <c r="U77" t="s">
        <v>52</v>
      </c>
      <c r="V77" t="s">
        <v>52</v>
      </c>
      <c r="W77" t="s">
        <v>52</v>
      </c>
      <c r="X77">
        <v>2022</v>
      </c>
      <c r="Y77" t="s">
        <v>82</v>
      </c>
      <c r="Z77" t="s">
        <v>83</v>
      </c>
    </row>
    <row r="78" spans="1:26">
      <c r="A78" t="s">
        <v>343</v>
      </c>
      <c r="B78" t="s">
        <v>108</v>
      </c>
      <c r="C78" t="s">
        <v>173</v>
      </c>
      <c r="D78" t="s">
        <v>29</v>
      </c>
      <c r="E78" t="s">
        <v>117</v>
      </c>
      <c r="F78" t="s">
        <v>46</v>
      </c>
      <c r="G78" t="s">
        <v>58</v>
      </c>
      <c r="H78">
        <v>7.1</v>
      </c>
      <c r="I78">
        <v>18.600000000000001</v>
      </c>
      <c r="J78" t="s">
        <v>33</v>
      </c>
      <c r="K78" t="s">
        <v>344</v>
      </c>
      <c r="L78" t="s">
        <v>48</v>
      </c>
      <c r="M78" t="s">
        <v>345</v>
      </c>
      <c r="N78" t="s">
        <v>100</v>
      </c>
      <c r="O78">
        <v>63</v>
      </c>
      <c r="P78" t="s">
        <v>2265</v>
      </c>
      <c r="Q78">
        <v>0</v>
      </c>
      <c r="R78">
        <v>0</v>
      </c>
      <c r="S78" t="s">
        <v>2265</v>
      </c>
      <c r="T78" t="s">
        <v>38</v>
      </c>
      <c r="U78" t="s">
        <v>39</v>
      </c>
      <c r="V78" t="s">
        <v>52</v>
      </c>
      <c r="W78" t="s">
        <v>52</v>
      </c>
      <c r="X78">
        <v>2022</v>
      </c>
      <c r="Y78" t="s">
        <v>211</v>
      </c>
      <c r="Z78" t="s">
        <v>41</v>
      </c>
    </row>
    <row r="79" spans="1:26">
      <c r="A79" t="s">
        <v>346</v>
      </c>
      <c r="B79" t="s">
        <v>66</v>
      </c>
      <c r="C79" t="s">
        <v>28</v>
      </c>
      <c r="D79" t="s">
        <v>122</v>
      </c>
      <c r="E79" t="s">
        <v>155</v>
      </c>
      <c r="F79" t="s">
        <v>68</v>
      </c>
      <c r="G79" t="s">
        <v>32</v>
      </c>
      <c r="H79">
        <v>2.4</v>
      </c>
      <c r="I79">
        <v>21.3</v>
      </c>
      <c r="J79" t="s">
        <v>144</v>
      </c>
      <c r="K79" t="s">
        <v>347</v>
      </c>
      <c r="L79" t="s">
        <v>140</v>
      </c>
      <c r="M79" t="s">
        <v>348</v>
      </c>
      <c r="N79" t="s">
        <v>71</v>
      </c>
      <c r="O79">
        <v>61</v>
      </c>
      <c r="P79" t="s">
        <v>105</v>
      </c>
      <c r="Q79">
        <v>1099</v>
      </c>
      <c r="R79">
        <v>0</v>
      </c>
      <c r="S79" t="s">
        <v>90</v>
      </c>
      <c r="T79" t="s">
        <v>62</v>
      </c>
      <c r="U79" t="s">
        <v>39</v>
      </c>
      <c r="V79" t="s">
        <v>52</v>
      </c>
      <c r="W79" t="s">
        <v>52</v>
      </c>
      <c r="X79">
        <v>2022</v>
      </c>
      <c r="Y79" t="s">
        <v>91</v>
      </c>
      <c r="Z79" t="s">
        <v>64</v>
      </c>
    </row>
    <row r="80" spans="1:26">
      <c r="A80" t="s">
        <v>349</v>
      </c>
      <c r="B80" t="s">
        <v>93</v>
      </c>
      <c r="C80" t="s">
        <v>28</v>
      </c>
      <c r="D80" t="s">
        <v>77</v>
      </c>
      <c r="E80" t="s">
        <v>78</v>
      </c>
      <c r="F80" t="s">
        <v>160</v>
      </c>
      <c r="G80" t="s">
        <v>32</v>
      </c>
      <c r="H80">
        <v>9.6</v>
      </c>
      <c r="I80">
        <v>20.9</v>
      </c>
      <c r="J80" t="s">
        <v>144</v>
      </c>
      <c r="K80" t="s">
        <v>145</v>
      </c>
      <c r="L80" t="s">
        <v>35</v>
      </c>
      <c r="M80" t="s">
        <v>350</v>
      </c>
      <c r="N80" t="s">
        <v>50</v>
      </c>
      <c r="O80">
        <v>121</v>
      </c>
      <c r="P80" t="s">
        <v>2265</v>
      </c>
      <c r="Q80">
        <v>0</v>
      </c>
      <c r="R80">
        <v>500</v>
      </c>
      <c r="S80" t="s">
        <v>2265</v>
      </c>
      <c r="T80" t="s">
        <v>38</v>
      </c>
      <c r="U80" t="s">
        <v>39</v>
      </c>
      <c r="V80" t="s">
        <v>52</v>
      </c>
      <c r="W80" t="s">
        <v>39</v>
      </c>
      <c r="X80">
        <v>2022</v>
      </c>
      <c r="Y80" t="s">
        <v>53</v>
      </c>
      <c r="Z80" t="s">
        <v>54</v>
      </c>
    </row>
    <row r="81" spans="1:26">
      <c r="A81" t="s">
        <v>351</v>
      </c>
      <c r="B81" t="s">
        <v>66</v>
      </c>
      <c r="C81" t="s">
        <v>102</v>
      </c>
      <c r="D81" t="s">
        <v>29</v>
      </c>
      <c r="E81" t="s">
        <v>244</v>
      </c>
      <c r="F81" t="s">
        <v>46</v>
      </c>
      <c r="G81" t="s">
        <v>32</v>
      </c>
      <c r="H81">
        <v>5.5</v>
      </c>
      <c r="I81">
        <v>28.4</v>
      </c>
      <c r="J81" t="s">
        <v>20</v>
      </c>
      <c r="K81" t="s">
        <v>352</v>
      </c>
      <c r="L81" t="s">
        <v>48</v>
      </c>
      <c r="M81" t="s">
        <v>127</v>
      </c>
      <c r="N81" t="s">
        <v>50</v>
      </c>
      <c r="O81">
        <v>99</v>
      </c>
      <c r="P81" t="s">
        <v>2265</v>
      </c>
      <c r="Q81">
        <v>0</v>
      </c>
      <c r="R81">
        <v>0</v>
      </c>
      <c r="S81" t="s">
        <v>2265</v>
      </c>
      <c r="T81" t="s">
        <v>38</v>
      </c>
      <c r="U81" t="s">
        <v>52</v>
      </c>
      <c r="V81" t="s">
        <v>39</v>
      </c>
      <c r="W81" t="s">
        <v>52</v>
      </c>
      <c r="X81">
        <v>2024</v>
      </c>
      <c r="Y81" t="s">
        <v>128</v>
      </c>
      <c r="Z81" t="s">
        <v>64</v>
      </c>
    </row>
    <row r="82" spans="1:26">
      <c r="A82" t="s">
        <v>353</v>
      </c>
      <c r="B82" t="s">
        <v>27</v>
      </c>
      <c r="C82" t="s">
        <v>164</v>
      </c>
      <c r="D82" t="s">
        <v>29</v>
      </c>
      <c r="E82" t="s">
        <v>244</v>
      </c>
      <c r="F82" t="s">
        <v>46</v>
      </c>
      <c r="G82" t="s">
        <v>32</v>
      </c>
      <c r="H82">
        <v>11.9</v>
      </c>
      <c r="I82">
        <v>18.600000000000001</v>
      </c>
      <c r="J82" t="s">
        <v>33</v>
      </c>
      <c r="K82" t="s">
        <v>354</v>
      </c>
      <c r="L82" t="s">
        <v>126</v>
      </c>
      <c r="M82" t="s">
        <v>355</v>
      </c>
      <c r="N82" t="s">
        <v>37</v>
      </c>
      <c r="O82">
        <v>11</v>
      </c>
      <c r="P82" t="s">
        <v>2265</v>
      </c>
      <c r="Q82">
        <v>0</v>
      </c>
      <c r="R82">
        <v>1000</v>
      </c>
      <c r="S82" t="s">
        <v>2265</v>
      </c>
      <c r="T82" t="s">
        <v>136</v>
      </c>
      <c r="U82" t="s">
        <v>39</v>
      </c>
      <c r="V82" t="s">
        <v>52</v>
      </c>
      <c r="W82" t="s">
        <v>39</v>
      </c>
      <c r="X82">
        <v>2022</v>
      </c>
      <c r="Y82" t="s">
        <v>63</v>
      </c>
      <c r="Z82" t="s">
        <v>64</v>
      </c>
    </row>
    <row r="83" spans="1:26">
      <c r="A83" t="s">
        <v>356</v>
      </c>
      <c r="B83" t="s">
        <v>66</v>
      </c>
      <c r="C83" t="s">
        <v>164</v>
      </c>
      <c r="D83" t="s">
        <v>122</v>
      </c>
      <c r="E83" t="s">
        <v>123</v>
      </c>
      <c r="F83" t="s">
        <v>46</v>
      </c>
      <c r="G83" t="s">
        <v>58</v>
      </c>
      <c r="H83">
        <v>3.5</v>
      </c>
      <c r="I83">
        <v>25.5</v>
      </c>
      <c r="J83" t="s">
        <v>20</v>
      </c>
      <c r="K83" t="s">
        <v>357</v>
      </c>
      <c r="L83" t="s">
        <v>98</v>
      </c>
      <c r="M83" t="s">
        <v>358</v>
      </c>
      <c r="N83" t="s">
        <v>100</v>
      </c>
      <c r="O83">
        <v>25</v>
      </c>
      <c r="P83" t="s">
        <v>2265</v>
      </c>
      <c r="Q83">
        <v>0</v>
      </c>
      <c r="R83">
        <v>0</v>
      </c>
      <c r="S83" t="s">
        <v>2265</v>
      </c>
      <c r="T83" t="s">
        <v>81</v>
      </c>
      <c r="U83" t="s">
        <v>39</v>
      </c>
      <c r="V83" t="s">
        <v>52</v>
      </c>
      <c r="W83" t="s">
        <v>52</v>
      </c>
      <c r="X83">
        <v>2023</v>
      </c>
      <c r="Y83" t="s">
        <v>128</v>
      </c>
      <c r="Z83" t="s">
        <v>64</v>
      </c>
    </row>
    <row r="84" spans="1:26">
      <c r="A84" t="s">
        <v>359</v>
      </c>
      <c r="B84" t="s">
        <v>43</v>
      </c>
      <c r="C84" t="s">
        <v>28</v>
      </c>
      <c r="D84" t="s">
        <v>77</v>
      </c>
      <c r="E84" t="s">
        <v>143</v>
      </c>
      <c r="F84" t="s">
        <v>57</v>
      </c>
      <c r="G84" t="s">
        <v>32</v>
      </c>
      <c r="H84">
        <v>7.8</v>
      </c>
      <c r="I84">
        <v>11.8</v>
      </c>
      <c r="J84" t="s">
        <v>33</v>
      </c>
      <c r="K84" t="s">
        <v>360</v>
      </c>
      <c r="L84" t="s">
        <v>60</v>
      </c>
      <c r="M84" t="s">
        <v>361</v>
      </c>
      <c r="N84" t="s">
        <v>100</v>
      </c>
      <c r="O84">
        <v>144</v>
      </c>
      <c r="P84" t="s">
        <v>2265</v>
      </c>
      <c r="Q84">
        <v>0</v>
      </c>
      <c r="R84">
        <v>0</v>
      </c>
      <c r="S84" t="s">
        <v>2265</v>
      </c>
      <c r="T84" t="s">
        <v>51</v>
      </c>
      <c r="U84" t="s">
        <v>39</v>
      </c>
      <c r="V84" t="s">
        <v>39</v>
      </c>
      <c r="W84" t="s">
        <v>52</v>
      </c>
      <c r="X84">
        <v>2023</v>
      </c>
      <c r="Y84" t="s">
        <v>114</v>
      </c>
      <c r="Z84" t="s">
        <v>41</v>
      </c>
    </row>
    <row r="85" spans="1:26">
      <c r="A85" t="s">
        <v>362</v>
      </c>
      <c r="B85" t="s">
        <v>27</v>
      </c>
      <c r="C85" t="s">
        <v>76</v>
      </c>
      <c r="D85" t="s">
        <v>77</v>
      </c>
      <c r="E85" t="s">
        <v>363</v>
      </c>
      <c r="F85" t="s">
        <v>46</v>
      </c>
      <c r="G85" t="s">
        <v>58</v>
      </c>
      <c r="H85">
        <v>10.1</v>
      </c>
      <c r="I85">
        <v>4</v>
      </c>
      <c r="J85" t="s">
        <v>20</v>
      </c>
      <c r="K85" t="s">
        <v>364</v>
      </c>
      <c r="L85" t="s">
        <v>126</v>
      </c>
      <c r="M85" t="s">
        <v>365</v>
      </c>
      <c r="N85" t="s">
        <v>71</v>
      </c>
      <c r="O85">
        <v>36</v>
      </c>
      <c r="P85" t="s">
        <v>89</v>
      </c>
      <c r="Q85">
        <v>3632</v>
      </c>
      <c r="R85">
        <v>0</v>
      </c>
      <c r="S85" t="s">
        <v>113</v>
      </c>
      <c r="T85" t="s">
        <v>81</v>
      </c>
      <c r="U85" t="s">
        <v>39</v>
      </c>
      <c r="V85" t="s">
        <v>52</v>
      </c>
      <c r="W85" t="s">
        <v>52</v>
      </c>
      <c r="X85">
        <v>2023</v>
      </c>
      <c r="Y85" t="s">
        <v>74</v>
      </c>
      <c r="Z85" t="s">
        <v>54</v>
      </c>
    </row>
    <row r="86" spans="1:26">
      <c r="A86" t="s">
        <v>366</v>
      </c>
      <c r="B86" t="s">
        <v>108</v>
      </c>
      <c r="C86" t="s">
        <v>102</v>
      </c>
      <c r="D86" t="s">
        <v>77</v>
      </c>
      <c r="E86" t="s">
        <v>94</v>
      </c>
      <c r="F86" t="s">
        <v>109</v>
      </c>
      <c r="G86" t="s">
        <v>58</v>
      </c>
      <c r="H86">
        <v>7.4</v>
      </c>
      <c r="I86">
        <v>26.5</v>
      </c>
      <c r="J86" t="s">
        <v>33</v>
      </c>
      <c r="K86" t="s">
        <v>169</v>
      </c>
      <c r="L86" t="s">
        <v>126</v>
      </c>
      <c r="M86" t="s">
        <v>367</v>
      </c>
      <c r="N86" t="s">
        <v>37</v>
      </c>
      <c r="O86">
        <v>174</v>
      </c>
      <c r="P86" t="s">
        <v>2265</v>
      </c>
      <c r="Q86">
        <v>0</v>
      </c>
      <c r="R86">
        <v>1000</v>
      </c>
      <c r="S86" t="s">
        <v>2265</v>
      </c>
      <c r="T86" t="s">
        <v>81</v>
      </c>
      <c r="U86" t="s">
        <v>39</v>
      </c>
      <c r="V86" t="s">
        <v>52</v>
      </c>
      <c r="W86" t="s">
        <v>52</v>
      </c>
      <c r="X86">
        <v>2024</v>
      </c>
      <c r="Y86" t="s">
        <v>106</v>
      </c>
      <c r="Z86" t="s">
        <v>83</v>
      </c>
    </row>
    <row r="87" spans="1:26">
      <c r="A87" t="s">
        <v>368</v>
      </c>
      <c r="B87" t="s">
        <v>27</v>
      </c>
      <c r="C87" t="s">
        <v>164</v>
      </c>
      <c r="D87" t="s">
        <v>77</v>
      </c>
      <c r="E87" t="s">
        <v>168</v>
      </c>
      <c r="F87" t="s">
        <v>160</v>
      </c>
      <c r="G87" t="s">
        <v>58</v>
      </c>
      <c r="H87">
        <v>11.6</v>
      </c>
      <c r="I87">
        <v>28.7</v>
      </c>
      <c r="J87" t="s">
        <v>156</v>
      </c>
      <c r="K87" t="s">
        <v>369</v>
      </c>
      <c r="L87" t="s">
        <v>126</v>
      </c>
      <c r="M87" t="s">
        <v>370</v>
      </c>
      <c r="N87" t="s">
        <v>100</v>
      </c>
      <c r="O87">
        <v>129</v>
      </c>
      <c r="P87" t="s">
        <v>2265</v>
      </c>
      <c r="Q87">
        <v>0</v>
      </c>
      <c r="R87">
        <v>0</v>
      </c>
      <c r="S87" t="s">
        <v>2265</v>
      </c>
      <c r="T87" t="s">
        <v>51</v>
      </c>
      <c r="U87" t="s">
        <v>39</v>
      </c>
      <c r="V87" t="s">
        <v>52</v>
      </c>
      <c r="W87" t="s">
        <v>39</v>
      </c>
      <c r="X87">
        <v>2024</v>
      </c>
      <c r="Y87" t="s">
        <v>82</v>
      </c>
      <c r="Z87" t="s">
        <v>83</v>
      </c>
    </row>
    <row r="88" spans="1:26">
      <c r="A88" t="s">
        <v>371</v>
      </c>
      <c r="B88" t="s">
        <v>43</v>
      </c>
      <c r="C88" t="s">
        <v>121</v>
      </c>
      <c r="D88" t="s">
        <v>29</v>
      </c>
      <c r="E88" t="s">
        <v>30</v>
      </c>
      <c r="F88" t="s">
        <v>46</v>
      </c>
      <c r="G88" t="s">
        <v>58</v>
      </c>
      <c r="H88">
        <v>10</v>
      </c>
      <c r="I88">
        <v>3.7</v>
      </c>
      <c r="J88" t="s">
        <v>144</v>
      </c>
      <c r="K88" t="s">
        <v>372</v>
      </c>
      <c r="L88" t="s">
        <v>35</v>
      </c>
      <c r="M88" t="s">
        <v>373</v>
      </c>
      <c r="N88" t="s">
        <v>50</v>
      </c>
      <c r="O88">
        <v>70</v>
      </c>
      <c r="P88" t="s">
        <v>2265</v>
      </c>
      <c r="Q88">
        <v>0</v>
      </c>
      <c r="R88">
        <v>0</v>
      </c>
      <c r="S88" t="s">
        <v>2265</v>
      </c>
      <c r="T88" t="s">
        <v>136</v>
      </c>
      <c r="U88" t="s">
        <v>39</v>
      </c>
      <c r="V88" t="s">
        <v>39</v>
      </c>
      <c r="W88" t="s">
        <v>52</v>
      </c>
      <c r="X88">
        <v>2022</v>
      </c>
      <c r="Y88" t="s">
        <v>128</v>
      </c>
      <c r="Z88" t="s">
        <v>64</v>
      </c>
    </row>
    <row r="89" spans="1:26">
      <c r="A89" t="s">
        <v>374</v>
      </c>
      <c r="B89" t="s">
        <v>66</v>
      </c>
      <c r="C89" t="s">
        <v>67</v>
      </c>
      <c r="D89" t="s">
        <v>29</v>
      </c>
      <c r="E89" t="s">
        <v>56</v>
      </c>
      <c r="F89" t="s">
        <v>68</v>
      </c>
      <c r="G89" t="s">
        <v>58</v>
      </c>
      <c r="H89">
        <v>11.2</v>
      </c>
      <c r="I89">
        <v>29.5</v>
      </c>
      <c r="J89" t="s">
        <v>33</v>
      </c>
      <c r="K89" t="s">
        <v>375</v>
      </c>
      <c r="L89" t="s">
        <v>60</v>
      </c>
      <c r="M89" t="s">
        <v>323</v>
      </c>
      <c r="N89" t="s">
        <v>171</v>
      </c>
      <c r="O89">
        <v>8</v>
      </c>
      <c r="P89" t="s">
        <v>2265</v>
      </c>
      <c r="Q89">
        <v>0</v>
      </c>
      <c r="R89">
        <v>0</v>
      </c>
      <c r="S89" t="s">
        <v>2265</v>
      </c>
      <c r="T89" t="s">
        <v>136</v>
      </c>
      <c r="U89" t="s">
        <v>39</v>
      </c>
      <c r="V89" t="s">
        <v>52</v>
      </c>
      <c r="W89" t="s">
        <v>52</v>
      </c>
      <c r="X89">
        <v>2023</v>
      </c>
      <c r="Y89" t="s">
        <v>74</v>
      </c>
      <c r="Z89" t="s">
        <v>54</v>
      </c>
    </row>
    <row r="90" spans="1:26">
      <c r="A90" t="s">
        <v>376</v>
      </c>
      <c r="B90" t="s">
        <v>66</v>
      </c>
      <c r="C90" t="s">
        <v>44</v>
      </c>
      <c r="D90" t="s">
        <v>77</v>
      </c>
      <c r="E90" t="s">
        <v>220</v>
      </c>
      <c r="F90" t="s">
        <v>95</v>
      </c>
      <c r="G90" t="s">
        <v>32</v>
      </c>
      <c r="H90">
        <v>2.7</v>
      </c>
      <c r="I90">
        <v>5.7</v>
      </c>
      <c r="J90" t="s">
        <v>33</v>
      </c>
      <c r="K90" t="s">
        <v>377</v>
      </c>
      <c r="L90" t="s">
        <v>60</v>
      </c>
      <c r="M90" t="s">
        <v>378</v>
      </c>
      <c r="N90" t="s">
        <v>61</v>
      </c>
      <c r="O90">
        <v>5</v>
      </c>
      <c r="P90" t="s">
        <v>2265</v>
      </c>
      <c r="Q90">
        <v>0</v>
      </c>
      <c r="R90">
        <v>0</v>
      </c>
      <c r="S90" t="s">
        <v>2265</v>
      </c>
      <c r="T90" t="s">
        <v>38</v>
      </c>
      <c r="U90" t="s">
        <v>39</v>
      </c>
      <c r="V90" t="s">
        <v>39</v>
      </c>
      <c r="W90" t="s">
        <v>52</v>
      </c>
      <c r="X90">
        <v>2022</v>
      </c>
      <c r="Y90" t="s">
        <v>153</v>
      </c>
      <c r="Z90" t="s">
        <v>54</v>
      </c>
    </row>
    <row r="91" spans="1:26">
      <c r="A91" t="s">
        <v>379</v>
      </c>
      <c r="B91" t="s">
        <v>66</v>
      </c>
      <c r="C91" t="s">
        <v>164</v>
      </c>
      <c r="D91" t="s">
        <v>77</v>
      </c>
      <c r="E91" t="s">
        <v>78</v>
      </c>
      <c r="F91" t="s">
        <v>160</v>
      </c>
      <c r="G91" t="s">
        <v>32</v>
      </c>
      <c r="H91">
        <v>7.6</v>
      </c>
      <c r="I91">
        <v>20.3</v>
      </c>
      <c r="J91" t="s">
        <v>33</v>
      </c>
      <c r="K91" t="s">
        <v>380</v>
      </c>
      <c r="L91" t="s">
        <v>140</v>
      </c>
      <c r="M91" t="s">
        <v>381</v>
      </c>
      <c r="N91" t="s">
        <v>50</v>
      </c>
      <c r="O91">
        <v>29</v>
      </c>
      <c r="P91" t="s">
        <v>2265</v>
      </c>
      <c r="Q91">
        <v>0</v>
      </c>
      <c r="R91">
        <v>0</v>
      </c>
      <c r="S91" t="s">
        <v>2265</v>
      </c>
      <c r="T91" t="s">
        <v>51</v>
      </c>
      <c r="U91" t="s">
        <v>39</v>
      </c>
      <c r="V91" t="s">
        <v>52</v>
      </c>
      <c r="W91" t="s">
        <v>52</v>
      </c>
      <c r="X91">
        <v>2022</v>
      </c>
      <c r="Y91" t="s">
        <v>53</v>
      </c>
      <c r="Z91" t="s">
        <v>54</v>
      </c>
    </row>
    <row r="92" spans="1:26">
      <c r="A92" t="s">
        <v>382</v>
      </c>
      <c r="B92" t="s">
        <v>27</v>
      </c>
      <c r="C92" t="s">
        <v>76</v>
      </c>
      <c r="D92" t="s">
        <v>77</v>
      </c>
      <c r="E92" t="s">
        <v>143</v>
      </c>
      <c r="F92" t="s">
        <v>57</v>
      </c>
      <c r="G92" t="s">
        <v>32</v>
      </c>
      <c r="H92">
        <v>6.1</v>
      </c>
      <c r="I92">
        <v>34.6</v>
      </c>
      <c r="J92" t="s">
        <v>33</v>
      </c>
      <c r="K92" t="s">
        <v>383</v>
      </c>
      <c r="L92" t="s">
        <v>98</v>
      </c>
      <c r="M92" t="s">
        <v>127</v>
      </c>
      <c r="N92" t="s">
        <v>71</v>
      </c>
      <c r="O92">
        <v>93</v>
      </c>
      <c r="P92" t="s">
        <v>112</v>
      </c>
      <c r="Q92">
        <v>7309</v>
      </c>
      <c r="R92">
        <v>1000</v>
      </c>
      <c r="S92" t="s">
        <v>152</v>
      </c>
      <c r="T92" t="s">
        <v>51</v>
      </c>
      <c r="U92" t="s">
        <v>39</v>
      </c>
      <c r="V92" t="s">
        <v>52</v>
      </c>
      <c r="W92" t="s">
        <v>39</v>
      </c>
      <c r="X92">
        <v>2024</v>
      </c>
      <c r="Y92" t="s">
        <v>63</v>
      </c>
      <c r="Z92" t="s">
        <v>64</v>
      </c>
    </row>
    <row r="93" spans="1:26">
      <c r="A93" t="s">
        <v>384</v>
      </c>
      <c r="B93" t="s">
        <v>93</v>
      </c>
      <c r="C93" t="s">
        <v>164</v>
      </c>
      <c r="D93" t="s">
        <v>122</v>
      </c>
      <c r="E93" t="s">
        <v>148</v>
      </c>
      <c r="F93" t="s">
        <v>149</v>
      </c>
      <c r="G93" t="s">
        <v>32</v>
      </c>
      <c r="H93">
        <v>1.7</v>
      </c>
      <c r="I93">
        <v>12.7</v>
      </c>
      <c r="J93" t="s">
        <v>156</v>
      </c>
      <c r="K93" t="s">
        <v>385</v>
      </c>
      <c r="L93" t="s">
        <v>48</v>
      </c>
      <c r="M93" t="s">
        <v>386</v>
      </c>
      <c r="N93" t="s">
        <v>171</v>
      </c>
      <c r="O93">
        <v>149</v>
      </c>
      <c r="P93" t="s">
        <v>2265</v>
      </c>
      <c r="Q93">
        <v>0</v>
      </c>
      <c r="R93">
        <v>0</v>
      </c>
      <c r="S93" t="s">
        <v>2265</v>
      </c>
      <c r="T93" t="s">
        <v>81</v>
      </c>
      <c r="U93" t="s">
        <v>39</v>
      </c>
      <c r="V93" t="s">
        <v>52</v>
      </c>
      <c r="W93" t="s">
        <v>52</v>
      </c>
      <c r="X93">
        <v>2022</v>
      </c>
      <c r="Y93" t="s">
        <v>211</v>
      </c>
      <c r="Z93" t="s">
        <v>41</v>
      </c>
    </row>
    <row r="94" spans="1:26">
      <c r="A94" t="s">
        <v>387</v>
      </c>
      <c r="B94" t="s">
        <v>108</v>
      </c>
      <c r="C94" t="s">
        <v>121</v>
      </c>
      <c r="D94" t="s">
        <v>77</v>
      </c>
      <c r="E94" t="s">
        <v>168</v>
      </c>
      <c r="F94" t="s">
        <v>160</v>
      </c>
      <c r="G94" t="s">
        <v>58</v>
      </c>
      <c r="H94">
        <v>3.9</v>
      </c>
      <c r="I94">
        <v>11.2</v>
      </c>
      <c r="J94" t="s">
        <v>96</v>
      </c>
      <c r="K94" t="s">
        <v>388</v>
      </c>
      <c r="L94" t="s">
        <v>98</v>
      </c>
      <c r="M94" t="s">
        <v>389</v>
      </c>
      <c r="N94" t="s">
        <v>37</v>
      </c>
      <c r="O94">
        <v>12</v>
      </c>
      <c r="P94" t="s">
        <v>2265</v>
      </c>
      <c r="Q94">
        <v>0</v>
      </c>
      <c r="R94">
        <v>0</v>
      </c>
      <c r="S94" t="s">
        <v>2265</v>
      </c>
      <c r="T94" t="s">
        <v>81</v>
      </c>
      <c r="U94" t="s">
        <v>39</v>
      </c>
      <c r="V94" t="s">
        <v>52</v>
      </c>
      <c r="W94" t="s">
        <v>39</v>
      </c>
      <c r="X94">
        <v>2023</v>
      </c>
      <c r="Y94" t="s">
        <v>82</v>
      </c>
      <c r="Z94" t="s">
        <v>83</v>
      </c>
    </row>
    <row r="95" spans="1:26">
      <c r="A95" t="s">
        <v>390</v>
      </c>
      <c r="B95" t="s">
        <v>108</v>
      </c>
      <c r="C95" t="s">
        <v>67</v>
      </c>
      <c r="D95" t="s">
        <v>122</v>
      </c>
      <c r="E95" t="s">
        <v>155</v>
      </c>
      <c r="F95" t="s">
        <v>68</v>
      </c>
      <c r="G95" t="s">
        <v>32</v>
      </c>
      <c r="H95">
        <v>10.7</v>
      </c>
      <c r="I95">
        <v>26.1</v>
      </c>
      <c r="J95" t="s">
        <v>156</v>
      </c>
      <c r="K95" t="s">
        <v>391</v>
      </c>
      <c r="L95" t="s">
        <v>126</v>
      </c>
      <c r="M95" t="s">
        <v>392</v>
      </c>
      <c r="N95" t="s">
        <v>100</v>
      </c>
      <c r="O95">
        <v>95</v>
      </c>
      <c r="P95" t="s">
        <v>2265</v>
      </c>
      <c r="Q95">
        <v>0</v>
      </c>
      <c r="R95">
        <v>0</v>
      </c>
      <c r="S95" t="s">
        <v>2265</v>
      </c>
      <c r="T95" t="s">
        <v>51</v>
      </c>
      <c r="U95" t="s">
        <v>39</v>
      </c>
      <c r="V95" t="s">
        <v>39</v>
      </c>
      <c r="W95" t="s">
        <v>52</v>
      </c>
      <c r="X95">
        <v>2022</v>
      </c>
      <c r="Y95" t="s">
        <v>114</v>
      </c>
      <c r="Z95" t="s">
        <v>41</v>
      </c>
    </row>
    <row r="96" spans="1:26">
      <c r="A96" t="s">
        <v>393</v>
      </c>
      <c r="B96" t="s">
        <v>66</v>
      </c>
      <c r="C96" t="s">
        <v>173</v>
      </c>
      <c r="D96" t="s">
        <v>29</v>
      </c>
      <c r="E96" t="s">
        <v>117</v>
      </c>
      <c r="F96" t="s">
        <v>160</v>
      </c>
      <c r="G96" t="s">
        <v>32</v>
      </c>
      <c r="H96">
        <v>3.9</v>
      </c>
      <c r="I96">
        <v>3.3</v>
      </c>
      <c r="J96" t="s">
        <v>20</v>
      </c>
      <c r="K96" t="s">
        <v>394</v>
      </c>
      <c r="L96" t="s">
        <v>98</v>
      </c>
      <c r="M96" t="s">
        <v>395</v>
      </c>
      <c r="N96" t="s">
        <v>61</v>
      </c>
      <c r="O96">
        <v>140</v>
      </c>
      <c r="P96" t="s">
        <v>2265</v>
      </c>
      <c r="Q96">
        <v>0</v>
      </c>
      <c r="R96">
        <v>0</v>
      </c>
      <c r="S96" t="s">
        <v>2265</v>
      </c>
      <c r="T96" t="s">
        <v>136</v>
      </c>
      <c r="U96" t="s">
        <v>39</v>
      </c>
      <c r="V96" t="s">
        <v>52</v>
      </c>
      <c r="W96" t="s">
        <v>52</v>
      </c>
      <c r="X96">
        <v>2023</v>
      </c>
      <c r="Y96" t="s">
        <v>106</v>
      </c>
      <c r="Z96" t="s">
        <v>83</v>
      </c>
    </row>
    <row r="97" spans="1:26">
      <c r="A97" t="s">
        <v>396</v>
      </c>
      <c r="B97" t="s">
        <v>116</v>
      </c>
      <c r="C97" t="s">
        <v>28</v>
      </c>
      <c r="D97" t="s">
        <v>122</v>
      </c>
      <c r="E97" t="s">
        <v>130</v>
      </c>
      <c r="F97" t="s">
        <v>57</v>
      </c>
      <c r="G97" t="s">
        <v>32</v>
      </c>
      <c r="H97">
        <v>3.4</v>
      </c>
      <c r="I97">
        <v>34.299999999999997</v>
      </c>
      <c r="J97" t="s">
        <v>20</v>
      </c>
      <c r="K97" t="s">
        <v>397</v>
      </c>
      <c r="L97" t="s">
        <v>98</v>
      </c>
      <c r="M97" t="s">
        <v>398</v>
      </c>
      <c r="N97" t="s">
        <v>100</v>
      </c>
      <c r="O97">
        <v>91</v>
      </c>
      <c r="P97" t="s">
        <v>2265</v>
      </c>
      <c r="Q97">
        <v>0</v>
      </c>
      <c r="R97">
        <v>0</v>
      </c>
      <c r="S97" t="s">
        <v>2265</v>
      </c>
      <c r="T97" t="s">
        <v>81</v>
      </c>
      <c r="U97" t="s">
        <v>39</v>
      </c>
      <c r="V97" t="s">
        <v>39</v>
      </c>
      <c r="W97" t="s">
        <v>52</v>
      </c>
      <c r="X97">
        <v>2022</v>
      </c>
      <c r="Y97" t="s">
        <v>312</v>
      </c>
      <c r="Z97" t="s">
        <v>83</v>
      </c>
    </row>
    <row r="98" spans="1:26">
      <c r="A98" t="s">
        <v>399</v>
      </c>
      <c r="B98" t="s">
        <v>116</v>
      </c>
      <c r="C98" t="s">
        <v>164</v>
      </c>
      <c r="D98" t="s">
        <v>77</v>
      </c>
      <c r="E98" t="s">
        <v>216</v>
      </c>
      <c r="F98" t="s">
        <v>149</v>
      </c>
      <c r="G98" t="s">
        <v>32</v>
      </c>
      <c r="H98">
        <v>4.4000000000000004</v>
      </c>
      <c r="I98">
        <v>33.299999999999997</v>
      </c>
      <c r="J98" t="s">
        <v>33</v>
      </c>
      <c r="K98" t="s">
        <v>400</v>
      </c>
      <c r="L98" t="s">
        <v>126</v>
      </c>
      <c r="M98" t="s">
        <v>327</v>
      </c>
      <c r="N98" t="s">
        <v>171</v>
      </c>
      <c r="O98">
        <v>61</v>
      </c>
      <c r="P98" t="s">
        <v>2265</v>
      </c>
      <c r="Q98">
        <v>0</v>
      </c>
      <c r="R98">
        <v>0</v>
      </c>
      <c r="S98" t="s">
        <v>2265</v>
      </c>
      <c r="T98" t="s">
        <v>38</v>
      </c>
      <c r="U98" t="s">
        <v>39</v>
      </c>
      <c r="V98" t="s">
        <v>52</v>
      </c>
      <c r="W98" t="s">
        <v>52</v>
      </c>
      <c r="X98">
        <v>2022</v>
      </c>
      <c r="Y98" t="s">
        <v>53</v>
      </c>
      <c r="Z98" t="s">
        <v>54</v>
      </c>
    </row>
    <row r="99" spans="1:26">
      <c r="A99" t="s">
        <v>401</v>
      </c>
      <c r="B99" t="s">
        <v>27</v>
      </c>
      <c r="C99" t="s">
        <v>28</v>
      </c>
      <c r="D99" t="s">
        <v>85</v>
      </c>
      <c r="E99" t="s">
        <v>402</v>
      </c>
      <c r="F99" t="s">
        <v>160</v>
      </c>
      <c r="G99" t="s">
        <v>32</v>
      </c>
      <c r="H99">
        <v>2.2999999999999998</v>
      </c>
      <c r="I99">
        <v>18.399999999999999</v>
      </c>
      <c r="J99" t="s">
        <v>156</v>
      </c>
      <c r="K99" t="s">
        <v>403</v>
      </c>
      <c r="L99" t="s">
        <v>126</v>
      </c>
      <c r="M99" t="s">
        <v>360</v>
      </c>
      <c r="N99" t="s">
        <v>71</v>
      </c>
      <c r="O99">
        <v>64</v>
      </c>
      <c r="P99" t="s">
        <v>89</v>
      </c>
      <c r="Q99">
        <v>606</v>
      </c>
      <c r="R99">
        <v>2000</v>
      </c>
      <c r="S99" t="s">
        <v>152</v>
      </c>
      <c r="T99" t="s">
        <v>136</v>
      </c>
      <c r="U99" t="s">
        <v>39</v>
      </c>
      <c r="V99" t="s">
        <v>39</v>
      </c>
      <c r="W99" t="s">
        <v>52</v>
      </c>
      <c r="X99">
        <v>2023</v>
      </c>
      <c r="Y99" t="s">
        <v>40</v>
      </c>
      <c r="Z99" t="s">
        <v>41</v>
      </c>
    </row>
    <row r="100" spans="1:26">
      <c r="A100" t="s">
        <v>404</v>
      </c>
      <c r="B100" t="s">
        <v>66</v>
      </c>
      <c r="C100" t="s">
        <v>67</v>
      </c>
      <c r="D100" t="s">
        <v>29</v>
      </c>
      <c r="E100" t="s">
        <v>117</v>
      </c>
      <c r="F100" t="s">
        <v>95</v>
      </c>
      <c r="G100" t="s">
        <v>32</v>
      </c>
      <c r="H100">
        <v>11.6</v>
      </c>
      <c r="I100">
        <v>34.5</v>
      </c>
      <c r="J100" t="s">
        <v>33</v>
      </c>
      <c r="K100" t="s">
        <v>354</v>
      </c>
      <c r="L100" t="s">
        <v>48</v>
      </c>
      <c r="M100" t="s">
        <v>323</v>
      </c>
      <c r="N100" t="s">
        <v>71</v>
      </c>
      <c r="O100">
        <v>114</v>
      </c>
      <c r="P100" t="s">
        <v>89</v>
      </c>
      <c r="Q100">
        <v>4819</v>
      </c>
      <c r="R100">
        <v>2000</v>
      </c>
      <c r="S100" t="s">
        <v>152</v>
      </c>
      <c r="T100" t="s">
        <v>62</v>
      </c>
      <c r="U100" t="s">
        <v>39</v>
      </c>
      <c r="V100" t="s">
        <v>39</v>
      </c>
      <c r="W100" t="s">
        <v>52</v>
      </c>
      <c r="X100">
        <v>2022</v>
      </c>
      <c r="Y100" t="s">
        <v>63</v>
      </c>
      <c r="Z100" t="s">
        <v>64</v>
      </c>
    </row>
    <row r="101" spans="1:26">
      <c r="A101" t="s">
        <v>405</v>
      </c>
      <c r="B101" t="s">
        <v>27</v>
      </c>
      <c r="C101" t="s">
        <v>164</v>
      </c>
      <c r="D101" t="s">
        <v>77</v>
      </c>
      <c r="E101" t="s">
        <v>363</v>
      </c>
      <c r="F101" t="s">
        <v>31</v>
      </c>
      <c r="G101" t="s">
        <v>58</v>
      </c>
      <c r="H101">
        <v>6.7</v>
      </c>
      <c r="I101">
        <v>13.2</v>
      </c>
      <c r="J101" t="s">
        <v>33</v>
      </c>
      <c r="K101" t="s">
        <v>406</v>
      </c>
      <c r="L101" t="s">
        <v>60</v>
      </c>
      <c r="M101" t="s">
        <v>407</v>
      </c>
      <c r="N101" t="s">
        <v>171</v>
      </c>
      <c r="O101">
        <v>7</v>
      </c>
      <c r="P101" t="s">
        <v>2265</v>
      </c>
      <c r="Q101">
        <v>0</v>
      </c>
      <c r="R101">
        <v>0</v>
      </c>
      <c r="S101" t="s">
        <v>2265</v>
      </c>
      <c r="T101" t="s">
        <v>136</v>
      </c>
      <c r="U101" t="s">
        <v>52</v>
      </c>
      <c r="V101" t="s">
        <v>52</v>
      </c>
      <c r="W101" t="s">
        <v>52</v>
      </c>
      <c r="X101">
        <v>2024</v>
      </c>
      <c r="Y101" t="s">
        <v>91</v>
      </c>
      <c r="Z101" t="s">
        <v>64</v>
      </c>
    </row>
    <row r="102" spans="1:26">
      <c r="A102" t="s">
        <v>408</v>
      </c>
      <c r="B102" t="s">
        <v>66</v>
      </c>
      <c r="C102" t="s">
        <v>67</v>
      </c>
      <c r="D102" t="s">
        <v>85</v>
      </c>
      <c r="E102" t="s">
        <v>138</v>
      </c>
      <c r="F102" t="s">
        <v>68</v>
      </c>
      <c r="G102" t="s">
        <v>58</v>
      </c>
      <c r="H102">
        <v>7.7</v>
      </c>
      <c r="I102">
        <v>16</v>
      </c>
      <c r="J102" t="s">
        <v>96</v>
      </c>
      <c r="K102" t="s">
        <v>409</v>
      </c>
      <c r="L102" t="s">
        <v>48</v>
      </c>
      <c r="M102" t="s">
        <v>410</v>
      </c>
      <c r="N102" t="s">
        <v>171</v>
      </c>
      <c r="O102">
        <v>33</v>
      </c>
      <c r="P102" t="s">
        <v>2265</v>
      </c>
      <c r="Q102">
        <v>0</v>
      </c>
      <c r="R102">
        <v>0</v>
      </c>
      <c r="S102" t="s">
        <v>2265</v>
      </c>
      <c r="T102" t="s">
        <v>136</v>
      </c>
      <c r="U102" t="s">
        <v>39</v>
      </c>
      <c r="V102" t="s">
        <v>39</v>
      </c>
      <c r="W102" t="s">
        <v>52</v>
      </c>
      <c r="X102">
        <v>2022</v>
      </c>
      <c r="Y102" t="s">
        <v>153</v>
      </c>
      <c r="Z102" t="s">
        <v>54</v>
      </c>
    </row>
    <row r="103" spans="1:26">
      <c r="A103" t="s">
        <v>411</v>
      </c>
      <c r="B103" t="s">
        <v>93</v>
      </c>
      <c r="C103" t="s">
        <v>28</v>
      </c>
      <c r="D103" t="s">
        <v>29</v>
      </c>
      <c r="E103" t="s">
        <v>45</v>
      </c>
      <c r="F103" t="s">
        <v>160</v>
      </c>
      <c r="G103" t="s">
        <v>58</v>
      </c>
      <c r="H103">
        <v>11.4</v>
      </c>
      <c r="I103">
        <v>18.399999999999999</v>
      </c>
      <c r="J103" t="s">
        <v>156</v>
      </c>
      <c r="K103" t="s">
        <v>412</v>
      </c>
      <c r="L103" t="s">
        <v>140</v>
      </c>
      <c r="M103" t="s">
        <v>413</v>
      </c>
      <c r="N103" t="s">
        <v>37</v>
      </c>
      <c r="O103">
        <v>83</v>
      </c>
      <c r="P103" t="s">
        <v>2265</v>
      </c>
      <c r="Q103">
        <v>0</v>
      </c>
      <c r="R103">
        <v>500</v>
      </c>
      <c r="S103" t="s">
        <v>2265</v>
      </c>
      <c r="T103" t="s">
        <v>51</v>
      </c>
      <c r="U103" t="s">
        <v>39</v>
      </c>
      <c r="V103" t="s">
        <v>52</v>
      </c>
      <c r="W103" t="s">
        <v>52</v>
      </c>
      <c r="X103">
        <v>2022</v>
      </c>
      <c r="Y103" t="s">
        <v>128</v>
      </c>
      <c r="Z103" t="s">
        <v>64</v>
      </c>
    </row>
    <row r="104" spans="1:26">
      <c r="A104" t="s">
        <v>414</v>
      </c>
      <c r="B104" t="s">
        <v>66</v>
      </c>
      <c r="C104" t="s">
        <v>67</v>
      </c>
      <c r="D104" t="s">
        <v>77</v>
      </c>
      <c r="E104" t="s">
        <v>143</v>
      </c>
      <c r="F104" t="s">
        <v>31</v>
      </c>
      <c r="G104" t="s">
        <v>58</v>
      </c>
      <c r="H104">
        <v>1.9</v>
      </c>
      <c r="I104">
        <v>23.2</v>
      </c>
      <c r="J104" t="s">
        <v>96</v>
      </c>
      <c r="K104" t="s">
        <v>415</v>
      </c>
      <c r="L104" t="s">
        <v>35</v>
      </c>
      <c r="M104" t="s">
        <v>127</v>
      </c>
      <c r="N104" t="s">
        <v>71</v>
      </c>
      <c r="O104">
        <v>165</v>
      </c>
      <c r="P104" t="s">
        <v>230</v>
      </c>
      <c r="Q104">
        <v>7848</v>
      </c>
      <c r="R104">
        <v>1000</v>
      </c>
      <c r="S104" t="s">
        <v>73</v>
      </c>
      <c r="T104" t="s">
        <v>62</v>
      </c>
      <c r="U104" t="s">
        <v>39</v>
      </c>
      <c r="V104" t="s">
        <v>52</v>
      </c>
      <c r="W104" t="s">
        <v>52</v>
      </c>
      <c r="X104">
        <v>2024</v>
      </c>
      <c r="Y104" t="s">
        <v>91</v>
      </c>
      <c r="Z104" t="s">
        <v>64</v>
      </c>
    </row>
    <row r="105" spans="1:26">
      <c r="A105" t="s">
        <v>416</v>
      </c>
      <c r="B105" t="s">
        <v>43</v>
      </c>
      <c r="C105" t="s">
        <v>44</v>
      </c>
      <c r="D105" t="s">
        <v>77</v>
      </c>
      <c r="E105" t="s">
        <v>94</v>
      </c>
      <c r="F105" t="s">
        <v>160</v>
      </c>
      <c r="G105" t="s">
        <v>32</v>
      </c>
      <c r="H105">
        <v>7.7</v>
      </c>
      <c r="I105">
        <v>10.9</v>
      </c>
      <c r="J105" t="s">
        <v>33</v>
      </c>
      <c r="K105" t="s">
        <v>417</v>
      </c>
      <c r="L105" t="s">
        <v>98</v>
      </c>
      <c r="M105" t="s">
        <v>418</v>
      </c>
      <c r="N105" t="s">
        <v>61</v>
      </c>
      <c r="O105">
        <v>128</v>
      </c>
      <c r="P105" t="s">
        <v>2265</v>
      </c>
      <c r="Q105">
        <v>0</v>
      </c>
      <c r="R105">
        <v>0</v>
      </c>
      <c r="S105" t="s">
        <v>2265</v>
      </c>
      <c r="T105" t="s">
        <v>38</v>
      </c>
      <c r="U105" t="s">
        <v>39</v>
      </c>
      <c r="V105" t="s">
        <v>52</v>
      </c>
      <c r="W105" t="s">
        <v>52</v>
      </c>
      <c r="X105">
        <v>2022</v>
      </c>
      <c r="Y105" t="s">
        <v>312</v>
      </c>
      <c r="Z105" t="s">
        <v>83</v>
      </c>
    </row>
    <row r="106" spans="1:26">
      <c r="A106" t="s">
        <v>419</v>
      </c>
      <c r="B106" t="s">
        <v>93</v>
      </c>
      <c r="C106" t="s">
        <v>44</v>
      </c>
      <c r="D106" t="s">
        <v>77</v>
      </c>
      <c r="E106" t="s">
        <v>78</v>
      </c>
      <c r="F106" t="s">
        <v>68</v>
      </c>
      <c r="G106" t="s">
        <v>32</v>
      </c>
      <c r="H106">
        <v>8.6</v>
      </c>
      <c r="I106">
        <v>25.8</v>
      </c>
      <c r="J106" t="s">
        <v>20</v>
      </c>
      <c r="K106" t="s">
        <v>420</v>
      </c>
      <c r="L106" t="s">
        <v>140</v>
      </c>
      <c r="M106" t="s">
        <v>421</v>
      </c>
      <c r="N106" t="s">
        <v>71</v>
      </c>
      <c r="O106">
        <v>88</v>
      </c>
      <c r="P106" t="s">
        <v>230</v>
      </c>
      <c r="Q106">
        <v>5560</v>
      </c>
      <c r="R106">
        <v>5000</v>
      </c>
      <c r="S106" t="s">
        <v>152</v>
      </c>
      <c r="T106" t="s">
        <v>81</v>
      </c>
      <c r="U106" t="s">
        <v>52</v>
      </c>
      <c r="V106" t="s">
        <v>39</v>
      </c>
      <c r="W106" t="s">
        <v>52</v>
      </c>
      <c r="X106">
        <v>2023</v>
      </c>
      <c r="Y106" t="s">
        <v>82</v>
      </c>
      <c r="Z106" t="s">
        <v>83</v>
      </c>
    </row>
    <row r="107" spans="1:26">
      <c r="A107" t="s">
        <v>422</v>
      </c>
      <c r="B107" t="s">
        <v>43</v>
      </c>
      <c r="C107" t="s">
        <v>67</v>
      </c>
      <c r="D107" t="s">
        <v>77</v>
      </c>
      <c r="E107" t="s">
        <v>363</v>
      </c>
      <c r="F107" t="s">
        <v>31</v>
      </c>
      <c r="G107" t="s">
        <v>32</v>
      </c>
      <c r="H107">
        <v>10.4</v>
      </c>
      <c r="I107">
        <v>14.9</v>
      </c>
      <c r="J107" t="s">
        <v>33</v>
      </c>
      <c r="K107" t="s">
        <v>423</v>
      </c>
      <c r="L107" t="s">
        <v>48</v>
      </c>
      <c r="M107" t="s">
        <v>424</v>
      </c>
      <c r="N107" t="s">
        <v>71</v>
      </c>
      <c r="O107">
        <v>25</v>
      </c>
      <c r="P107" t="s">
        <v>112</v>
      </c>
      <c r="Q107">
        <v>5377</v>
      </c>
      <c r="R107">
        <v>500</v>
      </c>
      <c r="S107" t="s">
        <v>90</v>
      </c>
      <c r="T107" t="s">
        <v>136</v>
      </c>
      <c r="U107" t="s">
        <v>39</v>
      </c>
      <c r="V107" t="s">
        <v>52</v>
      </c>
      <c r="W107" t="s">
        <v>39</v>
      </c>
      <c r="X107">
        <v>2022</v>
      </c>
      <c r="Y107" t="s">
        <v>91</v>
      </c>
      <c r="Z107" t="s">
        <v>64</v>
      </c>
    </row>
    <row r="108" spans="1:26">
      <c r="A108" t="s">
        <v>425</v>
      </c>
      <c r="B108" t="s">
        <v>93</v>
      </c>
      <c r="C108" t="s">
        <v>121</v>
      </c>
      <c r="D108" t="s">
        <v>29</v>
      </c>
      <c r="E108" t="s">
        <v>117</v>
      </c>
      <c r="F108" t="s">
        <v>31</v>
      </c>
      <c r="G108" t="s">
        <v>32</v>
      </c>
      <c r="H108">
        <v>7</v>
      </c>
      <c r="I108">
        <v>2.2000000000000002</v>
      </c>
      <c r="J108" t="s">
        <v>33</v>
      </c>
      <c r="K108" t="s">
        <v>426</v>
      </c>
      <c r="L108" t="s">
        <v>140</v>
      </c>
      <c r="M108" t="s">
        <v>127</v>
      </c>
      <c r="N108" t="s">
        <v>37</v>
      </c>
      <c r="O108">
        <v>118</v>
      </c>
      <c r="P108" t="s">
        <v>2265</v>
      </c>
      <c r="Q108">
        <v>0</v>
      </c>
      <c r="R108">
        <v>0</v>
      </c>
      <c r="S108" t="s">
        <v>2265</v>
      </c>
      <c r="T108" t="s">
        <v>38</v>
      </c>
      <c r="U108" t="s">
        <v>39</v>
      </c>
      <c r="V108" t="s">
        <v>52</v>
      </c>
      <c r="W108" t="s">
        <v>52</v>
      </c>
      <c r="X108">
        <v>2024</v>
      </c>
      <c r="Y108" t="s">
        <v>128</v>
      </c>
      <c r="Z108" t="s">
        <v>64</v>
      </c>
    </row>
    <row r="109" spans="1:26">
      <c r="A109" t="s">
        <v>427</v>
      </c>
      <c r="B109" t="s">
        <v>27</v>
      </c>
      <c r="C109" t="s">
        <v>102</v>
      </c>
      <c r="D109" t="s">
        <v>29</v>
      </c>
      <c r="E109" t="s">
        <v>94</v>
      </c>
      <c r="F109" t="s">
        <v>46</v>
      </c>
      <c r="G109" t="s">
        <v>32</v>
      </c>
      <c r="H109">
        <v>0.6</v>
      </c>
      <c r="I109">
        <v>2.2999999999999998</v>
      </c>
      <c r="J109" t="s">
        <v>33</v>
      </c>
      <c r="K109" t="s">
        <v>298</v>
      </c>
      <c r="L109" t="s">
        <v>126</v>
      </c>
      <c r="M109" t="s">
        <v>428</v>
      </c>
      <c r="N109" t="s">
        <v>171</v>
      </c>
      <c r="O109">
        <v>104</v>
      </c>
      <c r="P109" t="s">
        <v>2265</v>
      </c>
      <c r="Q109">
        <v>0</v>
      </c>
      <c r="R109">
        <v>0</v>
      </c>
      <c r="S109" t="s">
        <v>2265</v>
      </c>
      <c r="T109" t="s">
        <v>62</v>
      </c>
      <c r="U109" t="s">
        <v>52</v>
      </c>
      <c r="V109" t="s">
        <v>52</v>
      </c>
      <c r="W109" t="s">
        <v>52</v>
      </c>
      <c r="X109">
        <v>2024</v>
      </c>
      <c r="Y109" t="s">
        <v>106</v>
      </c>
      <c r="Z109" t="s">
        <v>83</v>
      </c>
    </row>
    <row r="110" spans="1:26">
      <c r="A110" t="s">
        <v>429</v>
      </c>
      <c r="B110" t="s">
        <v>27</v>
      </c>
      <c r="C110" t="s">
        <v>67</v>
      </c>
      <c r="D110" t="s">
        <v>77</v>
      </c>
      <c r="E110" t="s">
        <v>143</v>
      </c>
      <c r="F110" t="s">
        <v>68</v>
      </c>
      <c r="G110" t="s">
        <v>58</v>
      </c>
      <c r="H110">
        <v>4.5</v>
      </c>
      <c r="I110">
        <v>34.5</v>
      </c>
      <c r="J110" t="s">
        <v>20</v>
      </c>
      <c r="K110" t="s">
        <v>430</v>
      </c>
      <c r="L110" t="s">
        <v>140</v>
      </c>
      <c r="M110" t="s">
        <v>423</v>
      </c>
      <c r="N110" t="s">
        <v>100</v>
      </c>
      <c r="O110">
        <v>25</v>
      </c>
      <c r="P110" t="s">
        <v>2265</v>
      </c>
      <c r="Q110">
        <v>0</v>
      </c>
      <c r="R110">
        <v>0</v>
      </c>
      <c r="S110" t="s">
        <v>2265</v>
      </c>
      <c r="T110" t="s">
        <v>136</v>
      </c>
      <c r="U110" t="s">
        <v>39</v>
      </c>
      <c r="V110" t="s">
        <v>39</v>
      </c>
      <c r="W110" t="s">
        <v>39</v>
      </c>
      <c r="X110">
        <v>2022</v>
      </c>
      <c r="Y110" t="s">
        <v>114</v>
      </c>
      <c r="Z110" t="s">
        <v>41</v>
      </c>
    </row>
    <row r="111" spans="1:26">
      <c r="A111" t="s">
        <v>431</v>
      </c>
      <c r="B111" t="s">
        <v>93</v>
      </c>
      <c r="C111" t="s">
        <v>67</v>
      </c>
      <c r="D111" t="s">
        <v>77</v>
      </c>
      <c r="E111" t="s">
        <v>260</v>
      </c>
      <c r="F111" t="s">
        <v>68</v>
      </c>
      <c r="G111" t="s">
        <v>32</v>
      </c>
      <c r="H111">
        <v>7.3</v>
      </c>
      <c r="I111">
        <v>18.3</v>
      </c>
      <c r="J111" t="s">
        <v>20</v>
      </c>
      <c r="K111" t="s">
        <v>432</v>
      </c>
      <c r="L111" t="s">
        <v>98</v>
      </c>
      <c r="M111" t="s">
        <v>127</v>
      </c>
      <c r="N111" t="s">
        <v>50</v>
      </c>
      <c r="O111">
        <v>133</v>
      </c>
      <c r="P111" t="s">
        <v>2265</v>
      </c>
      <c r="Q111">
        <v>0</v>
      </c>
      <c r="R111">
        <v>0</v>
      </c>
      <c r="S111" t="s">
        <v>2265</v>
      </c>
      <c r="T111" t="s">
        <v>51</v>
      </c>
      <c r="U111" t="s">
        <v>39</v>
      </c>
      <c r="V111" t="s">
        <v>52</v>
      </c>
      <c r="W111" t="s">
        <v>52</v>
      </c>
      <c r="X111">
        <v>2024</v>
      </c>
      <c r="Y111" t="s">
        <v>211</v>
      </c>
      <c r="Z111" t="s">
        <v>41</v>
      </c>
    </row>
    <row r="112" spans="1:26">
      <c r="A112" t="s">
        <v>433</v>
      </c>
      <c r="B112" t="s">
        <v>108</v>
      </c>
      <c r="C112" t="s">
        <v>173</v>
      </c>
      <c r="D112" t="s">
        <v>77</v>
      </c>
      <c r="E112" t="s">
        <v>168</v>
      </c>
      <c r="F112" t="s">
        <v>238</v>
      </c>
      <c r="G112" t="s">
        <v>32</v>
      </c>
      <c r="H112">
        <v>4</v>
      </c>
      <c r="I112">
        <v>4.3</v>
      </c>
      <c r="J112" t="s">
        <v>33</v>
      </c>
      <c r="K112" t="s">
        <v>434</v>
      </c>
      <c r="L112" t="s">
        <v>98</v>
      </c>
      <c r="M112" t="s">
        <v>435</v>
      </c>
      <c r="N112" t="s">
        <v>171</v>
      </c>
      <c r="O112">
        <v>5</v>
      </c>
      <c r="P112" t="s">
        <v>2265</v>
      </c>
      <c r="Q112">
        <v>0</v>
      </c>
      <c r="R112">
        <v>0</v>
      </c>
      <c r="S112" t="s">
        <v>2265</v>
      </c>
      <c r="T112" t="s">
        <v>62</v>
      </c>
      <c r="U112" t="s">
        <v>39</v>
      </c>
      <c r="V112" t="s">
        <v>52</v>
      </c>
      <c r="W112" t="s">
        <v>39</v>
      </c>
      <c r="X112">
        <v>2024</v>
      </c>
      <c r="Y112" t="s">
        <v>211</v>
      </c>
      <c r="Z112" t="s">
        <v>41</v>
      </c>
    </row>
    <row r="113" spans="1:26">
      <c r="A113" t="s">
        <v>436</v>
      </c>
      <c r="B113" t="s">
        <v>116</v>
      </c>
      <c r="C113" t="s">
        <v>28</v>
      </c>
      <c r="D113" t="s">
        <v>77</v>
      </c>
      <c r="E113" t="s">
        <v>78</v>
      </c>
      <c r="F113" t="s">
        <v>124</v>
      </c>
      <c r="G113" t="s">
        <v>58</v>
      </c>
      <c r="H113">
        <v>1.9</v>
      </c>
      <c r="I113">
        <v>24</v>
      </c>
      <c r="J113" t="s">
        <v>144</v>
      </c>
      <c r="K113" t="s">
        <v>392</v>
      </c>
      <c r="L113" t="s">
        <v>60</v>
      </c>
      <c r="M113" t="s">
        <v>437</v>
      </c>
      <c r="N113" t="s">
        <v>100</v>
      </c>
      <c r="O113">
        <v>135</v>
      </c>
      <c r="P113" t="s">
        <v>2265</v>
      </c>
      <c r="Q113">
        <v>0</v>
      </c>
      <c r="R113">
        <v>0</v>
      </c>
      <c r="S113" t="s">
        <v>2265</v>
      </c>
      <c r="T113" t="s">
        <v>136</v>
      </c>
      <c r="U113" t="s">
        <v>39</v>
      </c>
      <c r="V113" t="s">
        <v>52</v>
      </c>
      <c r="W113" t="s">
        <v>52</v>
      </c>
      <c r="X113">
        <v>2022</v>
      </c>
      <c r="Y113" t="s">
        <v>63</v>
      </c>
      <c r="Z113" t="s">
        <v>64</v>
      </c>
    </row>
    <row r="114" spans="1:26">
      <c r="A114" t="s">
        <v>438</v>
      </c>
      <c r="B114" t="s">
        <v>108</v>
      </c>
      <c r="C114" t="s">
        <v>44</v>
      </c>
      <c r="D114" t="s">
        <v>85</v>
      </c>
      <c r="E114" t="s">
        <v>138</v>
      </c>
      <c r="F114" t="s">
        <v>46</v>
      </c>
      <c r="G114" t="s">
        <v>58</v>
      </c>
      <c r="H114">
        <v>6.8</v>
      </c>
      <c r="I114">
        <v>34.9</v>
      </c>
      <c r="J114" t="s">
        <v>144</v>
      </c>
      <c r="K114" t="s">
        <v>439</v>
      </c>
      <c r="L114" t="s">
        <v>140</v>
      </c>
      <c r="M114" t="s">
        <v>440</v>
      </c>
      <c r="N114" t="s">
        <v>71</v>
      </c>
      <c r="O114">
        <v>16</v>
      </c>
      <c r="P114" t="s">
        <v>72</v>
      </c>
      <c r="Q114">
        <v>2624</v>
      </c>
      <c r="R114">
        <v>0</v>
      </c>
      <c r="S114" t="s">
        <v>152</v>
      </c>
      <c r="T114" t="s">
        <v>51</v>
      </c>
      <c r="U114" t="s">
        <v>52</v>
      </c>
      <c r="V114" t="s">
        <v>39</v>
      </c>
      <c r="W114" t="s">
        <v>52</v>
      </c>
      <c r="X114">
        <v>2024</v>
      </c>
      <c r="Y114" t="s">
        <v>211</v>
      </c>
      <c r="Z114" t="s">
        <v>41</v>
      </c>
    </row>
    <row r="115" spans="1:26">
      <c r="A115" t="s">
        <v>441</v>
      </c>
      <c r="B115" t="s">
        <v>66</v>
      </c>
      <c r="C115" t="s">
        <v>121</v>
      </c>
      <c r="D115" t="s">
        <v>29</v>
      </c>
      <c r="E115" t="s">
        <v>244</v>
      </c>
      <c r="F115" t="s">
        <v>46</v>
      </c>
      <c r="G115" t="s">
        <v>32</v>
      </c>
      <c r="H115">
        <v>9.3000000000000007</v>
      </c>
      <c r="I115">
        <v>24.8</v>
      </c>
      <c r="J115" t="s">
        <v>33</v>
      </c>
      <c r="K115" t="s">
        <v>273</v>
      </c>
      <c r="L115" t="s">
        <v>140</v>
      </c>
      <c r="M115" t="s">
        <v>291</v>
      </c>
      <c r="N115" t="s">
        <v>61</v>
      </c>
      <c r="O115">
        <v>58</v>
      </c>
      <c r="P115" t="s">
        <v>2265</v>
      </c>
      <c r="Q115">
        <v>0</v>
      </c>
      <c r="R115">
        <v>0</v>
      </c>
      <c r="S115" t="s">
        <v>2265</v>
      </c>
      <c r="T115" t="s">
        <v>51</v>
      </c>
      <c r="U115" t="s">
        <v>39</v>
      </c>
      <c r="V115" t="s">
        <v>39</v>
      </c>
      <c r="W115" t="s">
        <v>52</v>
      </c>
      <c r="X115">
        <v>2023</v>
      </c>
      <c r="Y115" t="s">
        <v>114</v>
      </c>
      <c r="Z115" t="s">
        <v>41</v>
      </c>
    </row>
    <row r="116" spans="1:26">
      <c r="A116" t="s">
        <v>442</v>
      </c>
      <c r="B116" t="s">
        <v>66</v>
      </c>
      <c r="C116" t="s">
        <v>173</v>
      </c>
      <c r="D116" t="s">
        <v>85</v>
      </c>
      <c r="E116" t="s">
        <v>402</v>
      </c>
      <c r="F116" t="s">
        <v>149</v>
      </c>
      <c r="G116" t="s">
        <v>58</v>
      </c>
      <c r="H116">
        <v>1</v>
      </c>
      <c r="I116">
        <v>32.4</v>
      </c>
      <c r="J116" t="s">
        <v>33</v>
      </c>
      <c r="K116" t="s">
        <v>443</v>
      </c>
      <c r="L116" t="s">
        <v>140</v>
      </c>
      <c r="M116" t="s">
        <v>444</v>
      </c>
      <c r="N116" t="s">
        <v>71</v>
      </c>
      <c r="O116">
        <v>75</v>
      </c>
      <c r="P116" t="s">
        <v>72</v>
      </c>
      <c r="Q116">
        <v>1678</v>
      </c>
      <c r="R116">
        <v>2000</v>
      </c>
      <c r="S116" t="s">
        <v>152</v>
      </c>
      <c r="T116" t="s">
        <v>81</v>
      </c>
      <c r="U116" t="s">
        <v>39</v>
      </c>
      <c r="V116" t="s">
        <v>52</v>
      </c>
      <c r="W116" t="s">
        <v>52</v>
      </c>
      <c r="X116">
        <v>2022</v>
      </c>
      <c r="Y116" t="s">
        <v>91</v>
      </c>
      <c r="Z116" t="s">
        <v>64</v>
      </c>
    </row>
    <row r="117" spans="1:26">
      <c r="A117" t="s">
        <v>445</v>
      </c>
      <c r="B117" t="s">
        <v>108</v>
      </c>
      <c r="C117" t="s">
        <v>28</v>
      </c>
      <c r="D117" t="s">
        <v>77</v>
      </c>
      <c r="E117" t="s">
        <v>220</v>
      </c>
      <c r="F117" t="s">
        <v>68</v>
      </c>
      <c r="G117" t="s">
        <v>58</v>
      </c>
      <c r="H117">
        <v>1.3</v>
      </c>
      <c r="I117">
        <v>11.9</v>
      </c>
      <c r="J117" t="s">
        <v>20</v>
      </c>
      <c r="K117" t="s">
        <v>446</v>
      </c>
      <c r="L117" t="s">
        <v>48</v>
      </c>
      <c r="M117" t="s">
        <v>127</v>
      </c>
      <c r="N117" t="s">
        <v>37</v>
      </c>
      <c r="O117">
        <v>58</v>
      </c>
      <c r="P117" t="s">
        <v>2265</v>
      </c>
      <c r="Q117">
        <v>0</v>
      </c>
      <c r="R117">
        <v>0</v>
      </c>
      <c r="S117" t="s">
        <v>2265</v>
      </c>
      <c r="T117" t="s">
        <v>136</v>
      </c>
      <c r="U117" t="s">
        <v>52</v>
      </c>
      <c r="V117" t="s">
        <v>52</v>
      </c>
      <c r="W117" t="s">
        <v>52</v>
      </c>
      <c r="X117">
        <v>2024</v>
      </c>
      <c r="Y117" t="s">
        <v>63</v>
      </c>
      <c r="Z117" t="s">
        <v>64</v>
      </c>
    </row>
    <row r="118" spans="1:26">
      <c r="A118" t="s">
        <v>447</v>
      </c>
      <c r="B118" t="s">
        <v>66</v>
      </c>
      <c r="C118" t="s">
        <v>76</v>
      </c>
      <c r="D118" t="s">
        <v>29</v>
      </c>
      <c r="E118" t="s">
        <v>56</v>
      </c>
      <c r="F118" t="s">
        <v>68</v>
      </c>
      <c r="G118" t="s">
        <v>32</v>
      </c>
      <c r="H118">
        <v>7.9</v>
      </c>
      <c r="I118">
        <v>8.5</v>
      </c>
      <c r="J118" t="s">
        <v>96</v>
      </c>
      <c r="K118" t="s">
        <v>448</v>
      </c>
      <c r="L118" t="s">
        <v>48</v>
      </c>
      <c r="M118" t="s">
        <v>449</v>
      </c>
      <c r="N118" t="s">
        <v>71</v>
      </c>
      <c r="O118">
        <v>166</v>
      </c>
      <c r="P118" t="s">
        <v>230</v>
      </c>
      <c r="Q118">
        <v>4648</v>
      </c>
      <c r="R118">
        <v>0</v>
      </c>
      <c r="S118" t="s">
        <v>90</v>
      </c>
      <c r="T118" t="s">
        <v>136</v>
      </c>
      <c r="U118" t="s">
        <v>39</v>
      </c>
      <c r="V118" t="s">
        <v>52</v>
      </c>
      <c r="W118" t="s">
        <v>52</v>
      </c>
      <c r="X118">
        <v>2023</v>
      </c>
      <c r="Y118" t="s">
        <v>211</v>
      </c>
      <c r="Z118" t="s">
        <v>41</v>
      </c>
    </row>
    <row r="119" spans="1:26">
      <c r="A119" t="s">
        <v>450</v>
      </c>
      <c r="B119" t="s">
        <v>27</v>
      </c>
      <c r="C119" t="s">
        <v>121</v>
      </c>
      <c r="D119" t="s">
        <v>77</v>
      </c>
      <c r="E119" t="s">
        <v>220</v>
      </c>
      <c r="F119" t="s">
        <v>68</v>
      </c>
      <c r="G119" t="s">
        <v>32</v>
      </c>
      <c r="H119">
        <v>5.5</v>
      </c>
      <c r="I119">
        <v>22.6</v>
      </c>
      <c r="J119" t="s">
        <v>33</v>
      </c>
      <c r="K119" t="s">
        <v>273</v>
      </c>
      <c r="L119" t="s">
        <v>48</v>
      </c>
      <c r="M119" t="s">
        <v>170</v>
      </c>
      <c r="N119" t="s">
        <v>71</v>
      </c>
      <c r="O119">
        <v>146</v>
      </c>
      <c r="P119" t="s">
        <v>230</v>
      </c>
      <c r="Q119">
        <v>5744</v>
      </c>
      <c r="R119">
        <v>0</v>
      </c>
      <c r="S119" t="s">
        <v>152</v>
      </c>
      <c r="T119" t="s">
        <v>81</v>
      </c>
      <c r="U119" t="s">
        <v>52</v>
      </c>
      <c r="V119" t="s">
        <v>52</v>
      </c>
      <c r="W119" t="s">
        <v>52</v>
      </c>
      <c r="X119">
        <v>2023</v>
      </c>
      <c r="Y119" t="s">
        <v>114</v>
      </c>
      <c r="Z119" t="s">
        <v>41</v>
      </c>
    </row>
    <row r="120" spans="1:26">
      <c r="A120" t="s">
        <v>451</v>
      </c>
      <c r="B120" t="s">
        <v>108</v>
      </c>
      <c r="C120" t="s">
        <v>44</v>
      </c>
      <c r="D120" t="s">
        <v>77</v>
      </c>
      <c r="E120" t="s">
        <v>220</v>
      </c>
      <c r="F120" t="s">
        <v>109</v>
      </c>
      <c r="G120" t="s">
        <v>32</v>
      </c>
      <c r="H120">
        <v>7.4</v>
      </c>
      <c r="I120">
        <v>22.5</v>
      </c>
      <c r="J120" t="s">
        <v>33</v>
      </c>
      <c r="K120" t="s">
        <v>452</v>
      </c>
      <c r="L120" t="s">
        <v>126</v>
      </c>
      <c r="M120" t="s">
        <v>453</v>
      </c>
      <c r="N120" t="s">
        <v>37</v>
      </c>
      <c r="O120">
        <v>76</v>
      </c>
      <c r="P120" t="s">
        <v>2265</v>
      </c>
      <c r="Q120">
        <v>0</v>
      </c>
      <c r="R120">
        <v>0</v>
      </c>
      <c r="S120" t="s">
        <v>2265</v>
      </c>
      <c r="T120" t="s">
        <v>38</v>
      </c>
      <c r="U120" t="s">
        <v>39</v>
      </c>
      <c r="V120" t="s">
        <v>39</v>
      </c>
      <c r="W120" t="s">
        <v>52</v>
      </c>
      <c r="X120">
        <v>2023</v>
      </c>
      <c r="Y120" t="s">
        <v>128</v>
      </c>
      <c r="Z120" t="s">
        <v>64</v>
      </c>
    </row>
    <row r="121" spans="1:26">
      <c r="A121" t="s">
        <v>454</v>
      </c>
      <c r="B121" t="s">
        <v>93</v>
      </c>
      <c r="C121" t="s">
        <v>173</v>
      </c>
      <c r="D121" t="s">
        <v>122</v>
      </c>
      <c r="E121" t="s">
        <v>148</v>
      </c>
      <c r="F121" t="s">
        <v>31</v>
      </c>
      <c r="G121" t="s">
        <v>58</v>
      </c>
      <c r="H121">
        <v>2.9</v>
      </c>
      <c r="I121">
        <v>26.5</v>
      </c>
      <c r="J121" t="s">
        <v>33</v>
      </c>
      <c r="K121" t="s">
        <v>455</v>
      </c>
      <c r="L121" t="s">
        <v>98</v>
      </c>
      <c r="M121" t="s">
        <v>456</v>
      </c>
      <c r="N121" t="s">
        <v>100</v>
      </c>
      <c r="O121">
        <v>67</v>
      </c>
      <c r="P121" t="s">
        <v>2265</v>
      </c>
      <c r="Q121">
        <v>0</v>
      </c>
      <c r="R121">
        <v>0</v>
      </c>
      <c r="S121" t="s">
        <v>2265</v>
      </c>
      <c r="T121" t="s">
        <v>51</v>
      </c>
      <c r="U121" t="s">
        <v>39</v>
      </c>
      <c r="V121" t="s">
        <v>39</v>
      </c>
      <c r="W121" t="s">
        <v>39</v>
      </c>
      <c r="X121">
        <v>2022</v>
      </c>
      <c r="Y121" t="s">
        <v>106</v>
      </c>
      <c r="Z121" t="s">
        <v>83</v>
      </c>
    </row>
    <row r="122" spans="1:26">
      <c r="A122" t="s">
        <v>457</v>
      </c>
      <c r="B122" t="s">
        <v>93</v>
      </c>
      <c r="C122" t="s">
        <v>67</v>
      </c>
      <c r="D122" t="s">
        <v>77</v>
      </c>
      <c r="E122" t="s">
        <v>168</v>
      </c>
      <c r="F122" t="s">
        <v>31</v>
      </c>
      <c r="G122" t="s">
        <v>58</v>
      </c>
      <c r="H122">
        <v>8.3000000000000007</v>
      </c>
      <c r="I122">
        <v>22.5</v>
      </c>
      <c r="J122" t="s">
        <v>33</v>
      </c>
      <c r="K122" t="s">
        <v>458</v>
      </c>
      <c r="L122" t="s">
        <v>48</v>
      </c>
      <c r="M122" t="s">
        <v>459</v>
      </c>
      <c r="N122" t="s">
        <v>61</v>
      </c>
      <c r="O122">
        <v>104</v>
      </c>
      <c r="P122" t="s">
        <v>2265</v>
      </c>
      <c r="Q122">
        <v>0</v>
      </c>
      <c r="R122">
        <v>0</v>
      </c>
      <c r="S122" t="s">
        <v>2265</v>
      </c>
      <c r="T122" t="s">
        <v>136</v>
      </c>
      <c r="U122" t="s">
        <v>39</v>
      </c>
      <c r="V122" t="s">
        <v>52</v>
      </c>
      <c r="W122" t="s">
        <v>52</v>
      </c>
      <c r="X122">
        <v>2022</v>
      </c>
      <c r="Y122" t="s">
        <v>128</v>
      </c>
      <c r="Z122" t="s">
        <v>64</v>
      </c>
    </row>
    <row r="123" spans="1:26">
      <c r="A123" t="s">
        <v>460</v>
      </c>
      <c r="B123" t="s">
        <v>116</v>
      </c>
      <c r="C123" t="s">
        <v>121</v>
      </c>
      <c r="D123" t="s">
        <v>85</v>
      </c>
      <c r="E123" t="s">
        <v>138</v>
      </c>
      <c r="F123" t="s">
        <v>109</v>
      </c>
      <c r="G123" t="s">
        <v>32</v>
      </c>
      <c r="H123">
        <v>8.1999999999999993</v>
      </c>
      <c r="I123">
        <v>21.1</v>
      </c>
      <c r="J123" t="s">
        <v>33</v>
      </c>
      <c r="K123" t="s">
        <v>461</v>
      </c>
      <c r="L123" t="s">
        <v>140</v>
      </c>
      <c r="M123" t="s">
        <v>127</v>
      </c>
      <c r="N123" t="s">
        <v>37</v>
      </c>
      <c r="O123">
        <v>138</v>
      </c>
      <c r="P123" t="s">
        <v>2265</v>
      </c>
      <c r="Q123">
        <v>0</v>
      </c>
      <c r="R123">
        <v>0</v>
      </c>
      <c r="S123" t="s">
        <v>2265</v>
      </c>
      <c r="T123" t="s">
        <v>38</v>
      </c>
      <c r="U123" t="s">
        <v>39</v>
      </c>
      <c r="V123" t="s">
        <v>52</v>
      </c>
      <c r="W123" t="s">
        <v>52</v>
      </c>
      <c r="X123">
        <v>2024</v>
      </c>
      <c r="Y123" t="s">
        <v>211</v>
      </c>
      <c r="Z123" t="s">
        <v>41</v>
      </c>
    </row>
    <row r="124" spans="1:26">
      <c r="A124" t="s">
        <v>462</v>
      </c>
      <c r="B124" t="s">
        <v>108</v>
      </c>
      <c r="C124" t="s">
        <v>28</v>
      </c>
      <c r="D124" t="s">
        <v>77</v>
      </c>
      <c r="E124" t="s">
        <v>216</v>
      </c>
      <c r="F124" t="s">
        <v>109</v>
      </c>
      <c r="G124" t="s">
        <v>32</v>
      </c>
      <c r="H124">
        <v>8.1999999999999993</v>
      </c>
      <c r="I124">
        <v>25.2</v>
      </c>
      <c r="J124" t="s">
        <v>96</v>
      </c>
      <c r="K124" t="s">
        <v>463</v>
      </c>
      <c r="L124" t="s">
        <v>35</v>
      </c>
      <c r="M124" t="s">
        <v>464</v>
      </c>
      <c r="N124" t="s">
        <v>50</v>
      </c>
      <c r="O124">
        <v>84</v>
      </c>
      <c r="P124" t="s">
        <v>2265</v>
      </c>
      <c r="Q124">
        <v>0</v>
      </c>
      <c r="R124">
        <v>0</v>
      </c>
      <c r="S124" t="s">
        <v>2265</v>
      </c>
      <c r="T124" t="s">
        <v>136</v>
      </c>
      <c r="U124" t="s">
        <v>39</v>
      </c>
      <c r="V124" t="s">
        <v>52</v>
      </c>
      <c r="W124" t="s">
        <v>52</v>
      </c>
      <c r="X124">
        <v>2022</v>
      </c>
      <c r="Y124" t="s">
        <v>63</v>
      </c>
      <c r="Z124" t="s">
        <v>64</v>
      </c>
    </row>
    <row r="125" spans="1:26">
      <c r="A125" t="s">
        <v>465</v>
      </c>
      <c r="B125" t="s">
        <v>116</v>
      </c>
      <c r="C125" t="s">
        <v>102</v>
      </c>
      <c r="D125" t="s">
        <v>77</v>
      </c>
      <c r="E125" t="s">
        <v>220</v>
      </c>
      <c r="F125" t="s">
        <v>31</v>
      </c>
      <c r="G125" t="s">
        <v>58</v>
      </c>
      <c r="H125">
        <v>8.6999999999999993</v>
      </c>
      <c r="I125">
        <v>14.2</v>
      </c>
      <c r="J125" t="s">
        <v>33</v>
      </c>
      <c r="K125" t="s">
        <v>466</v>
      </c>
      <c r="L125" t="s">
        <v>126</v>
      </c>
      <c r="M125" t="s">
        <v>127</v>
      </c>
      <c r="N125" t="s">
        <v>61</v>
      </c>
      <c r="O125">
        <v>173</v>
      </c>
      <c r="P125" t="s">
        <v>2265</v>
      </c>
      <c r="Q125">
        <v>0</v>
      </c>
      <c r="R125">
        <v>0</v>
      </c>
      <c r="S125" t="s">
        <v>2265</v>
      </c>
      <c r="T125" t="s">
        <v>51</v>
      </c>
      <c r="U125" t="s">
        <v>39</v>
      </c>
      <c r="V125" t="s">
        <v>52</v>
      </c>
      <c r="W125" t="s">
        <v>39</v>
      </c>
      <c r="X125">
        <v>2024</v>
      </c>
      <c r="Y125" t="s">
        <v>211</v>
      </c>
      <c r="Z125" t="s">
        <v>41</v>
      </c>
    </row>
    <row r="126" spans="1:26">
      <c r="A126" t="s">
        <v>467</v>
      </c>
      <c r="B126" t="s">
        <v>66</v>
      </c>
      <c r="C126" t="s">
        <v>44</v>
      </c>
      <c r="D126" t="s">
        <v>29</v>
      </c>
      <c r="E126" t="s">
        <v>117</v>
      </c>
      <c r="F126" t="s">
        <v>46</v>
      </c>
      <c r="G126" t="s">
        <v>32</v>
      </c>
      <c r="H126">
        <v>2.2000000000000002</v>
      </c>
      <c r="I126">
        <v>5.2</v>
      </c>
      <c r="J126" t="s">
        <v>144</v>
      </c>
      <c r="K126" t="s">
        <v>468</v>
      </c>
      <c r="L126" t="s">
        <v>126</v>
      </c>
      <c r="M126" t="s">
        <v>469</v>
      </c>
      <c r="N126" t="s">
        <v>100</v>
      </c>
      <c r="O126">
        <v>74</v>
      </c>
      <c r="P126" t="s">
        <v>2265</v>
      </c>
      <c r="Q126">
        <v>0</v>
      </c>
      <c r="R126">
        <v>0</v>
      </c>
      <c r="S126" t="s">
        <v>2265</v>
      </c>
      <c r="T126" t="s">
        <v>136</v>
      </c>
      <c r="U126" t="s">
        <v>39</v>
      </c>
      <c r="V126" t="s">
        <v>52</v>
      </c>
      <c r="W126" t="s">
        <v>52</v>
      </c>
      <c r="X126">
        <v>2022</v>
      </c>
      <c r="Y126" t="s">
        <v>312</v>
      </c>
      <c r="Z126" t="s">
        <v>83</v>
      </c>
    </row>
    <row r="127" spans="1:26">
      <c r="A127" t="s">
        <v>470</v>
      </c>
      <c r="B127" t="s">
        <v>43</v>
      </c>
      <c r="C127" t="s">
        <v>76</v>
      </c>
      <c r="D127" t="s">
        <v>122</v>
      </c>
      <c r="E127" t="s">
        <v>123</v>
      </c>
      <c r="F127" t="s">
        <v>238</v>
      </c>
      <c r="G127" t="s">
        <v>32</v>
      </c>
      <c r="H127">
        <v>6.4</v>
      </c>
      <c r="I127">
        <v>25.6</v>
      </c>
      <c r="J127" t="s">
        <v>144</v>
      </c>
      <c r="K127" t="s">
        <v>471</v>
      </c>
      <c r="L127" t="s">
        <v>98</v>
      </c>
      <c r="M127" t="s">
        <v>472</v>
      </c>
      <c r="N127" t="s">
        <v>100</v>
      </c>
      <c r="O127">
        <v>138</v>
      </c>
      <c r="P127" t="s">
        <v>2265</v>
      </c>
      <c r="Q127">
        <v>0</v>
      </c>
      <c r="R127">
        <v>0</v>
      </c>
      <c r="S127" t="s">
        <v>2265</v>
      </c>
      <c r="T127" t="s">
        <v>62</v>
      </c>
      <c r="U127" t="s">
        <v>52</v>
      </c>
      <c r="V127" t="s">
        <v>52</v>
      </c>
      <c r="W127" t="s">
        <v>52</v>
      </c>
      <c r="X127">
        <v>2023</v>
      </c>
      <c r="Y127" t="s">
        <v>106</v>
      </c>
      <c r="Z127" t="s">
        <v>83</v>
      </c>
    </row>
    <row r="128" spans="1:26">
      <c r="A128" t="s">
        <v>473</v>
      </c>
      <c r="B128" t="s">
        <v>116</v>
      </c>
      <c r="C128" t="s">
        <v>76</v>
      </c>
      <c r="D128" t="s">
        <v>77</v>
      </c>
      <c r="E128" t="s">
        <v>363</v>
      </c>
      <c r="F128" t="s">
        <v>57</v>
      </c>
      <c r="G128" t="s">
        <v>58</v>
      </c>
      <c r="H128">
        <v>11.3</v>
      </c>
      <c r="I128">
        <v>25.5</v>
      </c>
      <c r="J128" t="s">
        <v>33</v>
      </c>
      <c r="K128" t="s">
        <v>474</v>
      </c>
      <c r="L128" t="s">
        <v>48</v>
      </c>
      <c r="M128" t="s">
        <v>475</v>
      </c>
      <c r="N128" t="s">
        <v>71</v>
      </c>
      <c r="O128">
        <v>89</v>
      </c>
      <c r="P128" t="s">
        <v>230</v>
      </c>
      <c r="Q128">
        <v>5258</v>
      </c>
      <c r="R128">
        <v>0</v>
      </c>
      <c r="S128" t="s">
        <v>73</v>
      </c>
      <c r="T128" t="s">
        <v>62</v>
      </c>
      <c r="U128" t="s">
        <v>39</v>
      </c>
      <c r="V128" t="s">
        <v>52</v>
      </c>
      <c r="W128" t="s">
        <v>39</v>
      </c>
      <c r="X128">
        <v>2024</v>
      </c>
      <c r="Y128" t="s">
        <v>211</v>
      </c>
      <c r="Z128" t="s">
        <v>41</v>
      </c>
    </row>
    <row r="129" spans="1:26">
      <c r="A129" t="s">
        <v>476</v>
      </c>
      <c r="B129" t="s">
        <v>43</v>
      </c>
      <c r="C129" t="s">
        <v>173</v>
      </c>
      <c r="D129" t="s">
        <v>77</v>
      </c>
      <c r="E129" t="s">
        <v>220</v>
      </c>
      <c r="F129" t="s">
        <v>124</v>
      </c>
      <c r="G129" t="s">
        <v>32</v>
      </c>
      <c r="H129">
        <v>9.1</v>
      </c>
      <c r="I129">
        <v>27.3</v>
      </c>
      <c r="J129" t="s">
        <v>20</v>
      </c>
      <c r="K129" t="s">
        <v>477</v>
      </c>
      <c r="L129" t="s">
        <v>140</v>
      </c>
      <c r="M129" t="s">
        <v>478</v>
      </c>
      <c r="N129" t="s">
        <v>37</v>
      </c>
      <c r="O129">
        <v>113</v>
      </c>
      <c r="P129" t="s">
        <v>2265</v>
      </c>
      <c r="Q129">
        <v>0</v>
      </c>
      <c r="R129">
        <v>0</v>
      </c>
      <c r="S129" t="s">
        <v>2265</v>
      </c>
      <c r="T129" t="s">
        <v>51</v>
      </c>
      <c r="U129" t="s">
        <v>39</v>
      </c>
      <c r="V129" t="s">
        <v>52</v>
      </c>
      <c r="W129" t="s">
        <v>52</v>
      </c>
      <c r="X129">
        <v>2024</v>
      </c>
      <c r="Y129" t="s">
        <v>74</v>
      </c>
      <c r="Z129" t="s">
        <v>54</v>
      </c>
    </row>
    <row r="130" spans="1:26">
      <c r="A130" t="s">
        <v>479</v>
      </c>
      <c r="B130" t="s">
        <v>66</v>
      </c>
      <c r="C130" t="s">
        <v>164</v>
      </c>
      <c r="D130" t="s">
        <v>29</v>
      </c>
      <c r="E130" t="s">
        <v>45</v>
      </c>
      <c r="F130" t="s">
        <v>57</v>
      </c>
      <c r="G130" t="s">
        <v>32</v>
      </c>
      <c r="H130">
        <v>0.8</v>
      </c>
      <c r="I130">
        <v>33.200000000000003</v>
      </c>
      <c r="J130" t="s">
        <v>33</v>
      </c>
      <c r="K130" t="s">
        <v>264</v>
      </c>
      <c r="L130" t="s">
        <v>60</v>
      </c>
      <c r="M130" t="s">
        <v>480</v>
      </c>
      <c r="N130" t="s">
        <v>61</v>
      </c>
      <c r="O130">
        <v>77</v>
      </c>
      <c r="P130" t="s">
        <v>2265</v>
      </c>
      <c r="Q130">
        <v>0</v>
      </c>
      <c r="R130">
        <v>0</v>
      </c>
      <c r="S130" t="s">
        <v>2265</v>
      </c>
      <c r="T130" t="s">
        <v>136</v>
      </c>
      <c r="U130" t="s">
        <v>39</v>
      </c>
      <c r="V130" t="s">
        <v>52</v>
      </c>
      <c r="W130" t="s">
        <v>52</v>
      </c>
      <c r="X130">
        <v>2024</v>
      </c>
      <c r="Y130" t="s">
        <v>74</v>
      </c>
      <c r="Z130" t="s">
        <v>54</v>
      </c>
    </row>
    <row r="131" spans="1:26">
      <c r="A131" t="s">
        <v>481</v>
      </c>
      <c r="B131" t="s">
        <v>66</v>
      </c>
      <c r="C131" t="s">
        <v>164</v>
      </c>
      <c r="D131" t="s">
        <v>85</v>
      </c>
      <c r="E131" t="s">
        <v>208</v>
      </c>
      <c r="F131" t="s">
        <v>149</v>
      </c>
      <c r="G131" t="s">
        <v>58</v>
      </c>
      <c r="H131">
        <v>3</v>
      </c>
      <c r="I131">
        <v>8.3000000000000007</v>
      </c>
      <c r="J131" t="s">
        <v>20</v>
      </c>
      <c r="K131" t="s">
        <v>482</v>
      </c>
      <c r="L131" t="s">
        <v>126</v>
      </c>
      <c r="M131" t="s">
        <v>227</v>
      </c>
      <c r="N131" t="s">
        <v>71</v>
      </c>
      <c r="O131">
        <v>97</v>
      </c>
      <c r="P131" t="s">
        <v>112</v>
      </c>
      <c r="Q131">
        <v>2703</v>
      </c>
      <c r="R131">
        <v>500</v>
      </c>
      <c r="S131" t="s">
        <v>113</v>
      </c>
      <c r="T131" t="s">
        <v>136</v>
      </c>
      <c r="U131" t="s">
        <v>39</v>
      </c>
      <c r="V131" t="s">
        <v>52</v>
      </c>
      <c r="W131" t="s">
        <v>52</v>
      </c>
      <c r="X131">
        <v>2023</v>
      </c>
      <c r="Y131" t="s">
        <v>114</v>
      </c>
      <c r="Z131" t="s">
        <v>41</v>
      </c>
    </row>
    <row r="132" spans="1:26">
      <c r="A132" t="s">
        <v>483</v>
      </c>
      <c r="B132" t="s">
        <v>108</v>
      </c>
      <c r="C132" t="s">
        <v>76</v>
      </c>
      <c r="D132" t="s">
        <v>122</v>
      </c>
      <c r="E132" t="s">
        <v>123</v>
      </c>
      <c r="F132" t="s">
        <v>95</v>
      </c>
      <c r="G132" t="s">
        <v>58</v>
      </c>
      <c r="H132">
        <v>10</v>
      </c>
      <c r="I132">
        <v>2.2999999999999998</v>
      </c>
      <c r="J132" t="s">
        <v>96</v>
      </c>
      <c r="K132" t="s">
        <v>199</v>
      </c>
      <c r="L132" t="s">
        <v>140</v>
      </c>
      <c r="M132" t="s">
        <v>484</v>
      </c>
      <c r="N132" t="s">
        <v>71</v>
      </c>
      <c r="O132">
        <v>95</v>
      </c>
      <c r="P132" t="s">
        <v>105</v>
      </c>
      <c r="Q132">
        <v>2693</v>
      </c>
      <c r="R132">
        <v>2000</v>
      </c>
      <c r="S132" t="s">
        <v>113</v>
      </c>
      <c r="T132" t="s">
        <v>136</v>
      </c>
      <c r="U132" t="s">
        <v>39</v>
      </c>
      <c r="V132" t="s">
        <v>52</v>
      </c>
      <c r="W132" t="s">
        <v>52</v>
      </c>
      <c r="X132">
        <v>2024</v>
      </c>
      <c r="Y132" t="s">
        <v>40</v>
      </c>
      <c r="Z132" t="s">
        <v>41</v>
      </c>
    </row>
    <row r="133" spans="1:26">
      <c r="A133" t="s">
        <v>485</v>
      </c>
      <c r="B133" t="s">
        <v>108</v>
      </c>
      <c r="C133" t="s">
        <v>102</v>
      </c>
      <c r="D133" t="s">
        <v>77</v>
      </c>
      <c r="E133" t="s">
        <v>363</v>
      </c>
      <c r="F133" t="s">
        <v>109</v>
      </c>
      <c r="G133" t="s">
        <v>32</v>
      </c>
      <c r="H133">
        <v>8.4</v>
      </c>
      <c r="I133">
        <v>24.8</v>
      </c>
      <c r="J133" t="s">
        <v>96</v>
      </c>
      <c r="K133" t="s">
        <v>486</v>
      </c>
      <c r="L133" t="s">
        <v>60</v>
      </c>
      <c r="M133" t="s">
        <v>464</v>
      </c>
      <c r="N133" t="s">
        <v>50</v>
      </c>
      <c r="O133">
        <v>31</v>
      </c>
      <c r="P133" t="s">
        <v>2265</v>
      </c>
      <c r="Q133">
        <v>0</v>
      </c>
      <c r="R133">
        <v>0</v>
      </c>
      <c r="S133" t="s">
        <v>2265</v>
      </c>
      <c r="T133" t="s">
        <v>136</v>
      </c>
      <c r="U133" t="s">
        <v>52</v>
      </c>
      <c r="V133" t="s">
        <v>52</v>
      </c>
      <c r="W133" t="s">
        <v>52</v>
      </c>
      <c r="X133">
        <v>2023</v>
      </c>
      <c r="Y133" t="s">
        <v>106</v>
      </c>
      <c r="Z133" t="s">
        <v>83</v>
      </c>
    </row>
    <row r="134" spans="1:26">
      <c r="A134" t="s">
        <v>487</v>
      </c>
      <c r="B134" t="s">
        <v>108</v>
      </c>
      <c r="C134" t="s">
        <v>67</v>
      </c>
      <c r="D134" t="s">
        <v>29</v>
      </c>
      <c r="E134" t="s">
        <v>56</v>
      </c>
      <c r="F134" t="s">
        <v>124</v>
      </c>
      <c r="G134" t="s">
        <v>32</v>
      </c>
      <c r="H134">
        <v>1.3</v>
      </c>
      <c r="I134">
        <v>34.4</v>
      </c>
      <c r="J134" t="s">
        <v>33</v>
      </c>
      <c r="K134" t="s">
        <v>488</v>
      </c>
      <c r="L134" t="s">
        <v>126</v>
      </c>
      <c r="M134" t="s">
        <v>489</v>
      </c>
      <c r="N134" t="s">
        <v>50</v>
      </c>
      <c r="O134">
        <v>132</v>
      </c>
      <c r="P134" t="s">
        <v>2265</v>
      </c>
      <c r="Q134">
        <v>0</v>
      </c>
      <c r="R134">
        <v>1000</v>
      </c>
      <c r="S134" t="s">
        <v>2265</v>
      </c>
      <c r="T134" t="s">
        <v>38</v>
      </c>
      <c r="U134" t="s">
        <v>39</v>
      </c>
      <c r="V134" t="s">
        <v>52</v>
      </c>
      <c r="W134" t="s">
        <v>52</v>
      </c>
      <c r="X134">
        <v>2024</v>
      </c>
      <c r="Y134" t="s">
        <v>106</v>
      </c>
      <c r="Z134" t="s">
        <v>83</v>
      </c>
    </row>
    <row r="135" spans="1:26">
      <c r="A135" t="s">
        <v>490</v>
      </c>
      <c r="B135" t="s">
        <v>43</v>
      </c>
      <c r="C135" t="s">
        <v>121</v>
      </c>
      <c r="D135" t="s">
        <v>77</v>
      </c>
      <c r="E135" t="s">
        <v>168</v>
      </c>
      <c r="F135" t="s">
        <v>109</v>
      </c>
      <c r="G135" t="s">
        <v>32</v>
      </c>
      <c r="H135">
        <v>2.8</v>
      </c>
      <c r="I135">
        <v>20.2</v>
      </c>
      <c r="J135" t="s">
        <v>33</v>
      </c>
      <c r="K135" t="s">
        <v>491</v>
      </c>
      <c r="L135" t="s">
        <v>126</v>
      </c>
      <c r="M135" t="s">
        <v>492</v>
      </c>
      <c r="N135" t="s">
        <v>71</v>
      </c>
      <c r="O135">
        <v>76</v>
      </c>
      <c r="P135" t="s">
        <v>112</v>
      </c>
      <c r="Q135">
        <v>4607</v>
      </c>
      <c r="R135">
        <v>0</v>
      </c>
      <c r="S135" t="s">
        <v>90</v>
      </c>
      <c r="T135" t="s">
        <v>81</v>
      </c>
      <c r="U135" t="s">
        <v>39</v>
      </c>
      <c r="V135" t="s">
        <v>39</v>
      </c>
      <c r="W135" t="s">
        <v>52</v>
      </c>
      <c r="X135">
        <v>2024</v>
      </c>
      <c r="Y135" t="s">
        <v>53</v>
      </c>
      <c r="Z135" t="s">
        <v>54</v>
      </c>
    </row>
    <row r="136" spans="1:26">
      <c r="A136" t="s">
        <v>493</v>
      </c>
      <c r="B136" t="s">
        <v>66</v>
      </c>
      <c r="C136" t="s">
        <v>76</v>
      </c>
      <c r="D136" t="s">
        <v>29</v>
      </c>
      <c r="E136" t="s">
        <v>117</v>
      </c>
      <c r="F136" t="s">
        <v>238</v>
      </c>
      <c r="G136" t="s">
        <v>32</v>
      </c>
      <c r="H136">
        <v>10.1</v>
      </c>
      <c r="I136">
        <v>3.1</v>
      </c>
      <c r="J136" t="s">
        <v>33</v>
      </c>
      <c r="K136" t="s">
        <v>494</v>
      </c>
      <c r="L136" t="s">
        <v>98</v>
      </c>
      <c r="M136" t="s">
        <v>495</v>
      </c>
      <c r="N136" t="s">
        <v>71</v>
      </c>
      <c r="O136">
        <v>139</v>
      </c>
      <c r="P136" t="s">
        <v>89</v>
      </c>
      <c r="Q136">
        <v>3646</v>
      </c>
      <c r="R136">
        <v>0</v>
      </c>
      <c r="S136" t="s">
        <v>73</v>
      </c>
      <c r="T136" t="s">
        <v>81</v>
      </c>
      <c r="U136" t="s">
        <v>39</v>
      </c>
      <c r="V136" t="s">
        <v>39</v>
      </c>
      <c r="W136" t="s">
        <v>52</v>
      </c>
      <c r="X136">
        <v>2023</v>
      </c>
      <c r="Y136" t="s">
        <v>106</v>
      </c>
      <c r="Z136" t="s">
        <v>83</v>
      </c>
    </row>
    <row r="137" spans="1:26">
      <c r="A137" t="s">
        <v>496</v>
      </c>
      <c r="B137" t="s">
        <v>116</v>
      </c>
      <c r="C137" t="s">
        <v>76</v>
      </c>
      <c r="D137" t="s">
        <v>122</v>
      </c>
      <c r="E137" t="s">
        <v>123</v>
      </c>
      <c r="F137" t="s">
        <v>109</v>
      </c>
      <c r="G137" t="s">
        <v>32</v>
      </c>
      <c r="H137">
        <v>0.2</v>
      </c>
      <c r="I137">
        <v>19.5</v>
      </c>
      <c r="J137" t="s">
        <v>20</v>
      </c>
      <c r="K137" t="s">
        <v>497</v>
      </c>
      <c r="L137" t="s">
        <v>60</v>
      </c>
      <c r="M137" t="s">
        <v>127</v>
      </c>
      <c r="N137" t="s">
        <v>50</v>
      </c>
      <c r="O137">
        <v>169</v>
      </c>
      <c r="P137" t="s">
        <v>2265</v>
      </c>
      <c r="Q137">
        <v>0</v>
      </c>
      <c r="R137">
        <v>0</v>
      </c>
      <c r="S137" t="s">
        <v>2265</v>
      </c>
      <c r="T137" t="s">
        <v>38</v>
      </c>
      <c r="U137" t="s">
        <v>52</v>
      </c>
      <c r="V137" t="s">
        <v>39</v>
      </c>
      <c r="W137" t="s">
        <v>39</v>
      </c>
      <c r="X137">
        <v>2024</v>
      </c>
      <c r="Y137" t="s">
        <v>114</v>
      </c>
      <c r="Z137" t="s">
        <v>41</v>
      </c>
    </row>
    <row r="138" spans="1:26">
      <c r="A138" t="s">
        <v>498</v>
      </c>
      <c r="B138" t="s">
        <v>108</v>
      </c>
      <c r="C138" t="s">
        <v>28</v>
      </c>
      <c r="D138" t="s">
        <v>29</v>
      </c>
      <c r="E138" t="s">
        <v>244</v>
      </c>
      <c r="F138" t="s">
        <v>46</v>
      </c>
      <c r="G138" t="s">
        <v>32</v>
      </c>
      <c r="H138">
        <v>9.8000000000000007</v>
      </c>
      <c r="I138">
        <v>9.6999999999999993</v>
      </c>
      <c r="J138" t="s">
        <v>144</v>
      </c>
      <c r="K138" t="s">
        <v>499</v>
      </c>
      <c r="L138" t="s">
        <v>140</v>
      </c>
      <c r="M138" t="s">
        <v>500</v>
      </c>
      <c r="N138" t="s">
        <v>37</v>
      </c>
      <c r="O138">
        <v>62</v>
      </c>
      <c r="P138" t="s">
        <v>2265</v>
      </c>
      <c r="Q138">
        <v>0</v>
      </c>
      <c r="R138">
        <v>500</v>
      </c>
      <c r="S138" t="s">
        <v>2265</v>
      </c>
      <c r="T138" t="s">
        <v>81</v>
      </c>
      <c r="U138" t="s">
        <v>39</v>
      </c>
      <c r="V138" t="s">
        <v>52</v>
      </c>
      <c r="W138" t="s">
        <v>39</v>
      </c>
      <c r="X138">
        <v>2022</v>
      </c>
      <c r="Y138" t="s">
        <v>128</v>
      </c>
      <c r="Z138" t="s">
        <v>64</v>
      </c>
    </row>
    <row r="139" spans="1:26">
      <c r="A139" t="s">
        <v>501</v>
      </c>
      <c r="B139" t="s">
        <v>116</v>
      </c>
      <c r="C139" t="s">
        <v>164</v>
      </c>
      <c r="D139" t="s">
        <v>77</v>
      </c>
      <c r="E139" t="s">
        <v>143</v>
      </c>
      <c r="F139" t="s">
        <v>95</v>
      </c>
      <c r="G139" t="s">
        <v>32</v>
      </c>
      <c r="H139">
        <v>6.7</v>
      </c>
      <c r="I139">
        <v>2.4</v>
      </c>
      <c r="J139" t="s">
        <v>96</v>
      </c>
      <c r="K139" t="s">
        <v>286</v>
      </c>
      <c r="L139" t="s">
        <v>126</v>
      </c>
      <c r="M139" t="s">
        <v>502</v>
      </c>
      <c r="N139" t="s">
        <v>100</v>
      </c>
      <c r="O139">
        <v>98</v>
      </c>
      <c r="P139" t="s">
        <v>2265</v>
      </c>
      <c r="Q139">
        <v>0</v>
      </c>
      <c r="R139">
        <v>0</v>
      </c>
      <c r="S139" t="s">
        <v>2265</v>
      </c>
      <c r="T139" t="s">
        <v>51</v>
      </c>
      <c r="U139" t="s">
        <v>39</v>
      </c>
      <c r="V139" t="s">
        <v>52</v>
      </c>
      <c r="W139" t="s">
        <v>39</v>
      </c>
      <c r="X139">
        <v>2024</v>
      </c>
      <c r="Y139" t="s">
        <v>74</v>
      </c>
      <c r="Z139" t="s">
        <v>54</v>
      </c>
    </row>
    <row r="140" spans="1:26">
      <c r="A140" t="s">
        <v>503</v>
      </c>
      <c r="B140" t="s">
        <v>27</v>
      </c>
      <c r="C140" t="s">
        <v>76</v>
      </c>
      <c r="D140" t="s">
        <v>77</v>
      </c>
      <c r="E140" t="s">
        <v>363</v>
      </c>
      <c r="F140" t="s">
        <v>68</v>
      </c>
      <c r="G140" t="s">
        <v>32</v>
      </c>
      <c r="H140">
        <v>11.1</v>
      </c>
      <c r="I140">
        <v>31.5</v>
      </c>
      <c r="J140" t="s">
        <v>33</v>
      </c>
      <c r="K140" t="s">
        <v>504</v>
      </c>
      <c r="L140" t="s">
        <v>48</v>
      </c>
      <c r="M140" t="s">
        <v>505</v>
      </c>
      <c r="N140" t="s">
        <v>71</v>
      </c>
      <c r="O140">
        <v>70</v>
      </c>
      <c r="P140" t="s">
        <v>105</v>
      </c>
      <c r="Q140">
        <v>3609</v>
      </c>
      <c r="R140">
        <v>2000</v>
      </c>
      <c r="S140" t="s">
        <v>113</v>
      </c>
      <c r="T140" t="s">
        <v>136</v>
      </c>
      <c r="U140" t="s">
        <v>39</v>
      </c>
      <c r="V140" t="s">
        <v>52</v>
      </c>
      <c r="W140" t="s">
        <v>52</v>
      </c>
      <c r="X140">
        <v>2024</v>
      </c>
      <c r="Y140" t="s">
        <v>211</v>
      </c>
      <c r="Z140" t="s">
        <v>41</v>
      </c>
    </row>
    <row r="141" spans="1:26">
      <c r="A141" t="s">
        <v>506</v>
      </c>
      <c r="B141" t="s">
        <v>66</v>
      </c>
      <c r="C141" t="s">
        <v>28</v>
      </c>
      <c r="D141" t="s">
        <v>77</v>
      </c>
      <c r="E141" t="s">
        <v>363</v>
      </c>
      <c r="F141" t="s">
        <v>109</v>
      </c>
      <c r="G141" t="s">
        <v>32</v>
      </c>
      <c r="H141">
        <v>4.7</v>
      </c>
      <c r="I141">
        <v>26</v>
      </c>
      <c r="J141" t="s">
        <v>33</v>
      </c>
      <c r="K141" t="s">
        <v>507</v>
      </c>
      <c r="L141" t="s">
        <v>35</v>
      </c>
      <c r="M141" t="s">
        <v>432</v>
      </c>
      <c r="N141" t="s">
        <v>171</v>
      </c>
      <c r="O141">
        <v>174</v>
      </c>
      <c r="P141" t="s">
        <v>2265</v>
      </c>
      <c r="Q141">
        <v>0</v>
      </c>
      <c r="R141">
        <v>0</v>
      </c>
      <c r="S141" t="s">
        <v>2265</v>
      </c>
      <c r="T141" t="s">
        <v>136</v>
      </c>
      <c r="U141" t="s">
        <v>39</v>
      </c>
      <c r="V141" t="s">
        <v>39</v>
      </c>
      <c r="W141" t="s">
        <v>52</v>
      </c>
      <c r="X141">
        <v>2024</v>
      </c>
      <c r="Y141" t="s">
        <v>312</v>
      </c>
      <c r="Z141" t="s">
        <v>83</v>
      </c>
    </row>
    <row r="142" spans="1:26">
      <c r="A142" t="s">
        <v>508</v>
      </c>
      <c r="B142" t="s">
        <v>43</v>
      </c>
      <c r="C142" t="s">
        <v>67</v>
      </c>
      <c r="D142" t="s">
        <v>77</v>
      </c>
      <c r="E142" t="s">
        <v>94</v>
      </c>
      <c r="F142" t="s">
        <v>109</v>
      </c>
      <c r="G142" t="s">
        <v>32</v>
      </c>
      <c r="H142">
        <v>9.4</v>
      </c>
      <c r="I142">
        <v>16</v>
      </c>
      <c r="J142" t="s">
        <v>144</v>
      </c>
      <c r="K142" t="s">
        <v>509</v>
      </c>
      <c r="L142" t="s">
        <v>48</v>
      </c>
      <c r="M142" t="s">
        <v>510</v>
      </c>
      <c r="N142" t="s">
        <v>61</v>
      </c>
      <c r="O142">
        <v>8</v>
      </c>
      <c r="P142" t="s">
        <v>2265</v>
      </c>
      <c r="Q142">
        <v>0</v>
      </c>
      <c r="R142">
        <v>0</v>
      </c>
      <c r="S142" t="s">
        <v>2265</v>
      </c>
      <c r="T142" t="s">
        <v>62</v>
      </c>
      <c r="U142" t="s">
        <v>52</v>
      </c>
      <c r="V142" t="s">
        <v>39</v>
      </c>
      <c r="W142" t="s">
        <v>52</v>
      </c>
      <c r="X142">
        <v>2023</v>
      </c>
      <c r="Y142" t="s">
        <v>91</v>
      </c>
      <c r="Z142" t="s">
        <v>64</v>
      </c>
    </row>
    <row r="143" spans="1:26">
      <c r="A143" t="s">
        <v>511</v>
      </c>
      <c r="B143" t="s">
        <v>108</v>
      </c>
      <c r="C143" t="s">
        <v>67</v>
      </c>
      <c r="D143" t="s">
        <v>77</v>
      </c>
      <c r="E143" t="s">
        <v>143</v>
      </c>
      <c r="F143" t="s">
        <v>46</v>
      </c>
      <c r="G143" t="s">
        <v>58</v>
      </c>
      <c r="H143">
        <v>9.4</v>
      </c>
      <c r="I143">
        <v>5.8</v>
      </c>
      <c r="J143" t="s">
        <v>33</v>
      </c>
      <c r="K143" t="s">
        <v>512</v>
      </c>
      <c r="L143" t="s">
        <v>35</v>
      </c>
      <c r="M143" t="s">
        <v>513</v>
      </c>
      <c r="N143" t="s">
        <v>71</v>
      </c>
      <c r="O143">
        <v>69</v>
      </c>
      <c r="P143" t="s">
        <v>72</v>
      </c>
      <c r="Q143">
        <v>6112</v>
      </c>
      <c r="R143">
        <v>2000</v>
      </c>
      <c r="S143" t="s">
        <v>90</v>
      </c>
      <c r="T143" t="s">
        <v>51</v>
      </c>
      <c r="U143" t="s">
        <v>39</v>
      </c>
      <c r="V143" t="s">
        <v>39</v>
      </c>
      <c r="W143" t="s">
        <v>52</v>
      </c>
      <c r="X143">
        <v>2022</v>
      </c>
      <c r="Y143" t="s">
        <v>153</v>
      </c>
      <c r="Z143" t="s">
        <v>54</v>
      </c>
    </row>
    <row r="144" spans="1:26">
      <c r="A144" t="s">
        <v>514</v>
      </c>
      <c r="B144" t="s">
        <v>27</v>
      </c>
      <c r="C144" t="s">
        <v>28</v>
      </c>
      <c r="D144" t="s">
        <v>29</v>
      </c>
      <c r="E144" t="s">
        <v>45</v>
      </c>
      <c r="F144" t="s">
        <v>31</v>
      </c>
      <c r="G144" t="s">
        <v>32</v>
      </c>
      <c r="H144">
        <v>1.3</v>
      </c>
      <c r="I144">
        <v>3.6</v>
      </c>
      <c r="J144" t="s">
        <v>96</v>
      </c>
      <c r="K144" t="s">
        <v>515</v>
      </c>
      <c r="L144" t="s">
        <v>126</v>
      </c>
      <c r="M144" t="s">
        <v>516</v>
      </c>
      <c r="N144" t="s">
        <v>100</v>
      </c>
      <c r="O144">
        <v>115</v>
      </c>
      <c r="P144" t="s">
        <v>2265</v>
      </c>
      <c r="Q144">
        <v>0</v>
      </c>
      <c r="R144">
        <v>0</v>
      </c>
      <c r="S144" t="s">
        <v>2265</v>
      </c>
      <c r="T144" t="s">
        <v>38</v>
      </c>
      <c r="U144" t="s">
        <v>39</v>
      </c>
      <c r="V144" t="s">
        <v>52</v>
      </c>
      <c r="W144" t="s">
        <v>52</v>
      </c>
      <c r="X144">
        <v>2024</v>
      </c>
      <c r="Y144" t="s">
        <v>153</v>
      </c>
      <c r="Z144" t="s">
        <v>54</v>
      </c>
    </row>
    <row r="145" spans="1:26">
      <c r="A145" t="s">
        <v>517</v>
      </c>
      <c r="B145" t="s">
        <v>93</v>
      </c>
      <c r="C145" t="s">
        <v>121</v>
      </c>
      <c r="D145" t="s">
        <v>29</v>
      </c>
      <c r="E145" t="s">
        <v>94</v>
      </c>
      <c r="F145" t="s">
        <v>68</v>
      </c>
      <c r="G145" t="s">
        <v>58</v>
      </c>
      <c r="H145">
        <v>2.1</v>
      </c>
      <c r="I145">
        <v>9.8000000000000007</v>
      </c>
      <c r="J145" t="s">
        <v>33</v>
      </c>
      <c r="K145" t="s">
        <v>518</v>
      </c>
      <c r="L145" t="s">
        <v>126</v>
      </c>
      <c r="M145" t="s">
        <v>519</v>
      </c>
      <c r="N145" t="s">
        <v>71</v>
      </c>
      <c r="O145">
        <v>147</v>
      </c>
      <c r="P145" t="s">
        <v>72</v>
      </c>
      <c r="Q145">
        <v>4307</v>
      </c>
      <c r="R145">
        <v>500</v>
      </c>
      <c r="S145" t="s">
        <v>90</v>
      </c>
      <c r="T145" t="s">
        <v>51</v>
      </c>
      <c r="U145" t="s">
        <v>52</v>
      </c>
      <c r="V145" t="s">
        <v>39</v>
      </c>
      <c r="W145" t="s">
        <v>52</v>
      </c>
      <c r="X145">
        <v>2023</v>
      </c>
      <c r="Y145" t="s">
        <v>53</v>
      </c>
      <c r="Z145" t="s">
        <v>54</v>
      </c>
    </row>
    <row r="146" spans="1:26">
      <c r="A146" t="s">
        <v>520</v>
      </c>
      <c r="B146" t="s">
        <v>108</v>
      </c>
      <c r="C146" t="s">
        <v>67</v>
      </c>
      <c r="D146" t="s">
        <v>29</v>
      </c>
      <c r="E146" t="s">
        <v>45</v>
      </c>
      <c r="F146" t="s">
        <v>31</v>
      </c>
      <c r="G146" t="s">
        <v>32</v>
      </c>
      <c r="H146">
        <v>1.4</v>
      </c>
      <c r="I146">
        <v>11</v>
      </c>
      <c r="J146" t="s">
        <v>96</v>
      </c>
      <c r="K146" t="s">
        <v>521</v>
      </c>
      <c r="L146" t="s">
        <v>60</v>
      </c>
      <c r="M146" t="s">
        <v>127</v>
      </c>
      <c r="N146" t="s">
        <v>37</v>
      </c>
      <c r="O146">
        <v>153</v>
      </c>
      <c r="P146" t="s">
        <v>2265</v>
      </c>
      <c r="Q146">
        <v>0</v>
      </c>
      <c r="R146">
        <v>1000</v>
      </c>
      <c r="S146" t="s">
        <v>2265</v>
      </c>
      <c r="T146" t="s">
        <v>136</v>
      </c>
      <c r="U146" t="s">
        <v>39</v>
      </c>
      <c r="V146" t="s">
        <v>52</v>
      </c>
      <c r="W146" t="s">
        <v>52</v>
      </c>
      <c r="X146">
        <v>2024</v>
      </c>
      <c r="Y146" t="s">
        <v>91</v>
      </c>
      <c r="Z146" t="s">
        <v>64</v>
      </c>
    </row>
    <row r="147" spans="1:26">
      <c r="A147" t="s">
        <v>522</v>
      </c>
      <c r="B147" t="s">
        <v>93</v>
      </c>
      <c r="C147" t="s">
        <v>173</v>
      </c>
      <c r="D147" t="s">
        <v>29</v>
      </c>
      <c r="E147" t="s">
        <v>56</v>
      </c>
      <c r="F147" t="s">
        <v>149</v>
      </c>
      <c r="G147" t="s">
        <v>58</v>
      </c>
      <c r="H147">
        <v>2.2000000000000002</v>
      </c>
      <c r="I147">
        <v>14.2</v>
      </c>
      <c r="J147" t="s">
        <v>33</v>
      </c>
      <c r="K147" t="s">
        <v>523</v>
      </c>
      <c r="L147" t="s">
        <v>126</v>
      </c>
      <c r="M147" t="s">
        <v>524</v>
      </c>
      <c r="N147" t="s">
        <v>171</v>
      </c>
      <c r="O147">
        <v>123</v>
      </c>
      <c r="P147" t="s">
        <v>2265</v>
      </c>
      <c r="Q147">
        <v>0</v>
      </c>
      <c r="R147">
        <v>0</v>
      </c>
      <c r="S147" t="s">
        <v>2265</v>
      </c>
      <c r="T147" t="s">
        <v>51</v>
      </c>
      <c r="U147" t="s">
        <v>52</v>
      </c>
      <c r="V147" t="s">
        <v>52</v>
      </c>
      <c r="W147" t="s">
        <v>39</v>
      </c>
      <c r="X147">
        <v>2023</v>
      </c>
      <c r="Y147" t="s">
        <v>82</v>
      </c>
      <c r="Z147" t="s">
        <v>83</v>
      </c>
    </row>
    <row r="148" spans="1:26">
      <c r="A148" t="s">
        <v>525</v>
      </c>
      <c r="B148" t="s">
        <v>66</v>
      </c>
      <c r="C148" t="s">
        <v>28</v>
      </c>
      <c r="D148" t="s">
        <v>77</v>
      </c>
      <c r="E148" t="s">
        <v>363</v>
      </c>
      <c r="F148" t="s">
        <v>57</v>
      </c>
      <c r="G148" t="s">
        <v>32</v>
      </c>
      <c r="H148">
        <v>2.6</v>
      </c>
      <c r="I148">
        <v>28</v>
      </c>
      <c r="J148" t="s">
        <v>33</v>
      </c>
      <c r="K148" t="s">
        <v>526</v>
      </c>
      <c r="L148" t="s">
        <v>98</v>
      </c>
      <c r="M148" t="s">
        <v>150</v>
      </c>
      <c r="N148" t="s">
        <v>71</v>
      </c>
      <c r="O148">
        <v>175</v>
      </c>
      <c r="P148" t="s">
        <v>72</v>
      </c>
      <c r="Q148">
        <v>6781</v>
      </c>
      <c r="R148">
        <v>2000</v>
      </c>
      <c r="S148" t="s">
        <v>113</v>
      </c>
      <c r="T148" t="s">
        <v>51</v>
      </c>
      <c r="U148" t="s">
        <v>39</v>
      </c>
      <c r="V148" t="s">
        <v>52</v>
      </c>
      <c r="W148" t="s">
        <v>52</v>
      </c>
      <c r="X148">
        <v>2023</v>
      </c>
      <c r="Y148" t="s">
        <v>106</v>
      </c>
      <c r="Z148" t="s">
        <v>83</v>
      </c>
    </row>
    <row r="149" spans="1:26">
      <c r="A149" t="s">
        <v>527</v>
      </c>
      <c r="B149" t="s">
        <v>66</v>
      </c>
      <c r="C149" t="s">
        <v>44</v>
      </c>
      <c r="D149" t="s">
        <v>85</v>
      </c>
      <c r="E149" t="s">
        <v>174</v>
      </c>
      <c r="F149" t="s">
        <v>109</v>
      </c>
      <c r="G149" t="s">
        <v>58</v>
      </c>
      <c r="H149">
        <v>6.5</v>
      </c>
      <c r="I149">
        <v>32.4</v>
      </c>
      <c r="J149" t="s">
        <v>96</v>
      </c>
      <c r="K149" t="s">
        <v>528</v>
      </c>
      <c r="L149" t="s">
        <v>60</v>
      </c>
      <c r="M149" t="s">
        <v>529</v>
      </c>
      <c r="N149" t="s">
        <v>50</v>
      </c>
      <c r="O149">
        <v>154</v>
      </c>
      <c r="P149" t="s">
        <v>2265</v>
      </c>
      <c r="Q149">
        <v>0</v>
      </c>
      <c r="R149">
        <v>1000</v>
      </c>
      <c r="S149" t="s">
        <v>2265</v>
      </c>
      <c r="T149" t="s">
        <v>62</v>
      </c>
      <c r="U149" t="s">
        <v>39</v>
      </c>
      <c r="V149" t="s">
        <v>39</v>
      </c>
      <c r="W149" t="s">
        <v>52</v>
      </c>
      <c r="X149">
        <v>2024</v>
      </c>
      <c r="Y149" t="s">
        <v>40</v>
      </c>
      <c r="Z149" t="s">
        <v>41</v>
      </c>
    </row>
    <row r="150" spans="1:26">
      <c r="A150" t="s">
        <v>530</v>
      </c>
      <c r="B150" t="s">
        <v>108</v>
      </c>
      <c r="C150" t="s">
        <v>28</v>
      </c>
      <c r="D150" t="s">
        <v>122</v>
      </c>
      <c r="E150" t="s">
        <v>148</v>
      </c>
      <c r="F150" t="s">
        <v>238</v>
      </c>
      <c r="G150" t="s">
        <v>58</v>
      </c>
      <c r="H150">
        <v>11.6</v>
      </c>
      <c r="I150">
        <v>11.9</v>
      </c>
      <c r="J150" t="s">
        <v>33</v>
      </c>
      <c r="K150" t="s">
        <v>531</v>
      </c>
      <c r="L150" t="s">
        <v>48</v>
      </c>
      <c r="M150" t="s">
        <v>532</v>
      </c>
      <c r="N150" t="s">
        <v>100</v>
      </c>
      <c r="O150">
        <v>145</v>
      </c>
      <c r="P150" t="s">
        <v>2265</v>
      </c>
      <c r="Q150">
        <v>0</v>
      </c>
      <c r="R150">
        <v>0</v>
      </c>
      <c r="S150" t="s">
        <v>2265</v>
      </c>
      <c r="T150" t="s">
        <v>62</v>
      </c>
      <c r="U150" t="s">
        <v>39</v>
      </c>
      <c r="V150" t="s">
        <v>52</v>
      </c>
      <c r="W150" t="s">
        <v>52</v>
      </c>
      <c r="X150">
        <v>2022</v>
      </c>
      <c r="Y150" t="s">
        <v>74</v>
      </c>
      <c r="Z150" t="s">
        <v>54</v>
      </c>
    </row>
    <row r="151" spans="1:26">
      <c r="A151" t="s">
        <v>533</v>
      </c>
      <c r="B151" t="s">
        <v>93</v>
      </c>
      <c r="C151" t="s">
        <v>44</v>
      </c>
      <c r="D151" t="s">
        <v>85</v>
      </c>
      <c r="E151" t="s">
        <v>86</v>
      </c>
      <c r="F151" t="s">
        <v>95</v>
      </c>
      <c r="G151" t="s">
        <v>58</v>
      </c>
      <c r="H151">
        <v>12</v>
      </c>
      <c r="I151">
        <v>17.2</v>
      </c>
      <c r="J151" t="s">
        <v>96</v>
      </c>
      <c r="K151" t="s">
        <v>534</v>
      </c>
      <c r="L151" t="s">
        <v>98</v>
      </c>
      <c r="M151" t="s">
        <v>535</v>
      </c>
      <c r="N151" t="s">
        <v>171</v>
      </c>
      <c r="O151">
        <v>39</v>
      </c>
      <c r="P151" t="s">
        <v>2265</v>
      </c>
      <c r="Q151">
        <v>0</v>
      </c>
      <c r="R151">
        <v>0</v>
      </c>
      <c r="S151" t="s">
        <v>2265</v>
      </c>
      <c r="T151" t="s">
        <v>81</v>
      </c>
      <c r="U151" t="s">
        <v>39</v>
      </c>
      <c r="V151" t="s">
        <v>52</v>
      </c>
      <c r="W151" t="s">
        <v>52</v>
      </c>
      <c r="X151">
        <v>2024</v>
      </c>
      <c r="Y151" t="s">
        <v>91</v>
      </c>
      <c r="Z151" t="s">
        <v>64</v>
      </c>
    </row>
    <row r="152" spans="1:26">
      <c r="A152" t="s">
        <v>536</v>
      </c>
      <c r="B152" t="s">
        <v>66</v>
      </c>
      <c r="C152" t="s">
        <v>121</v>
      </c>
      <c r="D152" t="s">
        <v>77</v>
      </c>
      <c r="E152" t="s">
        <v>363</v>
      </c>
      <c r="F152" t="s">
        <v>46</v>
      </c>
      <c r="G152" t="s">
        <v>58</v>
      </c>
      <c r="H152">
        <v>5.8</v>
      </c>
      <c r="I152">
        <v>15.6</v>
      </c>
      <c r="J152" t="s">
        <v>33</v>
      </c>
      <c r="K152" t="s">
        <v>537</v>
      </c>
      <c r="L152" t="s">
        <v>35</v>
      </c>
      <c r="M152" t="s">
        <v>127</v>
      </c>
      <c r="N152" t="s">
        <v>171</v>
      </c>
      <c r="O152">
        <v>124</v>
      </c>
      <c r="P152" t="s">
        <v>2265</v>
      </c>
      <c r="Q152">
        <v>0</v>
      </c>
      <c r="R152">
        <v>0</v>
      </c>
      <c r="S152" t="s">
        <v>2265</v>
      </c>
      <c r="T152" t="s">
        <v>38</v>
      </c>
      <c r="U152" t="s">
        <v>39</v>
      </c>
      <c r="V152" t="s">
        <v>52</v>
      </c>
      <c r="W152" t="s">
        <v>39</v>
      </c>
      <c r="X152">
        <v>2024</v>
      </c>
      <c r="Y152" t="s">
        <v>63</v>
      </c>
      <c r="Z152" t="s">
        <v>64</v>
      </c>
    </row>
    <row r="153" spans="1:26">
      <c r="A153" t="s">
        <v>538</v>
      </c>
      <c r="B153" t="s">
        <v>108</v>
      </c>
      <c r="C153" t="s">
        <v>164</v>
      </c>
      <c r="D153" t="s">
        <v>77</v>
      </c>
      <c r="E153" t="s">
        <v>363</v>
      </c>
      <c r="F153" t="s">
        <v>68</v>
      </c>
      <c r="G153" t="s">
        <v>32</v>
      </c>
      <c r="H153">
        <v>5.2</v>
      </c>
      <c r="I153">
        <v>16.399999999999999</v>
      </c>
      <c r="J153" t="s">
        <v>144</v>
      </c>
      <c r="K153" t="s">
        <v>539</v>
      </c>
      <c r="L153" t="s">
        <v>35</v>
      </c>
      <c r="M153" t="s">
        <v>127</v>
      </c>
      <c r="N153" t="s">
        <v>71</v>
      </c>
      <c r="O153">
        <v>45</v>
      </c>
      <c r="P153" t="s">
        <v>105</v>
      </c>
      <c r="Q153">
        <v>5711</v>
      </c>
      <c r="R153">
        <v>1000</v>
      </c>
      <c r="S153" t="s">
        <v>113</v>
      </c>
      <c r="T153" t="s">
        <v>136</v>
      </c>
      <c r="U153" t="s">
        <v>52</v>
      </c>
      <c r="V153" t="s">
        <v>52</v>
      </c>
      <c r="W153" t="s">
        <v>39</v>
      </c>
      <c r="X153">
        <v>2024</v>
      </c>
      <c r="Y153" t="s">
        <v>128</v>
      </c>
      <c r="Z153" t="s">
        <v>64</v>
      </c>
    </row>
    <row r="154" spans="1:26">
      <c r="A154" t="s">
        <v>540</v>
      </c>
      <c r="B154" t="s">
        <v>116</v>
      </c>
      <c r="C154" t="s">
        <v>173</v>
      </c>
      <c r="D154" t="s">
        <v>77</v>
      </c>
      <c r="E154" t="s">
        <v>363</v>
      </c>
      <c r="F154" t="s">
        <v>149</v>
      </c>
      <c r="G154" t="s">
        <v>32</v>
      </c>
      <c r="H154">
        <v>4.5</v>
      </c>
      <c r="I154">
        <v>7.3</v>
      </c>
      <c r="J154" t="s">
        <v>20</v>
      </c>
      <c r="K154" t="s">
        <v>403</v>
      </c>
      <c r="L154" t="s">
        <v>126</v>
      </c>
      <c r="M154" t="s">
        <v>541</v>
      </c>
      <c r="N154" t="s">
        <v>71</v>
      </c>
      <c r="O154">
        <v>17</v>
      </c>
      <c r="P154" t="s">
        <v>105</v>
      </c>
      <c r="Q154">
        <v>7398</v>
      </c>
      <c r="R154">
        <v>0</v>
      </c>
      <c r="S154" t="s">
        <v>90</v>
      </c>
      <c r="T154" t="s">
        <v>62</v>
      </c>
      <c r="U154" t="s">
        <v>39</v>
      </c>
      <c r="V154" t="s">
        <v>52</v>
      </c>
      <c r="W154" t="s">
        <v>52</v>
      </c>
      <c r="X154">
        <v>2023</v>
      </c>
      <c r="Y154" t="s">
        <v>40</v>
      </c>
      <c r="Z154" t="s">
        <v>41</v>
      </c>
    </row>
    <row r="155" spans="1:26">
      <c r="A155" t="s">
        <v>542</v>
      </c>
      <c r="B155" t="s">
        <v>43</v>
      </c>
      <c r="C155" t="s">
        <v>67</v>
      </c>
      <c r="D155" t="s">
        <v>77</v>
      </c>
      <c r="E155" t="s">
        <v>216</v>
      </c>
      <c r="F155" t="s">
        <v>68</v>
      </c>
      <c r="G155" t="s">
        <v>32</v>
      </c>
      <c r="H155">
        <v>1.5</v>
      </c>
      <c r="I155">
        <v>11</v>
      </c>
      <c r="J155" t="s">
        <v>144</v>
      </c>
      <c r="K155" t="s">
        <v>543</v>
      </c>
      <c r="L155" t="s">
        <v>140</v>
      </c>
      <c r="M155" t="s">
        <v>544</v>
      </c>
      <c r="N155" t="s">
        <v>71</v>
      </c>
      <c r="O155">
        <v>158</v>
      </c>
      <c r="P155" t="s">
        <v>89</v>
      </c>
      <c r="Q155">
        <v>4097</v>
      </c>
      <c r="R155">
        <v>0</v>
      </c>
      <c r="S155" t="s">
        <v>90</v>
      </c>
      <c r="T155" t="s">
        <v>136</v>
      </c>
      <c r="U155" t="s">
        <v>39</v>
      </c>
      <c r="V155" t="s">
        <v>52</v>
      </c>
      <c r="W155" t="s">
        <v>52</v>
      </c>
      <c r="X155">
        <v>2023</v>
      </c>
      <c r="Y155" t="s">
        <v>114</v>
      </c>
      <c r="Z155" t="s">
        <v>41</v>
      </c>
    </row>
    <row r="156" spans="1:26">
      <c r="A156" t="s">
        <v>545</v>
      </c>
      <c r="B156" t="s">
        <v>93</v>
      </c>
      <c r="C156" t="s">
        <v>76</v>
      </c>
      <c r="D156" t="s">
        <v>29</v>
      </c>
      <c r="E156" t="s">
        <v>45</v>
      </c>
      <c r="F156" t="s">
        <v>149</v>
      </c>
      <c r="G156" t="s">
        <v>58</v>
      </c>
      <c r="H156">
        <v>10.1</v>
      </c>
      <c r="I156">
        <v>21.9</v>
      </c>
      <c r="J156" t="s">
        <v>33</v>
      </c>
      <c r="K156" t="s">
        <v>546</v>
      </c>
      <c r="L156" t="s">
        <v>126</v>
      </c>
      <c r="M156" t="s">
        <v>547</v>
      </c>
      <c r="N156" t="s">
        <v>71</v>
      </c>
      <c r="O156">
        <v>74</v>
      </c>
      <c r="P156" t="s">
        <v>105</v>
      </c>
      <c r="Q156">
        <v>2266</v>
      </c>
      <c r="R156">
        <v>0</v>
      </c>
      <c r="S156" t="s">
        <v>90</v>
      </c>
      <c r="T156" t="s">
        <v>136</v>
      </c>
      <c r="U156" t="s">
        <v>52</v>
      </c>
      <c r="V156" t="s">
        <v>52</v>
      </c>
      <c r="W156" t="s">
        <v>52</v>
      </c>
      <c r="X156">
        <v>2024</v>
      </c>
      <c r="Y156" t="s">
        <v>114</v>
      </c>
      <c r="Z156" t="s">
        <v>41</v>
      </c>
    </row>
    <row r="157" spans="1:26">
      <c r="A157" t="s">
        <v>548</v>
      </c>
      <c r="B157" t="s">
        <v>93</v>
      </c>
      <c r="C157" t="s">
        <v>164</v>
      </c>
      <c r="D157" t="s">
        <v>77</v>
      </c>
      <c r="E157" t="s">
        <v>216</v>
      </c>
      <c r="F157" t="s">
        <v>149</v>
      </c>
      <c r="G157" t="s">
        <v>32</v>
      </c>
      <c r="H157">
        <v>0.5</v>
      </c>
      <c r="I157">
        <v>8.3000000000000007</v>
      </c>
      <c r="J157" t="s">
        <v>20</v>
      </c>
      <c r="K157" t="s">
        <v>549</v>
      </c>
      <c r="L157" t="s">
        <v>140</v>
      </c>
      <c r="M157" t="s">
        <v>184</v>
      </c>
      <c r="N157" t="s">
        <v>71</v>
      </c>
      <c r="O157">
        <v>145</v>
      </c>
      <c r="P157" t="s">
        <v>230</v>
      </c>
      <c r="Q157">
        <v>4806</v>
      </c>
      <c r="R157">
        <v>0</v>
      </c>
      <c r="S157" t="s">
        <v>73</v>
      </c>
      <c r="T157" t="s">
        <v>51</v>
      </c>
      <c r="U157" t="s">
        <v>39</v>
      </c>
      <c r="V157" t="s">
        <v>52</v>
      </c>
      <c r="W157" t="s">
        <v>39</v>
      </c>
      <c r="X157">
        <v>2022</v>
      </c>
      <c r="Y157" t="s">
        <v>153</v>
      </c>
      <c r="Z157" t="s">
        <v>54</v>
      </c>
    </row>
    <row r="158" spans="1:26">
      <c r="A158" t="s">
        <v>550</v>
      </c>
      <c r="B158" t="s">
        <v>93</v>
      </c>
      <c r="C158" t="s">
        <v>67</v>
      </c>
      <c r="D158" t="s">
        <v>77</v>
      </c>
      <c r="E158" t="s">
        <v>363</v>
      </c>
      <c r="F158" t="s">
        <v>95</v>
      </c>
      <c r="G158" t="s">
        <v>32</v>
      </c>
      <c r="H158">
        <v>10.5</v>
      </c>
      <c r="I158">
        <v>1.6</v>
      </c>
      <c r="J158" t="s">
        <v>96</v>
      </c>
      <c r="K158" t="s">
        <v>196</v>
      </c>
      <c r="L158" t="s">
        <v>35</v>
      </c>
      <c r="M158" t="s">
        <v>551</v>
      </c>
      <c r="N158" t="s">
        <v>37</v>
      </c>
      <c r="O158">
        <v>27</v>
      </c>
      <c r="P158" t="s">
        <v>2265</v>
      </c>
      <c r="Q158">
        <v>0</v>
      </c>
      <c r="R158">
        <v>500</v>
      </c>
      <c r="S158" t="s">
        <v>2265</v>
      </c>
      <c r="T158" t="s">
        <v>81</v>
      </c>
      <c r="U158" t="s">
        <v>39</v>
      </c>
      <c r="V158" t="s">
        <v>52</v>
      </c>
      <c r="W158" t="s">
        <v>52</v>
      </c>
      <c r="X158">
        <v>2024</v>
      </c>
      <c r="Y158" t="s">
        <v>53</v>
      </c>
      <c r="Z158" t="s">
        <v>54</v>
      </c>
    </row>
    <row r="159" spans="1:26">
      <c r="A159" t="s">
        <v>552</v>
      </c>
      <c r="B159" t="s">
        <v>93</v>
      </c>
      <c r="C159" t="s">
        <v>173</v>
      </c>
      <c r="D159" t="s">
        <v>77</v>
      </c>
      <c r="E159" t="s">
        <v>94</v>
      </c>
      <c r="F159" t="s">
        <v>31</v>
      </c>
      <c r="G159" t="s">
        <v>58</v>
      </c>
      <c r="H159">
        <v>2.6</v>
      </c>
      <c r="I159">
        <v>2.5</v>
      </c>
      <c r="J159" t="s">
        <v>33</v>
      </c>
      <c r="K159" t="s">
        <v>553</v>
      </c>
      <c r="L159" t="s">
        <v>98</v>
      </c>
      <c r="M159" t="s">
        <v>518</v>
      </c>
      <c r="N159" t="s">
        <v>71</v>
      </c>
      <c r="O159">
        <v>158</v>
      </c>
      <c r="P159" t="s">
        <v>72</v>
      </c>
      <c r="Q159">
        <v>4692</v>
      </c>
      <c r="R159">
        <v>5000</v>
      </c>
      <c r="S159" t="s">
        <v>152</v>
      </c>
      <c r="T159" t="s">
        <v>62</v>
      </c>
      <c r="U159" t="s">
        <v>39</v>
      </c>
      <c r="V159" t="s">
        <v>52</v>
      </c>
      <c r="W159" t="s">
        <v>39</v>
      </c>
      <c r="X159">
        <v>2022</v>
      </c>
      <c r="Y159" t="s">
        <v>63</v>
      </c>
      <c r="Z159" t="s">
        <v>64</v>
      </c>
    </row>
    <row r="160" spans="1:26">
      <c r="A160" t="s">
        <v>554</v>
      </c>
      <c r="B160" t="s">
        <v>43</v>
      </c>
      <c r="C160" t="s">
        <v>44</v>
      </c>
      <c r="D160" t="s">
        <v>77</v>
      </c>
      <c r="E160" t="s">
        <v>94</v>
      </c>
      <c r="F160" t="s">
        <v>149</v>
      </c>
      <c r="G160" t="s">
        <v>58</v>
      </c>
      <c r="H160">
        <v>1.8</v>
      </c>
      <c r="I160">
        <v>11.6</v>
      </c>
      <c r="J160" t="s">
        <v>20</v>
      </c>
      <c r="K160" t="s">
        <v>555</v>
      </c>
      <c r="L160" t="s">
        <v>98</v>
      </c>
      <c r="M160" t="s">
        <v>556</v>
      </c>
      <c r="N160" t="s">
        <v>71</v>
      </c>
      <c r="O160">
        <v>71</v>
      </c>
      <c r="P160" t="s">
        <v>72</v>
      </c>
      <c r="Q160">
        <v>4087</v>
      </c>
      <c r="R160">
        <v>0</v>
      </c>
      <c r="S160" t="s">
        <v>90</v>
      </c>
      <c r="T160" t="s">
        <v>136</v>
      </c>
      <c r="U160" t="s">
        <v>52</v>
      </c>
      <c r="V160" t="s">
        <v>39</v>
      </c>
      <c r="W160" t="s">
        <v>39</v>
      </c>
      <c r="X160">
        <v>2022</v>
      </c>
      <c r="Y160" t="s">
        <v>53</v>
      </c>
      <c r="Z160" t="s">
        <v>54</v>
      </c>
    </row>
    <row r="161" spans="1:26">
      <c r="A161" t="s">
        <v>557</v>
      </c>
      <c r="B161" t="s">
        <v>27</v>
      </c>
      <c r="C161" t="s">
        <v>76</v>
      </c>
      <c r="D161" t="s">
        <v>85</v>
      </c>
      <c r="E161" t="s">
        <v>138</v>
      </c>
      <c r="F161" t="s">
        <v>95</v>
      </c>
      <c r="G161" t="s">
        <v>32</v>
      </c>
      <c r="H161">
        <v>5.5</v>
      </c>
      <c r="I161">
        <v>17.3</v>
      </c>
      <c r="J161" t="s">
        <v>156</v>
      </c>
      <c r="K161" t="s">
        <v>213</v>
      </c>
      <c r="L161" t="s">
        <v>98</v>
      </c>
      <c r="M161" t="s">
        <v>558</v>
      </c>
      <c r="N161" t="s">
        <v>171</v>
      </c>
      <c r="O161">
        <v>178</v>
      </c>
      <c r="P161" t="s">
        <v>2265</v>
      </c>
      <c r="Q161">
        <v>0</v>
      </c>
      <c r="R161">
        <v>0</v>
      </c>
      <c r="S161" t="s">
        <v>2265</v>
      </c>
      <c r="T161" t="s">
        <v>51</v>
      </c>
      <c r="U161" t="s">
        <v>39</v>
      </c>
      <c r="V161" t="s">
        <v>52</v>
      </c>
      <c r="W161" t="s">
        <v>52</v>
      </c>
      <c r="X161">
        <v>2023</v>
      </c>
      <c r="Y161" t="s">
        <v>40</v>
      </c>
      <c r="Z161" t="s">
        <v>41</v>
      </c>
    </row>
    <row r="162" spans="1:26">
      <c r="A162" t="s">
        <v>559</v>
      </c>
      <c r="B162" t="s">
        <v>27</v>
      </c>
      <c r="C162" t="s">
        <v>164</v>
      </c>
      <c r="D162" t="s">
        <v>77</v>
      </c>
      <c r="E162" t="s">
        <v>94</v>
      </c>
      <c r="F162" t="s">
        <v>31</v>
      </c>
      <c r="G162" t="s">
        <v>32</v>
      </c>
      <c r="H162">
        <v>3.9</v>
      </c>
      <c r="I162">
        <v>10.3</v>
      </c>
      <c r="J162" t="s">
        <v>96</v>
      </c>
      <c r="K162" t="s">
        <v>560</v>
      </c>
      <c r="L162" t="s">
        <v>60</v>
      </c>
      <c r="M162" t="s">
        <v>561</v>
      </c>
      <c r="N162" t="s">
        <v>61</v>
      </c>
      <c r="O162">
        <v>127</v>
      </c>
      <c r="P162" t="s">
        <v>2265</v>
      </c>
      <c r="Q162">
        <v>0</v>
      </c>
      <c r="R162">
        <v>0</v>
      </c>
      <c r="S162" t="s">
        <v>2265</v>
      </c>
      <c r="T162" t="s">
        <v>38</v>
      </c>
      <c r="U162" t="s">
        <v>39</v>
      </c>
      <c r="V162" t="s">
        <v>39</v>
      </c>
      <c r="W162" t="s">
        <v>52</v>
      </c>
      <c r="X162">
        <v>2023</v>
      </c>
      <c r="Y162" t="s">
        <v>312</v>
      </c>
      <c r="Z162" t="s">
        <v>83</v>
      </c>
    </row>
    <row r="163" spans="1:26">
      <c r="A163" t="s">
        <v>562</v>
      </c>
      <c r="B163" t="s">
        <v>66</v>
      </c>
      <c r="C163" t="s">
        <v>164</v>
      </c>
      <c r="D163" t="s">
        <v>77</v>
      </c>
      <c r="E163" t="s">
        <v>143</v>
      </c>
      <c r="F163" t="s">
        <v>160</v>
      </c>
      <c r="G163" t="s">
        <v>58</v>
      </c>
      <c r="H163">
        <v>11.9</v>
      </c>
      <c r="I163">
        <v>15.3</v>
      </c>
      <c r="J163" t="s">
        <v>96</v>
      </c>
      <c r="K163" t="s">
        <v>157</v>
      </c>
      <c r="L163" t="s">
        <v>60</v>
      </c>
      <c r="M163" t="s">
        <v>158</v>
      </c>
      <c r="N163" t="s">
        <v>50</v>
      </c>
      <c r="O163">
        <v>113</v>
      </c>
      <c r="P163" t="s">
        <v>2265</v>
      </c>
      <c r="Q163">
        <v>0</v>
      </c>
      <c r="R163">
        <v>0</v>
      </c>
      <c r="S163" t="s">
        <v>2265</v>
      </c>
      <c r="T163" t="s">
        <v>38</v>
      </c>
      <c r="U163" t="s">
        <v>39</v>
      </c>
      <c r="V163" t="s">
        <v>52</v>
      </c>
      <c r="W163" t="s">
        <v>39</v>
      </c>
      <c r="X163">
        <v>2022</v>
      </c>
      <c r="Y163" t="s">
        <v>128</v>
      </c>
      <c r="Z163" t="s">
        <v>64</v>
      </c>
    </row>
    <row r="164" spans="1:26">
      <c r="A164" t="s">
        <v>563</v>
      </c>
      <c r="B164" t="s">
        <v>108</v>
      </c>
      <c r="C164" t="s">
        <v>28</v>
      </c>
      <c r="D164" t="s">
        <v>122</v>
      </c>
      <c r="E164" t="s">
        <v>148</v>
      </c>
      <c r="F164" t="s">
        <v>95</v>
      </c>
      <c r="G164" t="s">
        <v>58</v>
      </c>
      <c r="H164">
        <v>8.6999999999999993</v>
      </c>
      <c r="I164">
        <v>26.6</v>
      </c>
      <c r="J164" t="s">
        <v>33</v>
      </c>
      <c r="K164" t="s">
        <v>564</v>
      </c>
      <c r="L164" t="s">
        <v>126</v>
      </c>
      <c r="M164" t="s">
        <v>565</v>
      </c>
      <c r="N164" t="s">
        <v>61</v>
      </c>
      <c r="O164">
        <v>102</v>
      </c>
      <c r="P164" t="s">
        <v>2265</v>
      </c>
      <c r="Q164">
        <v>0</v>
      </c>
      <c r="R164">
        <v>0</v>
      </c>
      <c r="S164" t="s">
        <v>2265</v>
      </c>
      <c r="T164" t="s">
        <v>38</v>
      </c>
      <c r="U164" t="s">
        <v>39</v>
      </c>
      <c r="V164" t="s">
        <v>52</v>
      </c>
      <c r="W164" t="s">
        <v>52</v>
      </c>
      <c r="X164">
        <v>2022</v>
      </c>
      <c r="Y164" t="s">
        <v>74</v>
      </c>
      <c r="Z164" t="s">
        <v>54</v>
      </c>
    </row>
    <row r="165" spans="1:26">
      <c r="A165" t="s">
        <v>566</v>
      </c>
      <c r="B165" t="s">
        <v>108</v>
      </c>
      <c r="C165" t="s">
        <v>164</v>
      </c>
      <c r="D165" t="s">
        <v>29</v>
      </c>
      <c r="E165" t="s">
        <v>94</v>
      </c>
      <c r="F165" t="s">
        <v>149</v>
      </c>
      <c r="G165" t="s">
        <v>58</v>
      </c>
      <c r="H165">
        <v>9.8000000000000007</v>
      </c>
      <c r="I165">
        <v>34.6</v>
      </c>
      <c r="J165" t="s">
        <v>33</v>
      </c>
      <c r="K165" t="s">
        <v>370</v>
      </c>
      <c r="L165" t="s">
        <v>126</v>
      </c>
      <c r="M165" t="s">
        <v>567</v>
      </c>
      <c r="N165" t="s">
        <v>71</v>
      </c>
      <c r="O165">
        <v>3</v>
      </c>
      <c r="P165" t="s">
        <v>230</v>
      </c>
      <c r="Q165">
        <v>4349</v>
      </c>
      <c r="R165">
        <v>0</v>
      </c>
      <c r="S165" t="s">
        <v>73</v>
      </c>
      <c r="T165" t="s">
        <v>38</v>
      </c>
      <c r="U165" t="s">
        <v>39</v>
      </c>
      <c r="V165" t="s">
        <v>52</v>
      </c>
      <c r="W165" t="s">
        <v>52</v>
      </c>
      <c r="X165">
        <v>2024</v>
      </c>
      <c r="Y165" t="s">
        <v>153</v>
      </c>
      <c r="Z165" t="s">
        <v>54</v>
      </c>
    </row>
    <row r="166" spans="1:26">
      <c r="A166" t="s">
        <v>568</v>
      </c>
      <c r="B166" t="s">
        <v>43</v>
      </c>
      <c r="C166" t="s">
        <v>121</v>
      </c>
      <c r="D166" t="s">
        <v>77</v>
      </c>
      <c r="E166" t="s">
        <v>94</v>
      </c>
      <c r="F166" t="s">
        <v>46</v>
      </c>
      <c r="G166" t="s">
        <v>58</v>
      </c>
      <c r="H166">
        <v>6.8</v>
      </c>
      <c r="I166">
        <v>21.6</v>
      </c>
      <c r="J166" t="s">
        <v>156</v>
      </c>
      <c r="K166" t="s">
        <v>569</v>
      </c>
      <c r="L166" t="s">
        <v>98</v>
      </c>
      <c r="M166" t="s">
        <v>570</v>
      </c>
      <c r="N166" t="s">
        <v>71</v>
      </c>
      <c r="O166">
        <v>165</v>
      </c>
      <c r="P166" t="s">
        <v>89</v>
      </c>
      <c r="Q166">
        <v>3560</v>
      </c>
      <c r="R166">
        <v>1000</v>
      </c>
      <c r="S166" t="s">
        <v>90</v>
      </c>
      <c r="T166" t="s">
        <v>62</v>
      </c>
      <c r="U166" t="s">
        <v>52</v>
      </c>
      <c r="V166" t="s">
        <v>39</v>
      </c>
      <c r="W166" t="s">
        <v>39</v>
      </c>
      <c r="X166">
        <v>2022</v>
      </c>
      <c r="Y166" t="s">
        <v>114</v>
      </c>
      <c r="Z166" t="s">
        <v>41</v>
      </c>
    </row>
    <row r="167" spans="1:26">
      <c r="A167" t="s">
        <v>571</v>
      </c>
      <c r="B167" t="s">
        <v>43</v>
      </c>
      <c r="C167" t="s">
        <v>102</v>
      </c>
      <c r="D167" t="s">
        <v>29</v>
      </c>
      <c r="E167" t="s">
        <v>45</v>
      </c>
      <c r="F167" t="s">
        <v>160</v>
      </c>
      <c r="G167" t="s">
        <v>58</v>
      </c>
      <c r="H167">
        <v>4.3</v>
      </c>
      <c r="I167">
        <v>15.3</v>
      </c>
      <c r="J167" t="s">
        <v>33</v>
      </c>
      <c r="K167" t="s">
        <v>572</v>
      </c>
      <c r="L167" t="s">
        <v>140</v>
      </c>
      <c r="M167" t="s">
        <v>573</v>
      </c>
      <c r="N167" t="s">
        <v>100</v>
      </c>
      <c r="O167">
        <v>151</v>
      </c>
      <c r="P167" t="s">
        <v>2265</v>
      </c>
      <c r="Q167">
        <v>0</v>
      </c>
      <c r="R167">
        <v>0</v>
      </c>
      <c r="S167" t="s">
        <v>2265</v>
      </c>
      <c r="T167" t="s">
        <v>62</v>
      </c>
      <c r="U167" t="s">
        <v>39</v>
      </c>
      <c r="V167" t="s">
        <v>52</v>
      </c>
      <c r="W167" t="s">
        <v>39</v>
      </c>
      <c r="X167">
        <v>2022</v>
      </c>
      <c r="Y167" t="s">
        <v>114</v>
      </c>
      <c r="Z167" t="s">
        <v>41</v>
      </c>
    </row>
    <row r="168" spans="1:26">
      <c r="A168" t="s">
        <v>574</v>
      </c>
      <c r="B168" t="s">
        <v>43</v>
      </c>
      <c r="C168" t="s">
        <v>121</v>
      </c>
      <c r="D168" t="s">
        <v>29</v>
      </c>
      <c r="E168" t="s">
        <v>45</v>
      </c>
      <c r="F168" t="s">
        <v>57</v>
      </c>
      <c r="G168" t="s">
        <v>58</v>
      </c>
      <c r="H168">
        <v>3.6</v>
      </c>
      <c r="I168">
        <v>2.4</v>
      </c>
      <c r="J168" t="s">
        <v>33</v>
      </c>
      <c r="K168" t="s">
        <v>575</v>
      </c>
      <c r="L168" t="s">
        <v>126</v>
      </c>
      <c r="M168" t="s">
        <v>127</v>
      </c>
      <c r="N168" t="s">
        <v>37</v>
      </c>
      <c r="O168">
        <v>156</v>
      </c>
      <c r="P168" t="s">
        <v>2265</v>
      </c>
      <c r="Q168">
        <v>0</v>
      </c>
      <c r="R168">
        <v>1000</v>
      </c>
      <c r="S168" t="s">
        <v>2265</v>
      </c>
      <c r="T168" t="s">
        <v>62</v>
      </c>
      <c r="U168" t="s">
        <v>39</v>
      </c>
      <c r="V168" t="s">
        <v>52</v>
      </c>
      <c r="W168" t="s">
        <v>39</v>
      </c>
      <c r="X168">
        <v>2024</v>
      </c>
      <c r="Y168" t="s">
        <v>128</v>
      </c>
      <c r="Z168" t="s">
        <v>64</v>
      </c>
    </row>
    <row r="169" spans="1:26">
      <c r="A169" t="s">
        <v>576</v>
      </c>
      <c r="B169" t="s">
        <v>108</v>
      </c>
      <c r="C169" t="s">
        <v>28</v>
      </c>
      <c r="D169" t="s">
        <v>122</v>
      </c>
      <c r="E169" t="s">
        <v>155</v>
      </c>
      <c r="F169" t="s">
        <v>238</v>
      </c>
      <c r="G169" t="s">
        <v>58</v>
      </c>
      <c r="H169">
        <v>4.4000000000000004</v>
      </c>
      <c r="I169">
        <v>24.1</v>
      </c>
      <c r="J169" t="s">
        <v>33</v>
      </c>
      <c r="K169" t="s">
        <v>577</v>
      </c>
      <c r="L169" t="s">
        <v>60</v>
      </c>
      <c r="M169" t="s">
        <v>578</v>
      </c>
      <c r="N169" t="s">
        <v>100</v>
      </c>
      <c r="O169">
        <v>100</v>
      </c>
      <c r="P169" t="s">
        <v>2265</v>
      </c>
      <c r="Q169">
        <v>0</v>
      </c>
      <c r="R169">
        <v>0</v>
      </c>
      <c r="S169" t="s">
        <v>2265</v>
      </c>
      <c r="T169" t="s">
        <v>81</v>
      </c>
      <c r="U169" t="s">
        <v>39</v>
      </c>
      <c r="V169" t="s">
        <v>39</v>
      </c>
      <c r="W169" t="s">
        <v>52</v>
      </c>
      <c r="X169">
        <v>2022</v>
      </c>
      <c r="Y169" t="s">
        <v>114</v>
      </c>
      <c r="Z169" t="s">
        <v>41</v>
      </c>
    </row>
    <row r="170" spans="1:26">
      <c r="A170" t="s">
        <v>579</v>
      </c>
      <c r="B170" t="s">
        <v>27</v>
      </c>
      <c r="C170" t="s">
        <v>164</v>
      </c>
      <c r="D170" t="s">
        <v>29</v>
      </c>
      <c r="E170" t="s">
        <v>56</v>
      </c>
      <c r="F170" t="s">
        <v>160</v>
      </c>
      <c r="G170" t="s">
        <v>58</v>
      </c>
      <c r="H170">
        <v>8.5</v>
      </c>
      <c r="I170">
        <v>3.3</v>
      </c>
      <c r="J170" t="s">
        <v>33</v>
      </c>
      <c r="K170" t="s">
        <v>580</v>
      </c>
      <c r="L170" t="s">
        <v>35</v>
      </c>
      <c r="M170" t="s">
        <v>127</v>
      </c>
      <c r="N170" t="s">
        <v>100</v>
      </c>
      <c r="O170">
        <v>107</v>
      </c>
      <c r="P170" t="s">
        <v>2265</v>
      </c>
      <c r="Q170">
        <v>0</v>
      </c>
      <c r="R170">
        <v>0</v>
      </c>
      <c r="S170" t="s">
        <v>2265</v>
      </c>
      <c r="T170" t="s">
        <v>62</v>
      </c>
      <c r="U170" t="s">
        <v>39</v>
      </c>
      <c r="V170" t="s">
        <v>39</v>
      </c>
      <c r="W170" t="s">
        <v>52</v>
      </c>
      <c r="X170">
        <v>2024</v>
      </c>
      <c r="Y170" t="s">
        <v>91</v>
      </c>
      <c r="Z170" t="s">
        <v>64</v>
      </c>
    </row>
    <row r="171" spans="1:26">
      <c r="A171" t="s">
        <v>581</v>
      </c>
      <c r="B171" t="s">
        <v>116</v>
      </c>
      <c r="C171" t="s">
        <v>102</v>
      </c>
      <c r="D171" t="s">
        <v>85</v>
      </c>
      <c r="E171" t="s">
        <v>138</v>
      </c>
      <c r="F171" t="s">
        <v>95</v>
      </c>
      <c r="G171" t="s">
        <v>32</v>
      </c>
      <c r="H171">
        <v>8.8000000000000007</v>
      </c>
      <c r="I171">
        <v>29.7</v>
      </c>
      <c r="J171" t="s">
        <v>33</v>
      </c>
      <c r="K171" t="s">
        <v>582</v>
      </c>
      <c r="L171" t="s">
        <v>126</v>
      </c>
      <c r="M171" t="s">
        <v>583</v>
      </c>
      <c r="N171" t="s">
        <v>100</v>
      </c>
      <c r="O171">
        <v>80</v>
      </c>
      <c r="P171" t="s">
        <v>2265</v>
      </c>
      <c r="Q171">
        <v>0</v>
      </c>
      <c r="R171">
        <v>0</v>
      </c>
      <c r="S171" t="s">
        <v>2265</v>
      </c>
      <c r="T171" t="s">
        <v>62</v>
      </c>
      <c r="U171" t="s">
        <v>39</v>
      </c>
      <c r="V171" t="s">
        <v>52</v>
      </c>
      <c r="W171" t="s">
        <v>52</v>
      </c>
      <c r="X171">
        <v>2022</v>
      </c>
      <c r="Y171" t="s">
        <v>53</v>
      </c>
      <c r="Z171" t="s">
        <v>54</v>
      </c>
    </row>
    <row r="172" spans="1:26">
      <c r="A172" t="s">
        <v>584</v>
      </c>
      <c r="B172" t="s">
        <v>66</v>
      </c>
      <c r="C172" t="s">
        <v>173</v>
      </c>
      <c r="D172" t="s">
        <v>29</v>
      </c>
      <c r="E172" t="s">
        <v>30</v>
      </c>
      <c r="F172" t="s">
        <v>68</v>
      </c>
      <c r="G172" t="s">
        <v>32</v>
      </c>
      <c r="H172">
        <v>11.4</v>
      </c>
      <c r="I172">
        <v>18.5</v>
      </c>
      <c r="J172" t="s">
        <v>33</v>
      </c>
      <c r="K172" t="s">
        <v>338</v>
      </c>
      <c r="L172" t="s">
        <v>98</v>
      </c>
      <c r="M172" t="s">
        <v>585</v>
      </c>
      <c r="N172" t="s">
        <v>71</v>
      </c>
      <c r="O172">
        <v>180</v>
      </c>
      <c r="P172" t="s">
        <v>72</v>
      </c>
      <c r="Q172">
        <v>2171</v>
      </c>
      <c r="R172">
        <v>500</v>
      </c>
      <c r="S172" t="s">
        <v>73</v>
      </c>
      <c r="T172" t="s">
        <v>38</v>
      </c>
      <c r="U172" t="s">
        <v>39</v>
      </c>
      <c r="V172" t="s">
        <v>52</v>
      </c>
      <c r="W172" t="s">
        <v>52</v>
      </c>
      <c r="X172">
        <v>2022</v>
      </c>
      <c r="Y172" t="s">
        <v>91</v>
      </c>
      <c r="Z172" t="s">
        <v>64</v>
      </c>
    </row>
    <row r="173" spans="1:26">
      <c r="A173" t="s">
        <v>586</v>
      </c>
      <c r="B173" t="s">
        <v>27</v>
      </c>
      <c r="C173" t="s">
        <v>164</v>
      </c>
      <c r="D173" t="s">
        <v>29</v>
      </c>
      <c r="E173" t="s">
        <v>30</v>
      </c>
      <c r="F173" t="s">
        <v>46</v>
      </c>
      <c r="G173" t="s">
        <v>58</v>
      </c>
      <c r="H173">
        <v>6.2</v>
      </c>
      <c r="I173">
        <v>2.4</v>
      </c>
      <c r="J173" t="s">
        <v>33</v>
      </c>
      <c r="K173" t="s">
        <v>587</v>
      </c>
      <c r="L173" t="s">
        <v>35</v>
      </c>
      <c r="M173" t="s">
        <v>588</v>
      </c>
      <c r="N173" t="s">
        <v>71</v>
      </c>
      <c r="O173">
        <v>148</v>
      </c>
      <c r="P173" t="s">
        <v>105</v>
      </c>
      <c r="Q173">
        <v>3532</v>
      </c>
      <c r="R173">
        <v>500</v>
      </c>
      <c r="S173" t="s">
        <v>73</v>
      </c>
      <c r="T173" t="s">
        <v>81</v>
      </c>
      <c r="U173" t="s">
        <v>39</v>
      </c>
      <c r="V173" t="s">
        <v>39</v>
      </c>
      <c r="W173" t="s">
        <v>39</v>
      </c>
      <c r="X173">
        <v>2023</v>
      </c>
      <c r="Y173" t="s">
        <v>153</v>
      </c>
      <c r="Z173" t="s">
        <v>54</v>
      </c>
    </row>
    <row r="174" spans="1:26">
      <c r="A174" t="s">
        <v>589</v>
      </c>
      <c r="B174" t="s">
        <v>116</v>
      </c>
      <c r="C174" t="s">
        <v>44</v>
      </c>
      <c r="D174" t="s">
        <v>77</v>
      </c>
      <c r="E174" t="s">
        <v>220</v>
      </c>
      <c r="F174" t="s">
        <v>124</v>
      </c>
      <c r="G174" t="s">
        <v>32</v>
      </c>
      <c r="H174">
        <v>11.1</v>
      </c>
      <c r="I174">
        <v>6.7</v>
      </c>
      <c r="J174" t="s">
        <v>33</v>
      </c>
      <c r="K174" t="s">
        <v>590</v>
      </c>
      <c r="L174" t="s">
        <v>126</v>
      </c>
      <c r="M174" t="s">
        <v>575</v>
      </c>
      <c r="N174" t="s">
        <v>100</v>
      </c>
      <c r="O174">
        <v>94</v>
      </c>
      <c r="P174" t="s">
        <v>2265</v>
      </c>
      <c r="Q174">
        <v>0</v>
      </c>
      <c r="R174">
        <v>0</v>
      </c>
      <c r="S174" t="s">
        <v>2265</v>
      </c>
      <c r="T174" t="s">
        <v>51</v>
      </c>
      <c r="U174" t="s">
        <v>39</v>
      </c>
      <c r="V174" t="s">
        <v>39</v>
      </c>
      <c r="W174" t="s">
        <v>52</v>
      </c>
      <c r="X174">
        <v>2024</v>
      </c>
      <c r="Y174" t="s">
        <v>211</v>
      </c>
      <c r="Z174" t="s">
        <v>41</v>
      </c>
    </row>
    <row r="175" spans="1:26">
      <c r="A175" t="s">
        <v>591</v>
      </c>
      <c r="B175" t="s">
        <v>108</v>
      </c>
      <c r="C175" t="s">
        <v>173</v>
      </c>
      <c r="D175" t="s">
        <v>29</v>
      </c>
      <c r="E175" t="s">
        <v>244</v>
      </c>
      <c r="F175" t="s">
        <v>160</v>
      </c>
      <c r="G175" t="s">
        <v>32</v>
      </c>
      <c r="H175">
        <v>11.5</v>
      </c>
      <c r="I175">
        <v>2.9</v>
      </c>
      <c r="J175" t="s">
        <v>33</v>
      </c>
      <c r="K175" t="s">
        <v>592</v>
      </c>
      <c r="L175" t="s">
        <v>140</v>
      </c>
      <c r="M175" t="s">
        <v>593</v>
      </c>
      <c r="N175" t="s">
        <v>37</v>
      </c>
      <c r="O175">
        <v>46</v>
      </c>
      <c r="P175" t="s">
        <v>2265</v>
      </c>
      <c r="Q175">
        <v>0</v>
      </c>
      <c r="R175">
        <v>0</v>
      </c>
      <c r="S175" t="s">
        <v>2265</v>
      </c>
      <c r="T175" t="s">
        <v>136</v>
      </c>
      <c r="U175" t="s">
        <v>39</v>
      </c>
      <c r="V175" t="s">
        <v>52</v>
      </c>
      <c r="W175" t="s">
        <v>52</v>
      </c>
      <c r="X175">
        <v>2022</v>
      </c>
      <c r="Y175" t="s">
        <v>74</v>
      </c>
      <c r="Z175" t="s">
        <v>54</v>
      </c>
    </row>
    <row r="176" spans="1:26">
      <c r="A176" t="s">
        <v>594</v>
      </c>
      <c r="B176" t="s">
        <v>43</v>
      </c>
      <c r="C176" t="s">
        <v>102</v>
      </c>
      <c r="D176" t="s">
        <v>29</v>
      </c>
      <c r="E176" t="s">
        <v>244</v>
      </c>
      <c r="F176" t="s">
        <v>68</v>
      </c>
      <c r="G176" t="s">
        <v>58</v>
      </c>
      <c r="H176">
        <v>4.5</v>
      </c>
      <c r="I176">
        <v>34</v>
      </c>
      <c r="J176" t="s">
        <v>144</v>
      </c>
      <c r="K176" t="s">
        <v>595</v>
      </c>
      <c r="L176" t="s">
        <v>35</v>
      </c>
      <c r="M176" t="s">
        <v>369</v>
      </c>
      <c r="N176" t="s">
        <v>37</v>
      </c>
      <c r="O176">
        <v>160</v>
      </c>
      <c r="P176" t="s">
        <v>2265</v>
      </c>
      <c r="Q176">
        <v>0</v>
      </c>
      <c r="R176">
        <v>1000</v>
      </c>
      <c r="S176" t="s">
        <v>2265</v>
      </c>
      <c r="T176" t="s">
        <v>81</v>
      </c>
      <c r="U176" t="s">
        <v>39</v>
      </c>
      <c r="V176" t="s">
        <v>52</v>
      </c>
      <c r="W176" t="s">
        <v>39</v>
      </c>
      <c r="X176">
        <v>2023</v>
      </c>
      <c r="Y176" t="s">
        <v>114</v>
      </c>
      <c r="Z176" t="s">
        <v>41</v>
      </c>
    </row>
    <row r="177" spans="1:26">
      <c r="A177" t="s">
        <v>596</v>
      </c>
      <c r="B177" t="s">
        <v>116</v>
      </c>
      <c r="C177" t="s">
        <v>164</v>
      </c>
      <c r="D177" t="s">
        <v>122</v>
      </c>
      <c r="E177" t="s">
        <v>123</v>
      </c>
      <c r="F177" t="s">
        <v>160</v>
      </c>
      <c r="G177" t="s">
        <v>58</v>
      </c>
      <c r="H177">
        <v>11.8</v>
      </c>
      <c r="I177">
        <v>15</v>
      </c>
      <c r="J177" t="s">
        <v>33</v>
      </c>
      <c r="K177" t="s">
        <v>597</v>
      </c>
      <c r="L177" t="s">
        <v>48</v>
      </c>
      <c r="M177" t="s">
        <v>598</v>
      </c>
      <c r="N177" t="s">
        <v>71</v>
      </c>
      <c r="O177">
        <v>79</v>
      </c>
      <c r="P177" t="s">
        <v>105</v>
      </c>
      <c r="Q177">
        <v>1340</v>
      </c>
      <c r="R177">
        <v>1000</v>
      </c>
      <c r="S177" t="s">
        <v>90</v>
      </c>
      <c r="T177" t="s">
        <v>51</v>
      </c>
      <c r="U177" t="s">
        <v>52</v>
      </c>
      <c r="V177" t="s">
        <v>52</v>
      </c>
      <c r="W177" t="s">
        <v>39</v>
      </c>
      <c r="X177">
        <v>2024</v>
      </c>
      <c r="Y177" t="s">
        <v>82</v>
      </c>
      <c r="Z177" t="s">
        <v>83</v>
      </c>
    </row>
    <row r="178" spans="1:26">
      <c r="A178" t="s">
        <v>599</v>
      </c>
      <c r="B178" t="s">
        <v>108</v>
      </c>
      <c r="C178" t="s">
        <v>164</v>
      </c>
      <c r="D178" t="s">
        <v>77</v>
      </c>
      <c r="E178" t="s">
        <v>143</v>
      </c>
      <c r="F178" t="s">
        <v>124</v>
      </c>
      <c r="G178" t="s">
        <v>32</v>
      </c>
      <c r="H178">
        <v>1</v>
      </c>
      <c r="I178">
        <v>20.100000000000001</v>
      </c>
      <c r="J178" t="s">
        <v>33</v>
      </c>
      <c r="K178" t="s">
        <v>426</v>
      </c>
      <c r="L178" t="s">
        <v>60</v>
      </c>
      <c r="M178" t="s">
        <v>600</v>
      </c>
      <c r="N178" t="s">
        <v>100</v>
      </c>
      <c r="O178">
        <v>35</v>
      </c>
      <c r="P178" t="s">
        <v>2265</v>
      </c>
      <c r="Q178">
        <v>0</v>
      </c>
      <c r="R178">
        <v>0</v>
      </c>
      <c r="S178" t="s">
        <v>2265</v>
      </c>
      <c r="T178" t="s">
        <v>136</v>
      </c>
      <c r="U178" t="s">
        <v>39</v>
      </c>
      <c r="V178" t="s">
        <v>52</v>
      </c>
      <c r="W178" t="s">
        <v>52</v>
      </c>
      <c r="X178">
        <v>2024</v>
      </c>
      <c r="Y178" t="s">
        <v>128</v>
      </c>
      <c r="Z178" t="s">
        <v>64</v>
      </c>
    </row>
    <row r="179" spans="1:26">
      <c r="A179" t="s">
        <v>601</v>
      </c>
      <c r="B179" t="s">
        <v>43</v>
      </c>
      <c r="C179" t="s">
        <v>121</v>
      </c>
      <c r="D179" t="s">
        <v>29</v>
      </c>
      <c r="E179" t="s">
        <v>45</v>
      </c>
      <c r="F179" t="s">
        <v>149</v>
      </c>
      <c r="G179" t="s">
        <v>32</v>
      </c>
      <c r="H179">
        <v>7.1</v>
      </c>
      <c r="I179">
        <v>5.9</v>
      </c>
      <c r="J179" t="s">
        <v>144</v>
      </c>
      <c r="K179" t="s">
        <v>602</v>
      </c>
      <c r="L179" t="s">
        <v>35</v>
      </c>
      <c r="M179" t="s">
        <v>603</v>
      </c>
      <c r="N179" t="s">
        <v>71</v>
      </c>
      <c r="O179">
        <v>52</v>
      </c>
      <c r="P179" t="s">
        <v>105</v>
      </c>
      <c r="Q179">
        <v>4694</v>
      </c>
      <c r="R179">
        <v>5000</v>
      </c>
      <c r="S179" t="s">
        <v>152</v>
      </c>
      <c r="T179" t="s">
        <v>81</v>
      </c>
      <c r="U179" t="s">
        <v>52</v>
      </c>
      <c r="V179" t="s">
        <v>52</v>
      </c>
      <c r="W179" t="s">
        <v>52</v>
      </c>
      <c r="X179">
        <v>2022</v>
      </c>
      <c r="Y179" t="s">
        <v>153</v>
      </c>
      <c r="Z179" t="s">
        <v>54</v>
      </c>
    </row>
    <row r="180" spans="1:26">
      <c r="A180" t="s">
        <v>604</v>
      </c>
      <c r="B180" t="s">
        <v>27</v>
      </c>
      <c r="C180" t="s">
        <v>76</v>
      </c>
      <c r="D180" t="s">
        <v>29</v>
      </c>
      <c r="E180" t="s">
        <v>195</v>
      </c>
      <c r="F180" t="s">
        <v>124</v>
      </c>
      <c r="G180" t="s">
        <v>32</v>
      </c>
      <c r="H180">
        <v>3.7</v>
      </c>
      <c r="I180">
        <v>24.8</v>
      </c>
      <c r="J180" t="s">
        <v>33</v>
      </c>
      <c r="K180" t="s">
        <v>605</v>
      </c>
      <c r="L180" t="s">
        <v>35</v>
      </c>
      <c r="M180" t="s">
        <v>606</v>
      </c>
      <c r="N180" t="s">
        <v>71</v>
      </c>
      <c r="O180">
        <v>24</v>
      </c>
      <c r="P180" t="s">
        <v>89</v>
      </c>
      <c r="Q180">
        <v>4807</v>
      </c>
      <c r="R180">
        <v>2000</v>
      </c>
      <c r="S180" t="s">
        <v>152</v>
      </c>
      <c r="T180" t="s">
        <v>136</v>
      </c>
      <c r="U180" t="s">
        <v>39</v>
      </c>
      <c r="V180" t="s">
        <v>52</v>
      </c>
      <c r="W180" t="s">
        <v>52</v>
      </c>
      <c r="X180">
        <v>2022</v>
      </c>
      <c r="Y180" t="s">
        <v>114</v>
      </c>
      <c r="Z180" t="s">
        <v>41</v>
      </c>
    </row>
    <row r="181" spans="1:26">
      <c r="A181" t="s">
        <v>607</v>
      </c>
      <c r="B181" t="s">
        <v>27</v>
      </c>
      <c r="C181" t="s">
        <v>102</v>
      </c>
      <c r="D181" t="s">
        <v>29</v>
      </c>
      <c r="E181" t="s">
        <v>195</v>
      </c>
      <c r="F181" t="s">
        <v>95</v>
      </c>
      <c r="G181" t="s">
        <v>32</v>
      </c>
      <c r="H181">
        <v>10.3</v>
      </c>
      <c r="I181">
        <v>19.7</v>
      </c>
      <c r="J181" t="s">
        <v>33</v>
      </c>
      <c r="K181" t="s">
        <v>608</v>
      </c>
      <c r="L181" t="s">
        <v>48</v>
      </c>
      <c r="M181" t="s">
        <v>355</v>
      </c>
      <c r="N181" t="s">
        <v>100</v>
      </c>
      <c r="O181">
        <v>8</v>
      </c>
      <c r="P181" t="s">
        <v>2265</v>
      </c>
      <c r="Q181">
        <v>0</v>
      </c>
      <c r="R181">
        <v>0</v>
      </c>
      <c r="S181" t="s">
        <v>2265</v>
      </c>
      <c r="T181" t="s">
        <v>38</v>
      </c>
      <c r="U181" t="s">
        <v>39</v>
      </c>
      <c r="V181" t="s">
        <v>39</v>
      </c>
      <c r="W181" t="s">
        <v>52</v>
      </c>
      <c r="X181">
        <v>2022</v>
      </c>
      <c r="Y181" t="s">
        <v>63</v>
      </c>
      <c r="Z181" t="s">
        <v>64</v>
      </c>
    </row>
    <row r="182" spans="1:26">
      <c r="A182" t="s">
        <v>609</v>
      </c>
      <c r="B182" t="s">
        <v>116</v>
      </c>
      <c r="C182" t="s">
        <v>28</v>
      </c>
      <c r="D182" t="s">
        <v>77</v>
      </c>
      <c r="E182" t="s">
        <v>363</v>
      </c>
      <c r="F182" t="s">
        <v>124</v>
      </c>
      <c r="G182" t="s">
        <v>32</v>
      </c>
      <c r="H182">
        <v>3.2</v>
      </c>
      <c r="I182">
        <v>28.5</v>
      </c>
      <c r="J182" t="s">
        <v>96</v>
      </c>
      <c r="K182" t="s">
        <v>610</v>
      </c>
      <c r="L182" t="s">
        <v>48</v>
      </c>
      <c r="M182" t="s">
        <v>49</v>
      </c>
      <c r="N182" t="s">
        <v>71</v>
      </c>
      <c r="O182">
        <v>96</v>
      </c>
      <c r="P182" t="s">
        <v>230</v>
      </c>
      <c r="Q182">
        <v>7770</v>
      </c>
      <c r="R182">
        <v>1000</v>
      </c>
      <c r="S182" t="s">
        <v>152</v>
      </c>
      <c r="T182" t="s">
        <v>38</v>
      </c>
      <c r="U182" t="s">
        <v>39</v>
      </c>
      <c r="V182" t="s">
        <v>52</v>
      </c>
      <c r="W182" t="s">
        <v>39</v>
      </c>
      <c r="X182">
        <v>2024</v>
      </c>
      <c r="Y182" t="s">
        <v>312</v>
      </c>
      <c r="Z182" t="s">
        <v>83</v>
      </c>
    </row>
    <row r="183" spans="1:26">
      <c r="A183" t="s">
        <v>611</v>
      </c>
      <c r="B183" t="s">
        <v>43</v>
      </c>
      <c r="C183" t="s">
        <v>173</v>
      </c>
      <c r="D183" t="s">
        <v>77</v>
      </c>
      <c r="E183" t="s">
        <v>94</v>
      </c>
      <c r="F183" t="s">
        <v>160</v>
      </c>
      <c r="G183" t="s">
        <v>32</v>
      </c>
      <c r="H183">
        <v>5.2</v>
      </c>
      <c r="I183">
        <v>12.7</v>
      </c>
      <c r="J183" t="s">
        <v>33</v>
      </c>
      <c r="K183" t="s">
        <v>612</v>
      </c>
      <c r="L183" t="s">
        <v>35</v>
      </c>
      <c r="M183" t="s">
        <v>478</v>
      </c>
      <c r="N183" t="s">
        <v>71</v>
      </c>
      <c r="O183">
        <v>128</v>
      </c>
      <c r="P183" t="s">
        <v>105</v>
      </c>
      <c r="Q183">
        <v>6135</v>
      </c>
      <c r="R183">
        <v>2000</v>
      </c>
      <c r="S183" t="s">
        <v>113</v>
      </c>
      <c r="T183" t="s">
        <v>51</v>
      </c>
      <c r="U183" t="s">
        <v>52</v>
      </c>
      <c r="V183" t="s">
        <v>52</v>
      </c>
      <c r="W183" t="s">
        <v>52</v>
      </c>
      <c r="X183">
        <v>2024</v>
      </c>
      <c r="Y183" t="s">
        <v>312</v>
      </c>
      <c r="Z183" t="s">
        <v>83</v>
      </c>
    </row>
    <row r="184" spans="1:26">
      <c r="A184" t="s">
        <v>613</v>
      </c>
      <c r="B184" t="s">
        <v>43</v>
      </c>
      <c r="C184" t="s">
        <v>76</v>
      </c>
      <c r="D184" t="s">
        <v>77</v>
      </c>
      <c r="E184" t="s">
        <v>143</v>
      </c>
      <c r="F184" t="s">
        <v>57</v>
      </c>
      <c r="G184" t="s">
        <v>32</v>
      </c>
      <c r="H184">
        <v>7.7</v>
      </c>
      <c r="I184">
        <v>28</v>
      </c>
      <c r="J184" t="s">
        <v>144</v>
      </c>
      <c r="K184" t="s">
        <v>614</v>
      </c>
      <c r="L184" t="s">
        <v>140</v>
      </c>
      <c r="M184" t="s">
        <v>301</v>
      </c>
      <c r="N184" t="s">
        <v>71</v>
      </c>
      <c r="O184">
        <v>99</v>
      </c>
      <c r="P184" t="s">
        <v>112</v>
      </c>
      <c r="Q184">
        <v>6434</v>
      </c>
      <c r="R184">
        <v>0</v>
      </c>
      <c r="S184" t="s">
        <v>152</v>
      </c>
      <c r="T184" t="s">
        <v>62</v>
      </c>
      <c r="U184" t="s">
        <v>39</v>
      </c>
      <c r="V184" t="s">
        <v>52</v>
      </c>
      <c r="W184" t="s">
        <v>52</v>
      </c>
      <c r="X184">
        <v>2023</v>
      </c>
      <c r="Y184" t="s">
        <v>40</v>
      </c>
      <c r="Z184" t="s">
        <v>41</v>
      </c>
    </row>
    <row r="185" spans="1:26">
      <c r="A185" t="s">
        <v>615</v>
      </c>
      <c r="B185" t="s">
        <v>116</v>
      </c>
      <c r="C185" t="s">
        <v>121</v>
      </c>
      <c r="D185" t="s">
        <v>77</v>
      </c>
      <c r="E185" t="s">
        <v>220</v>
      </c>
      <c r="F185" t="s">
        <v>109</v>
      </c>
      <c r="G185" t="s">
        <v>32</v>
      </c>
      <c r="H185">
        <v>10.8</v>
      </c>
      <c r="I185">
        <v>27.4</v>
      </c>
      <c r="J185" t="s">
        <v>96</v>
      </c>
      <c r="K185" t="s">
        <v>616</v>
      </c>
      <c r="L185" t="s">
        <v>140</v>
      </c>
      <c r="M185" t="s">
        <v>617</v>
      </c>
      <c r="N185" t="s">
        <v>37</v>
      </c>
      <c r="O185">
        <v>153</v>
      </c>
      <c r="P185" t="s">
        <v>2265</v>
      </c>
      <c r="Q185">
        <v>0</v>
      </c>
      <c r="R185">
        <v>0</v>
      </c>
      <c r="S185" t="s">
        <v>2265</v>
      </c>
      <c r="T185" t="s">
        <v>81</v>
      </c>
      <c r="U185" t="s">
        <v>39</v>
      </c>
      <c r="V185" t="s">
        <v>39</v>
      </c>
      <c r="W185" t="s">
        <v>52</v>
      </c>
      <c r="X185">
        <v>2023</v>
      </c>
      <c r="Y185" t="s">
        <v>91</v>
      </c>
      <c r="Z185" t="s">
        <v>64</v>
      </c>
    </row>
    <row r="186" spans="1:26">
      <c r="A186" t="s">
        <v>618</v>
      </c>
      <c r="B186" t="s">
        <v>43</v>
      </c>
      <c r="C186" t="s">
        <v>164</v>
      </c>
      <c r="D186" t="s">
        <v>77</v>
      </c>
      <c r="E186" t="s">
        <v>168</v>
      </c>
      <c r="F186" t="s">
        <v>124</v>
      </c>
      <c r="G186" t="s">
        <v>32</v>
      </c>
      <c r="H186">
        <v>4.3</v>
      </c>
      <c r="I186">
        <v>29.5</v>
      </c>
      <c r="J186" t="s">
        <v>96</v>
      </c>
      <c r="K186" t="s">
        <v>619</v>
      </c>
      <c r="L186" t="s">
        <v>98</v>
      </c>
      <c r="M186" t="s">
        <v>127</v>
      </c>
      <c r="N186" t="s">
        <v>37</v>
      </c>
      <c r="O186">
        <v>15</v>
      </c>
      <c r="P186" t="s">
        <v>2265</v>
      </c>
      <c r="Q186">
        <v>0</v>
      </c>
      <c r="R186">
        <v>1000</v>
      </c>
      <c r="S186" t="s">
        <v>2265</v>
      </c>
      <c r="T186" t="s">
        <v>51</v>
      </c>
      <c r="U186" t="s">
        <v>39</v>
      </c>
      <c r="V186" t="s">
        <v>52</v>
      </c>
      <c r="W186" t="s">
        <v>52</v>
      </c>
      <c r="X186">
        <v>2024</v>
      </c>
      <c r="Y186" t="s">
        <v>63</v>
      </c>
      <c r="Z186" t="s">
        <v>64</v>
      </c>
    </row>
    <row r="187" spans="1:26">
      <c r="A187" t="s">
        <v>620</v>
      </c>
      <c r="B187" t="s">
        <v>116</v>
      </c>
      <c r="C187" t="s">
        <v>102</v>
      </c>
      <c r="D187" t="s">
        <v>77</v>
      </c>
      <c r="E187" t="s">
        <v>216</v>
      </c>
      <c r="F187" t="s">
        <v>31</v>
      </c>
      <c r="G187" t="s">
        <v>58</v>
      </c>
      <c r="H187">
        <v>2.2000000000000002</v>
      </c>
      <c r="I187">
        <v>1.8</v>
      </c>
      <c r="J187" t="s">
        <v>33</v>
      </c>
      <c r="K187" t="s">
        <v>621</v>
      </c>
      <c r="L187" t="s">
        <v>140</v>
      </c>
      <c r="M187" t="s">
        <v>622</v>
      </c>
      <c r="N187" t="s">
        <v>61</v>
      </c>
      <c r="O187">
        <v>127</v>
      </c>
      <c r="P187" t="s">
        <v>2265</v>
      </c>
      <c r="Q187">
        <v>0</v>
      </c>
      <c r="R187">
        <v>0</v>
      </c>
      <c r="S187" t="s">
        <v>2265</v>
      </c>
      <c r="T187" t="s">
        <v>136</v>
      </c>
      <c r="U187" t="s">
        <v>39</v>
      </c>
      <c r="V187" t="s">
        <v>52</v>
      </c>
      <c r="W187" t="s">
        <v>52</v>
      </c>
      <c r="X187">
        <v>2023</v>
      </c>
      <c r="Y187" t="s">
        <v>106</v>
      </c>
      <c r="Z187" t="s">
        <v>83</v>
      </c>
    </row>
    <row r="188" spans="1:26">
      <c r="A188" t="s">
        <v>623</v>
      </c>
      <c r="B188" t="s">
        <v>116</v>
      </c>
      <c r="C188" t="s">
        <v>67</v>
      </c>
      <c r="D188" t="s">
        <v>77</v>
      </c>
      <c r="E188" t="s">
        <v>260</v>
      </c>
      <c r="F188" t="s">
        <v>95</v>
      </c>
      <c r="G188" t="s">
        <v>32</v>
      </c>
      <c r="H188">
        <v>7.1</v>
      </c>
      <c r="I188">
        <v>32.1</v>
      </c>
      <c r="J188" t="s">
        <v>156</v>
      </c>
      <c r="K188" t="s">
        <v>348</v>
      </c>
      <c r="L188" t="s">
        <v>98</v>
      </c>
      <c r="M188" t="s">
        <v>624</v>
      </c>
      <c r="N188" t="s">
        <v>71</v>
      </c>
      <c r="O188">
        <v>83</v>
      </c>
      <c r="P188" t="s">
        <v>112</v>
      </c>
      <c r="Q188">
        <v>3179</v>
      </c>
      <c r="R188">
        <v>0</v>
      </c>
      <c r="S188" t="s">
        <v>73</v>
      </c>
      <c r="T188" t="s">
        <v>51</v>
      </c>
      <c r="U188" t="s">
        <v>39</v>
      </c>
      <c r="V188" t="s">
        <v>52</v>
      </c>
      <c r="W188" t="s">
        <v>52</v>
      </c>
      <c r="X188">
        <v>2022</v>
      </c>
      <c r="Y188" t="s">
        <v>63</v>
      </c>
      <c r="Z188" t="s">
        <v>64</v>
      </c>
    </row>
    <row r="189" spans="1:26">
      <c r="A189" t="s">
        <v>625</v>
      </c>
      <c r="B189" t="s">
        <v>66</v>
      </c>
      <c r="C189" t="s">
        <v>67</v>
      </c>
      <c r="D189" t="s">
        <v>77</v>
      </c>
      <c r="E189" t="s">
        <v>94</v>
      </c>
      <c r="F189" t="s">
        <v>124</v>
      </c>
      <c r="G189" t="s">
        <v>58</v>
      </c>
      <c r="H189">
        <v>2.2000000000000002</v>
      </c>
      <c r="I189">
        <v>33.9</v>
      </c>
      <c r="J189" t="s">
        <v>144</v>
      </c>
      <c r="K189" t="s">
        <v>516</v>
      </c>
      <c r="L189" t="s">
        <v>60</v>
      </c>
      <c r="M189" t="s">
        <v>127</v>
      </c>
      <c r="N189" t="s">
        <v>171</v>
      </c>
      <c r="O189">
        <v>167</v>
      </c>
      <c r="P189" t="s">
        <v>2265</v>
      </c>
      <c r="Q189">
        <v>0</v>
      </c>
      <c r="R189">
        <v>0</v>
      </c>
      <c r="S189" t="s">
        <v>2265</v>
      </c>
      <c r="T189" t="s">
        <v>51</v>
      </c>
      <c r="U189" t="s">
        <v>39</v>
      </c>
      <c r="V189" t="s">
        <v>39</v>
      </c>
      <c r="W189" t="s">
        <v>39</v>
      </c>
      <c r="X189">
        <v>2024</v>
      </c>
      <c r="Y189" t="s">
        <v>114</v>
      </c>
      <c r="Z189" t="s">
        <v>41</v>
      </c>
    </row>
    <row r="190" spans="1:26">
      <c r="A190" t="s">
        <v>626</v>
      </c>
      <c r="B190" t="s">
        <v>43</v>
      </c>
      <c r="C190" t="s">
        <v>28</v>
      </c>
      <c r="D190" t="s">
        <v>77</v>
      </c>
      <c r="E190" t="s">
        <v>94</v>
      </c>
      <c r="F190" t="s">
        <v>149</v>
      </c>
      <c r="G190" t="s">
        <v>58</v>
      </c>
      <c r="H190">
        <v>11.1</v>
      </c>
      <c r="I190">
        <v>33.9</v>
      </c>
      <c r="J190" t="s">
        <v>33</v>
      </c>
      <c r="K190" t="s">
        <v>627</v>
      </c>
      <c r="L190" t="s">
        <v>98</v>
      </c>
      <c r="M190" t="s">
        <v>628</v>
      </c>
      <c r="N190" t="s">
        <v>171</v>
      </c>
      <c r="O190">
        <v>47</v>
      </c>
      <c r="P190" t="s">
        <v>2265</v>
      </c>
      <c r="Q190">
        <v>0</v>
      </c>
      <c r="R190">
        <v>0</v>
      </c>
      <c r="S190" t="s">
        <v>2265</v>
      </c>
      <c r="T190" t="s">
        <v>38</v>
      </c>
      <c r="U190" t="s">
        <v>39</v>
      </c>
      <c r="V190" t="s">
        <v>52</v>
      </c>
      <c r="W190" t="s">
        <v>52</v>
      </c>
      <c r="X190">
        <v>2022</v>
      </c>
      <c r="Y190" t="s">
        <v>312</v>
      </c>
      <c r="Z190" t="s">
        <v>83</v>
      </c>
    </row>
    <row r="191" spans="1:26">
      <c r="A191" t="s">
        <v>629</v>
      </c>
      <c r="B191" t="s">
        <v>93</v>
      </c>
      <c r="C191" t="s">
        <v>28</v>
      </c>
      <c r="D191" t="s">
        <v>77</v>
      </c>
      <c r="E191" t="s">
        <v>143</v>
      </c>
      <c r="F191" t="s">
        <v>238</v>
      </c>
      <c r="G191" t="s">
        <v>58</v>
      </c>
      <c r="H191">
        <v>3.1</v>
      </c>
      <c r="I191">
        <v>2.8</v>
      </c>
      <c r="J191" t="s">
        <v>144</v>
      </c>
      <c r="K191" t="s">
        <v>630</v>
      </c>
      <c r="L191" t="s">
        <v>126</v>
      </c>
      <c r="M191" t="s">
        <v>631</v>
      </c>
      <c r="N191" t="s">
        <v>71</v>
      </c>
      <c r="O191">
        <v>115</v>
      </c>
      <c r="P191" t="s">
        <v>112</v>
      </c>
      <c r="Q191">
        <v>5172</v>
      </c>
      <c r="R191">
        <v>0</v>
      </c>
      <c r="S191" t="s">
        <v>113</v>
      </c>
      <c r="T191" t="s">
        <v>136</v>
      </c>
      <c r="U191" t="s">
        <v>52</v>
      </c>
      <c r="V191" t="s">
        <v>52</v>
      </c>
      <c r="W191" t="s">
        <v>52</v>
      </c>
      <c r="X191">
        <v>2023</v>
      </c>
      <c r="Y191" t="s">
        <v>128</v>
      </c>
      <c r="Z191" t="s">
        <v>64</v>
      </c>
    </row>
    <row r="192" spans="1:26">
      <c r="A192" t="s">
        <v>632</v>
      </c>
      <c r="B192" t="s">
        <v>116</v>
      </c>
      <c r="C192" t="s">
        <v>173</v>
      </c>
      <c r="D192" t="s">
        <v>29</v>
      </c>
      <c r="E192" t="s">
        <v>117</v>
      </c>
      <c r="F192" t="s">
        <v>238</v>
      </c>
      <c r="G192" t="s">
        <v>32</v>
      </c>
      <c r="H192">
        <v>5.5</v>
      </c>
      <c r="I192">
        <v>28.1</v>
      </c>
      <c r="J192" t="s">
        <v>33</v>
      </c>
      <c r="K192" t="s">
        <v>249</v>
      </c>
      <c r="L192" t="s">
        <v>35</v>
      </c>
      <c r="M192" t="s">
        <v>633</v>
      </c>
      <c r="N192" t="s">
        <v>37</v>
      </c>
      <c r="O192">
        <v>123</v>
      </c>
      <c r="P192" t="s">
        <v>2265</v>
      </c>
      <c r="Q192">
        <v>0</v>
      </c>
      <c r="R192">
        <v>0</v>
      </c>
      <c r="S192" t="s">
        <v>2265</v>
      </c>
      <c r="T192" t="s">
        <v>38</v>
      </c>
      <c r="U192" t="s">
        <v>39</v>
      </c>
      <c r="V192" t="s">
        <v>39</v>
      </c>
      <c r="W192" t="s">
        <v>52</v>
      </c>
      <c r="X192">
        <v>2022</v>
      </c>
      <c r="Y192" t="s">
        <v>40</v>
      </c>
      <c r="Z192" t="s">
        <v>41</v>
      </c>
    </row>
    <row r="193" spans="1:26">
      <c r="A193" t="s">
        <v>634</v>
      </c>
      <c r="B193" t="s">
        <v>27</v>
      </c>
      <c r="C193" t="s">
        <v>44</v>
      </c>
      <c r="D193" t="s">
        <v>77</v>
      </c>
      <c r="E193" t="s">
        <v>143</v>
      </c>
      <c r="F193" t="s">
        <v>68</v>
      </c>
      <c r="G193" t="s">
        <v>58</v>
      </c>
      <c r="H193">
        <v>5.2</v>
      </c>
      <c r="I193">
        <v>23.1</v>
      </c>
      <c r="J193" t="s">
        <v>33</v>
      </c>
      <c r="K193" t="s">
        <v>418</v>
      </c>
      <c r="L193" t="s">
        <v>60</v>
      </c>
      <c r="M193" t="s">
        <v>304</v>
      </c>
      <c r="N193" t="s">
        <v>50</v>
      </c>
      <c r="O193">
        <v>87</v>
      </c>
      <c r="P193" t="s">
        <v>2265</v>
      </c>
      <c r="Q193">
        <v>0</v>
      </c>
      <c r="R193">
        <v>0</v>
      </c>
      <c r="S193" t="s">
        <v>2265</v>
      </c>
      <c r="T193" t="s">
        <v>81</v>
      </c>
      <c r="U193" t="s">
        <v>39</v>
      </c>
      <c r="V193" t="s">
        <v>52</v>
      </c>
      <c r="W193" t="s">
        <v>52</v>
      </c>
      <c r="X193">
        <v>2022</v>
      </c>
      <c r="Y193" t="s">
        <v>40</v>
      </c>
      <c r="Z193" t="s">
        <v>41</v>
      </c>
    </row>
    <row r="194" spans="1:26">
      <c r="A194" t="s">
        <v>635</v>
      </c>
      <c r="B194" t="s">
        <v>116</v>
      </c>
      <c r="C194" t="s">
        <v>67</v>
      </c>
      <c r="D194" t="s">
        <v>29</v>
      </c>
      <c r="E194" t="s">
        <v>56</v>
      </c>
      <c r="F194" t="s">
        <v>238</v>
      </c>
      <c r="G194" t="s">
        <v>32</v>
      </c>
      <c r="H194">
        <v>6.6</v>
      </c>
      <c r="I194">
        <v>17.399999999999999</v>
      </c>
      <c r="J194" t="s">
        <v>33</v>
      </c>
      <c r="K194" t="s">
        <v>636</v>
      </c>
      <c r="L194" t="s">
        <v>60</v>
      </c>
      <c r="M194" t="s">
        <v>637</v>
      </c>
      <c r="N194" t="s">
        <v>71</v>
      </c>
      <c r="O194">
        <v>25</v>
      </c>
      <c r="P194" t="s">
        <v>105</v>
      </c>
      <c r="Q194">
        <v>3109</v>
      </c>
      <c r="R194">
        <v>1000</v>
      </c>
      <c r="S194" t="s">
        <v>90</v>
      </c>
      <c r="T194" t="s">
        <v>81</v>
      </c>
      <c r="U194" t="s">
        <v>39</v>
      </c>
      <c r="V194" t="s">
        <v>39</v>
      </c>
      <c r="W194" t="s">
        <v>52</v>
      </c>
      <c r="X194">
        <v>2023</v>
      </c>
      <c r="Y194" t="s">
        <v>53</v>
      </c>
      <c r="Z194" t="s">
        <v>54</v>
      </c>
    </row>
    <row r="195" spans="1:26">
      <c r="A195" t="s">
        <v>638</v>
      </c>
      <c r="B195" t="s">
        <v>66</v>
      </c>
      <c r="C195" t="s">
        <v>173</v>
      </c>
      <c r="D195" t="s">
        <v>77</v>
      </c>
      <c r="E195" t="s">
        <v>168</v>
      </c>
      <c r="F195" t="s">
        <v>95</v>
      </c>
      <c r="G195" t="s">
        <v>32</v>
      </c>
      <c r="H195">
        <v>4.8</v>
      </c>
      <c r="I195">
        <v>17.399999999999999</v>
      </c>
      <c r="J195" t="s">
        <v>33</v>
      </c>
      <c r="K195" t="s">
        <v>378</v>
      </c>
      <c r="L195" t="s">
        <v>60</v>
      </c>
      <c r="M195" t="s">
        <v>639</v>
      </c>
      <c r="N195" t="s">
        <v>71</v>
      </c>
      <c r="O195">
        <v>122</v>
      </c>
      <c r="P195" t="s">
        <v>112</v>
      </c>
      <c r="Q195">
        <v>5526</v>
      </c>
      <c r="R195">
        <v>5000</v>
      </c>
      <c r="S195" t="s">
        <v>152</v>
      </c>
      <c r="T195" t="s">
        <v>81</v>
      </c>
      <c r="U195" t="s">
        <v>52</v>
      </c>
      <c r="V195" t="s">
        <v>39</v>
      </c>
      <c r="W195" t="s">
        <v>52</v>
      </c>
      <c r="X195">
        <v>2022</v>
      </c>
      <c r="Y195" t="s">
        <v>153</v>
      </c>
      <c r="Z195" t="s">
        <v>54</v>
      </c>
    </row>
    <row r="196" spans="1:26">
      <c r="A196" t="s">
        <v>640</v>
      </c>
      <c r="B196" t="s">
        <v>66</v>
      </c>
      <c r="C196" t="s">
        <v>28</v>
      </c>
      <c r="D196" t="s">
        <v>77</v>
      </c>
      <c r="E196" t="s">
        <v>78</v>
      </c>
      <c r="F196" t="s">
        <v>95</v>
      </c>
      <c r="G196" t="s">
        <v>32</v>
      </c>
      <c r="H196">
        <v>6.8</v>
      </c>
      <c r="I196">
        <v>5.7</v>
      </c>
      <c r="J196" t="s">
        <v>96</v>
      </c>
      <c r="K196" t="s">
        <v>641</v>
      </c>
      <c r="L196" t="s">
        <v>140</v>
      </c>
      <c r="M196" t="s">
        <v>642</v>
      </c>
      <c r="N196" t="s">
        <v>61</v>
      </c>
      <c r="O196">
        <v>58</v>
      </c>
      <c r="P196" t="s">
        <v>2265</v>
      </c>
      <c r="Q196">
        <v>0</v>
      </c>
      <c r="R196">
        <v>0</v>
      </c>
      <c r="S196" t="s">
        <v>2265</v>
      </c>
      <c r="T196" t="s">
        <v>136</v>
      </c>
      <c r="U196" t="s">
        <v>39</v>
      </c>
      <c r="V196" t="s">
        <v>52</v>
      </c>
      <c r="W196" t="s">
        <v>39</v>
      </c>
      <c r="X196">
        <v>2023</v>
      </c>
      <c r="Y196" t="s">
        <v>153</v>
      </c>
      <c r="Z196" t="s">
        <v>54</v>
      </c>
    </row>
    <row r="197" spans="1:26">
      <c r="A197" t="s">
        <v>643</v>
      </c>
      <c r="B197" t="s">
        <v>66</v>
      </c>
      <c r="C197" t="s">
        <v>76</v>
      </c>
      <c r="D197" t="s">
        <v>85</v>
      </c>
      <c r="E197" t="s">
        <v>138</v>
      </c>
      <c r="F197" t="s">
        <v>109</v>
      </c>
      <c r="G197" t="s">
        <v>58</v>
      </c>
      <c r="H197">
        <v>5.8</v>
      </c>
      <c r="I197">
        <v>3.2</v>
      </c>
      <c r="J197" t="s">
        <v>33</v>
      </c>
      <c r="K197" t="s">
        <v>644</v>
      </c>
      <c r="L197" t="s">
        <v>126</v>
      </c>
      <c r="M197" t="s">
        <v>645</v>
      </c>
      <c r="N197" t="s">
        <v>50</v>
      </c>
      <c r="O197">
        <v>138</v>
      </c>
      <c r="P197" t="s">
        <v>2265</v>
      </c>
      <c r="Q197">
        <v>0</v>
      </c>
      <c r="R197">
        <v>0</v>
      </c>
      <c r="S197" t="s">
        <v>2265</v>
      </c>
      <c r="T197" t="s">
        <v>81</v>
      </c>
      <c r="U197" t="s">
        <v>39</v>
      </c>
      <c r="V197" t="s">
        <v>39</v>
      </c>
      <c r="W197" t="s">
        <v>52</v>
      </c>
      <c r="X197">
        <v>2024</v>
      </c>
      <c r="Y197" t="s">
        <v>53</v>
      </c>
      <c r="Z197" t="s">
        <v>54</v>
      </c>
    </row>
    <row r="198" spans="1:26">
      <c r="A198" t="s">
        <v>646</v>
      </c>
      <c r="B198" t="s">
        <v>43</v>
      </c>
      <c r="C198" t="s">
        <v>173</v>
      </c>
      <c r="D198" t="s">
        <v>77</v>
      </c>
      <c r="E198" t="s">
        <v>220</v>
      </c>
      <c r="F198" t="s">
        <v>46</v>
      </c>
      <c r="G198" t="s">
        <v>58</v>
      </c>
      <c r="H198">
        <v>2.5</v>
      </c>
      <c r="I198">
        <v>28.9</v>
      </c>
      <c r="J198" t="s">
        <v>33</v>
      </c>
      <c r="K198" t="s">
        <v>647</v>
      </c>
      <c r="L198" t="s">
        <v>126</v>
      </c>
      <c r="M198" t="s">
        <v>648</v>
      </c>
      <c r="N198" t="s">
        <v>100</v>
      </c>
      <c r="O198">
        <v>21</v>
      </c>
      <c r="P198" t="s">
        <v>2265</v>
      </c>
      <c r="Q198">
        <v>0</v>
      </c>
      <c r="R198">
        <v>0</v>
      </c>
      <c r="S198" t="s">
        <v>2265</v>
      </c>
      <c r="T198" t="s">
        <v>62</v>
      </c>
      <c r="U198" t="s">
        <v>52</v>
      </c>
      <c r="V198" t="s">
        <v>52</v>
      </c>
      <c r="W198" t="s">
        <v>52</v>
      </c>
      <c r="X198">
        <v>2024</v>
      </c>
      <c r="Y198" t="s">
        <v>53</v>
      </c>
      <c r="Z198" t="s">
        <v>54</v>
      </c>
    </row>
    <row r="199" spans="1:26">
      <c r="A199" t="s">
        <v>649</v>
      </c>
      <c r="B199" t="s">
        <v>27</v>
      </c>
      <c r="C199" t="s">
        <v>28</v>
      </c>
      <c r="D199" t="s">
        <v>29</v>
      </c>
      <c r="E199" t="s">
        <v>244</v>
      </c>
      <c r="F199" t="s">
        <v>95</v>
      </c>
      <c r="G199" t="s">
        <v>58</v>
      </c>
      <c r="H199">
        <v>1.4</v>
      </c>
      <c r="I199">
        <v>5.7</v>
      </c>
      <c r="J199" t="s">
        <v>96</v>
      </c>
      <c r="K199" t="s">
        <v>650</v>
      </c>
      <c r="L199" t="s">
        <v>60</v>
      </c>
      <c r="M199" t="s">
        <v>651</v>
      </c>
      <c r="N199" t="s">
        <v>100</v>
      </c>
      <c r="O199">
        <v>4</v>
      </c>
      <c r="P199" t="s">
        <v>2265</v>
      </c>
      <c r="Q199">
        <v>0</v>
      </c>
      <c r="R199">
        <v>0</v>
      </c>
      <c r="S199" t="s">
        <v>2265</v>
      </c>
      <c r="T199" t="s">
        <v>62</v>
      </c>
      <c r="U199" t="s">
        <v>39</v>
      </c>
      <c r="V199" t="s">
        <v>52</v>
      </c>
      <c r="W199" t="s">
        <v>52</v>
      </c>
      <c r="X199">
        <v>2024</v>
      </c>
      <c r="Y199" t="s">
        <v>40</v>
      </c>
      <c r="Z199" t="s">
        <v>41</v>
      </c>
    </row>
    <row r="200" spans="1:26">
      <c r="A200" t="s">
        <v>652</v>
      </c>
      <c r="B200" t="s">
        <v>66</v>
      </c>
      <c r="C200" t="s">
        <v>44</v>
      </c>
      <c r="D200" t="s">
        <v>85</v>
      </c>
      <c r="E200" t="s">
        <v>86</v>
      </c>
      <c r="F200" t="s">
        <v>238</v>
      </c>
      <c r="G200" t="s">
        <v>32</v>
      </c>
      <c r="H200">
        <v>1.8</v>
      </c>
      <c r="I200">
        <v>21.5</v>
      </c>
      <c r="J200" t="s">
        <v>33</v>
      </c>
      <c r="K200" t="s">
        <v>276</v>
      </c>
      <c r="L200" t="s">
        <v>98</v>
      </c>
      <c r="M200" t="s">
        <v>181</v>
      </c>
      <c r="N200" t="s">
        <v>71</v>
      </c>
      <c r="O200">
        <v>10</v>
      </c>
      <c r="P200" t="s">
        <v>89</v>
      </c>
      <c r="Q200">
        <v>1628</v>
      </c>
      <c r="R200">
        <v>500</v>
      </c>
      <c r="S200" t="s">
        <v>73</v>
      </c>
      <c r="T200" t="s">
        <v>136</v>
      </c>
      <c r="U200" t="s">
        <v>39</v>
      </c>
      <c r="V200" t="s">
        <v>52</v>
      </c>
      <c r="W200" t="s">
        <v>39</v>
      </c>
      <c r="X200">
        <v>2024</v>
      </c>
      <c r="Y200" t="s">
        <v>211</v>
      </c>
      <c r="Z200" t="s">
        <v>41</v>
      </c>
    </row>
    <row r="201" spans="1:26">
      <c r="A201" t="s">
        <v>653</v>
      </c>
      <c r="B201" t="s">
        <v>93</v>
      </c>
      <c r="C201" t="s">
        <v>121</v>
      </c>
      <c r="D201" t="s">
        <v>122</v>
      </c>
      <c r="E201" t="s">
        <v>155</v>
      </c>
      <c r="F201" t="s">
        <v>46</v>
      </c>
      <c r="G201" t="s">
        <v>32</v>
      </c>
      <c r="H201">
        <v>11.7</v>
      </c>
      <c r="I201">
        <v>8.4</v>
      </c>
      <c r="J201" t="s">
        <v>156</v>
      </c>
      <c r="K201" t="s">
        <v>654</v>
      </c>
      <c r="L201" t="s">
        <v>126</v>
      </c>
      <c r="M201" t="s">
        <v>655</v>
      </c>
      <c r="N201" t="s">
        <v>50</v>
      </c>
      <c r="O201">
        <v>72</v>
      </c>
      <c r="P201" t="s">
        <v>2265</v>
      </c>
      <c r="Q201">
        <v>0</v>
      </c>
      <c r="R201">
        <v>0</v>
      </c>
      <c r="S201" t="s">
        <v>2265</v>
      </c>
      <c r="T201" t="s">
        <v>62</v>
      </c>
      <c r="U201" t="s">
        <v>39</v>
      </c>
      <c r="V201" t="s">
        <v>39</v>
      </c>
      <c r="W201" t="s">
        <v>52</v>
      </c>
      <c r="X201">
        <v>2023</v>
      </c>
      <c r="Y201" t="s">
        <v>114</v>
      </c>
      <c r="Z201" t="s">
        <v>41</v>
      </c>
    </row>
    <row r="202" spans="1:26">
      <c r="A202" t="s">
        <v>656</v>
      </c>
      <c r="B202" t="s">
        <v>43</v>
      </c>
      <c r="C202" t="s">
        <v>28</v>
      </c>
      <c r="D202" t="s">
        <v>77</v>
      </c>
      <c r="E202" t="s">
        <v>94</v>
      </c>
      <c r="F202" t="s">
        <v>160</v>
      </c>
      <c r="G202" t="s">
        <v>32</v>
      </c>
      <c r="H202">
        <v>9.9</v>
      </c>
      <c r="I202">
        <v>18.3</v>
      </c>
      <c r="J202" t="s">
        <v>33</v>
      </c>
      <c r="K202" t="s">
        <v>657</v>
      </c>
      <c r="L202" t="s">
        <v>140</v>
      </c>
      <c r="M202" t="s">
        <v>127</v>
      </c>
      <c r="N202" t="s">
        <v>171</v>
      </c>
      <c r="O202">
        <v>133</v>
      </c>
      <c r="P202" t="s">
        <v>2265</v>
      </c>
      <c r="Q202">
        <v>0</v>
      </c>
      <c r="R202">
        <v>0</v>
      </c>
      <c r="S202" t="s">
        <v>2265</v>
      </c>
      <c r="T202" t="s">
        <v>62</v>
      </c>
      <c r="U202" t="s">
        <v>39</v>
      </c>
      <c r="V202" t="s">
        <v>39</v>
      </c>
      <c r="W202" t="s">
        <v>52</v>
      </c>
      <c r="X202">
        <v>2024</v>
      </c>
      <c r="Y202" t="s">
        <v>114</v>
      </c>
      <c r="Z202" t="s">
        <v>41</v>
      </c>
    </row>
    <row r="203" spans="1:26">
      <c r="A203" t="s">
        <v>658</v>
      </c>
      <c r="B203" t="s">
        <v>93</v>
      </c>
      <c r="C203" t="s">
        <v>67</v>
      </c>
      <c r="D203" t="s">
        <v>77</v>
      </c>
      <c r="E203" t="s">
        <v>220</v>
      </c>
      <c r="F203" t="s">
        <v>149</v>
      </c>
      <c r="G203" t="s">
        <v>32</v>
      </c>
      <c r="H203">
        <v>11</v>
      </c>
      <c r="I203">
        <v>24.8</v>
      </c>
      <c r="J203" t="s">
        <v>156</v>
      </c>
      <c r="K203" t="s">
        <v>659</v>
      </c>
      <c r="L203" t="s">
        <v>35</v>
      </c>
      <c r="M203" t="s">
        <v>660</v>
      </c>
      <c r="N203" t="s">
        <v>50</v>
      </c>
      <c r="O203">
        <v>9</v>
      </c>
      <c r="P203" t="s">
        <v>2265</v>
      </c>
      <c r="Q203">
        <v>0</v>
      </c>
      <c r="R203">
        <v>0</v>
      </c>
      <c r="S203" t="s">
        <v>2265</v>
      </c>
      <c r="T203" t="s">
        <v>38</v>
      </c>
      <c r="U203" t="s">
        <v>39</v>
      </c>
      <c r="V203" t="s">
        <v>52</v>
      </c>
      <c r="W203" t="s">
        <v>52</v>
      </c>
      <c r="X203">
        <v>2023</v>
      </c>
      <c r="Y203" t="s">
        <v>53</v>
      </c>
      <c r="Z203" t="s">
        <v>54</v>
      </c>
    </row>
    <row r="204" spans="1:26">
      <c r="A204" t="s">
        <v>661</v>
      </c>
      <c r="B204" t="s">
        <v>93</v>
      </c>
      <c r="C204" t="s">
        <v>28</v>
      </c>
      <c r="D204" t="s">
        <v>77</v>
      </c>
      <c r="E204" t="s">
        <v>78</v>
      </c>
      <c r="F204" t="s">
        <v>160</v>
      </c>
      <c r="G204" t="s">
        <v>58</v>
      </c>
      <c r="H204">
        <v>4.2</v>
      </c>
      <c r="I204">
        <v>29.4</v>
      </c>
      <c r="J204" t="s">
        <v>144</v>
      </c>
      <c r="K204" t="s">
        <v>348</v>
      </c>
      <c r="L204" t="s">
        <v>35</v>
      </c>
      <c r="M204" t="s">
        <v>662</v>
      </c>
      <c r="N204" t="s">
        <v>171</v>
      </c>
      <c r="O204">
        <v>122</v>
      </c>
      <c r="P204" t="s">
        <v>2265</v>
      </c>
      <c r="Q204">
        <v>0</v>
      </c>
      <c r="R204">
        <v>0</v>
      </c>
      <c r="S204" t="s">
        <v>2265</v>
      </c>
      <c r="T204" t="s">
        <v>81</v>
      </c>
      <c r="U204" t="s">
        <v>39</v>
      </c>
      <c r="V204" t="s">
        <v>39</v>
      </c>
      <c r="W204" t="s">
        <v>52</v>
      </c>
      <c r="X204">
        <v>2022</v>
      </c>
      <c r="Y204" t="s">
        <v>63</v>
      </c>
      <c r="Z204" t="s">
        <v>64</v>
      </c>
    </row>
    <row r="205" spans="1:26">
      <c r="A205" t="s">
        <v>663</v>
      </c>
      <c r="B205" t="s">
        <v>27</v>
      </c>
      <c r="C205" t="s">
        <v>76</v>
      </c>
      <c r="D205" t="s">
        <v>77</v>
      </c>
      <c r="E205" t="s">
        <v>168</v>
      </c>
      <c r="F205" t="s">
        <v>124</v>
      </c>
      <c r="G205" t="s">
        <v>32</v>
      </c>
      <c r="H205">
        <v>10.9</v>
      </c>
      <c r="I205">
        <v>22.8</v>
      </c>
      <c r="J205" t="s">
        <v>20</v>
      </c>
      <c r="K205" t="s">
        <v>664</v>
      </c>
      <c r="L205" t="s">
        <v>60</v>
      </c>
      <c r="M205" t="s">
        <v>432</v>
      </c>
      <c r="N205" t="s">
        <v>71</v>
      </c>
      <c r="O205">
        <v>132</v>
      </c>
      <c r="P205" t="s">
        <v>72</v>
      </c>
      <c r="Q205">
        <v>3072</v>
      </c>
      <c r="R205">
        <v>500</v>
      </c>
      <c r="S205" t="s">
        <v>90</v>
      </c>
      <c r="T205" t="s">
        <v>136</v>
      </c>
      <c r="U205" t="s">
        <v>39</v>
      </c>
      <c r="V205" t="s">
        <v>52</v>
      </c>
      <c r="W205" t="s">
        <v>52</v>
      </c>
      <c r="X205">
        <v>2024</v>
      </c>
      <c r="Y205" t="s">
        <v>74</v>
      </c>
      <c r="Z205" t="s">
        <v>54</v>
      </c>
    </row>
    <row r="206" spans="1:26">
      <c r="A206" t="s">
        <v>665</v>
      </c>
      <c r="B206" t="s">
        <v>66</v>
      </c>
      <c r="C206" t="s">
        <v>67</v>
      </c>
      <c r="D206" t="s">
        <v>77</v>
      </c>
      <c r="E206" t="s">
        <v>78</v>
      </c>
      <c r="F206" t="s">
        <v>109</v>
      </c>
      <c r="G206" t="s">
        <v>32</v>
      </c>
      <c r="H206">
        <v>7.1</v>
      </c>
      <c r="I206">
        <v>0.8</v>
      </c>
      <c r="J206" t="s">
        <v>33</v>
      </c>
      <c r="K206" t="s">
        <v>290</v>
      </c>
      <c r="L206" t="s">
        <v>98</v>
      </c>
      <c r="M206" t="s">
        <v>666</v>
      </c>
      <c r="N206" t="s">
        <v>100</v>
      </c>
      <c r="O206">
        <v>174</v>
      </c>
      <c r="P206" t="s">
        <v>2265</v>
      </c>
      <c r="Q206">
        <v>0</v>
      </c>
      <c r="R206">
        <v>0</v>
      </c>
      <c r="S206" t="s">
        <v>2265</v>
      </c>
      <c r="T206" t="s">
        <v>38</v>
      </c>
      <c r="U206" t="s">
        <v>52</v>
      </c>
      <c r="V206" t="s">
        <v>39</v>
      </c>
      <c r="W206" t="s">
        <v>52</v>
      </c>
      <c r="X206">
        <v>2023</v>
      </c>
      <c r="Y206" t="s">
        <v>114</v>
      </c>
      <c r="Z206" t="s">
        <v>41</v>
      </c>
    </row>
    <row r="207" spans="1:26">
      <c r="A207" t="s">
        <v>667</v>
      </c>
      <c r="B207" t="s">
        <v>66</v>
      </c>
      <c r="C207" t="s">
        <v>173</v>
      </c>
      <c r="D207" t="s">
        <v>29</v>
      </c>
      <c r="E207" t="s">
        <v>94</v>
      </c>
      <c r="F207" t="s">
        <v>124</v>
      </c>
      <c r="G207" t="s">
        <v>58</v>
      </c>
      <c r="H207">
        <v>7.9</v>
      </c>
      <c r="I207">
        <v>33.4</v>
      </c>
      <c r="J207" t="s">
        <v>20</v>
      </c>
      <c r="K207" t="s">
        <v>668</v>
      </c>
      <c r="L207" t="s">
        <v>48</v>
      </c>
      <c r="M207" t="s">
        <v>488</v>
      </c>
      <c r="N207" t="s">
        <v>61</v>
      </c>
      <c r="O207">
        <v>71</v>
      </c>
      <c r="P207" t="s">
        <v>2265</v>
      </c>
      <c r="Q207">
        <v>0</v>
      </c>
      <c r="R207">
        <v>0</v>
      </c>
      <c r="S207" t="s">
        <v>2265</v>
      </c>
      <c r="T207" t="s">
        <v>38</v>
      </c>
      <c r="U207" t="s">
        <v>52</v>
      </c>
      <c r="V207" t="s">
        <v>52</v>
      </c>
      <c r="W207" t="s">
        <v>52</v>
      </c>
      <c r="X207">
        <v>2023</v>
      </c>
      <c r="Y207" t="s">
        <v>91</v>
      </c>
      <c r="Z207" t="s">
        <v>64</v>
      </c>
    </row>
    <row r="208" spans="1:26">
      <c r="A208" t="s">
        <v>669</v>
      </c>
      <c r="B208" t="s">
        <v>66</v>
      </c>
      <c r="C208" t="s">
        <v>76</v>
      </c>
      <c r="D208" t="s">
        <v>77</v>
      </c>
      <c r="E208" t="s">
        <v>220</v>
      </c>
      <c r="F208" t="s">
        <v>31</v>
      </c>
      <c r="G208" t="s">
        <v>58</v>
      </c>
      <c r="H208">
        <v>10.9</v>
      </c>
      <c r="I208">
        <v>14.5</v>
      </c>
      <c r="J208" t="s">
        <v>33</v>
      </c>
      <c r="K208" t="s">
        <v>407</v>
      </c>
      <c r="L208" t="s">
        <v>98</v>
      </c>
      <c r="M208" t="s">
        <v>670</v>
      </c>
      <c r="N208" t="s">
        <v>61</v>
      </c>
      <c r="O208">
        <v>76</v>
      </c>
      <c r="P208" t="s">
        <v>2265</v>
      </c>
      <c r="Q208">
        <v>0</v>
      </c>
      <c r="R208">
        <v>0</v>
      </c>
      <c r="S208" t="s">
        <v>2265</v>
      </c>
      <c r="T208" t="s">
        <v>81</v>
      </c>
      <c r="U208" t="s">
        <v>52</v>
      </c>
      <c r="V208" t="s">
        <v>52</v>
      </c>
      <c r="W208" t="s">
        <v>52</v>
      </c>
      <c r="X208">
        <v>2024</v>
      </c>
      <c r="Y208" t="s">
        <v>91</v>
      </c>
      <c r="Z208" t="s">
        <v>64</v>
      </c>
    </row>
    <row r="209" spans="1:26">
      <c r="A209" t="s">
        <v>671</v>
      </c>
      <c r="B209" t="s">
        <v>66</v>
      </c>
      <c r="C209" t="s">
        <v>164</v>
      </c>
      <c r="D209" t="s">
        <v>29</v>
      </c>
      <c r="E209" t="s">
        <v>56</v>
      </c>
      <c r="F209" t="s">
        <v>46</v>
      </c>
      <c r="G209" t="s">
        <v>58</v>
      </c>
      <c r="H209">
        <v>5.7</v>
      </c>
      <c r="I209">
        <v>26.1</v>
      </c>
      <c r="J209" t="s">
        <v>33</v>
      </c>
      <c r="K209" t="s">
        <v>672</v>
      </c>
      <c r="L209" t="s">
        <v>60</v>
      </c>
      <c r="M209" t="s">
        <v>673</v>
      </c>
      <c r="N209" t="s">
        <v>71</v>
      </c>
      <c r="O209">
        <v>169</v>
      </c>
      <c r="P209" t="s">
        <v>89</v>
      </c>
      <c r="Q209">
        <v>2703</v>
      </c>
      <c r="R209">
        <v>0</v>
      </c>
      <c r="S209" t="s">
        <v>152</v>
      </c>
      <c r="T209" t="s">
        <v>136</v>
      </c>
      <c r="U209" t="s">
        <v>39</v>
      </c>
      <c r="V209" t="s">
        <v>52</v>
      </c>
      <c r="W209" t="s">
        <v>52</v>
      </c>
      <c r="X209">
        <v>2022</v>
      </c>
      <c r="Y209" t="s">
        <v>63</v>
      </c>
      <c r="Z209" t="s">
        <v>64</v>
      </c>
    </row>
    <row r="210" spans="1:26">
      <c r="A210" t="s">
        <v>674</v>
      </c>
      <c r="B210" t="s">
        <v>27</v>
      </c>
      <c r="C210" t="s">
        <v>28</v>
      </c>
      <c r="D210" t="s">
        <v>77</v>
      </c>
      <c r="E210" t="s">
        <v>168</v>
      </c>
      <c r="F210" t="s">
        <v>149</v>
      </c>
      <c r="G210" t="s">
        <v>58</v>
      </c>
      <c r="H210">
        <v>10.4</v>
      </c>
      <c r="I210">
        <v>20.6</v>
      </c>
      <c r="J210" t="s">
        <v>20</v>
      </c>
      <c r="K210" t="s">
        <v>675</v>
      </c>
      <c r="L210" t="s">
        <v>35</v>
      </c>
      <c r="M210" t="s">
        <v>676</v>
      </c>
      <c r="N210" t="s">
        <v>50</v>
      </c>
      <c r="O210">
        <v>31</v>
      </c>
      <c r="P210" t="s">
        <v>2265</v>
      </c>
      <c r="Q210">
        <v>0</v>
      </c>
      <c r="R210">
        <v>0</v>
      </c>
      <c r="S210" t="s">
        <v>2265</v>
      </c>
      <c r="T210" t="s">
        <v>136</v>
      </c>
      <c r="U210" t="s">
        <v>39</v>
      </c>
      <c r="V210" t="s">
        <v>52</v>
      </c>
      <c r="W210" t="s">
        <v>39</v>
      </c>
      <c r="X210">
        <v>2024</v>
      </c>
      <c r="Y210" t="s">
        <v>211</v>
      </c>
      <c r="Z210" t="s">
        <v>41</v>
      </c>
    </row>
    <row r="211" spans="1:26">
      <c r="A211" t="s">
        <v>677</v>
      </c>
      <c r="B211" t="s">
        <v>108</v>
      </c>
      <c r="C211" t="s">
        <v>164</v>
      </c>
      <c r="D211" t="s">
        <v>77</v>
      </c>
      <c r="E211" t="s">
        <v>216</v>
      </c>
      <c r="F211" t="s">
        <v>46</v>
      </c>
      <c r="G211" t="s">
        <v>58</v>
      </c>
      <c r="H211">
        <v>11.8</v>
      </c>
      <c r="I211">
        <v>31.3</v>
      </c>
      <c r="J211" t="s">
        <v>96</v>
      </c>
      <c r="K211" t="s">
        <v>678</v>
      </c>
      <c r="L211" t="s">
        <v>35</v>
      </c>
      <c r="M211" t="s">
        <v>679</v>
      </c>
      <c r="N211" t="s">
        <v>100</v>
      </c>
      <c r="O211">
        <v>88</v>
      </c>
      <c r="P211" t="s">
        <v>2265</v>
      </c>
      <c r="Q211">
        <v>0</v>
      </c>
      <c r="R211">
        <v>0</v>
      </c>
      <c r="S211" t="s">
        <v>2265</v>
      </c>
      <c r="T211" t="s">
        <v>136</v>
      </c>
      <c r="U211" t="s">
        <v>39</v>
      </c>
      <c r="V211" t="s">
        <v>52</v>
      </c>
      <c r="W211" t="s">
        <v>52</v>
      </c>
      <c r="X211">
        <v>2023</v>
      </c>
      <c r="Y211" t="s">
        <v>82</v>
      </c>
      <c r="Z211" t="s">
        <v>83</v>
      </c>
    </row>
    <row r="212" spans="1:26">
      <c r="A212" t="s">
        <v>680</v>
      </c>
      <c r="B212" t="s">
        <v>27</v>
      </c>
      <c r="C212" t="s">
        <v>164</v>
      </c>
      <c r="D212" t="s">
        <v>122</v>
      </c>
      <c r="E212" t="s">
        <v>123</v>
      </c>
      <c r="F212" t="s">
        <v>149</v>
      </c>
      <c r="G212" t="s">
        <v>58</v>
      </c>
      <c r="H212">
        <v>2.6</v>
      </c>
      <c r="I212">
        <v>27.2</v>
      </c>
      <c r="J212" t="s">
        <v>33</v>
      </c>
      <c r="K212" t="s">
        <v>681</v>
      </c>
      <c r="L212" t="s">
        <v>140</v>
      </c>
      <c r="M212" t="s">
        <v>682</v>
      </c>
      <c r="N212" t="s">
        <v>61</v>
      </c>
      <c r="O212">
        <v>116</v>
      </c>
      <c r="P212" t="s">
        <v>2265</v>
      </c>
      <c r="Q212">
        <v>0</v>
      </c>
      <c r="R212">
        <v>0</v>
      </c>
      <c r="S212" t="s">
        <v>2265</v>
      </c>
      <c r="T212" t="s">
        <v>136</v>
      </c>
      <c r="U212" t="s">
        <v>52</v>
      </c>
      <c r="V212" t="s">
        <v>52</v>
      </c>
      <c r="W212" t="s">
        <v>52</v>
      </c>
      <c r="X212">
        <v>2022</v>
      </c>
      <c r="Y212" t="s">
        <v>106</v>
      </c>
      <c r="Z212" t="s">
        <v>83</v>
      </c>
    </row>
    <row r="213" spans="1:26">
      <c r="A213" t="s">
        <v>683</v>
      </c>
      <c r="B213" t="s">
        <v>27</v>
      </c>
      <c r="C213" t="s">
        <v>102</v>
      </c>
      <c r="D213" t="s">
        <v>77</v>
      </c>
      <c r="E213" t="s">
        <v>94</v>
      </c>
      <c r="F213" t="s">
        <v>238</v>
      </c>
      <c r="G213" t="s">
        <v>58</v>
      </c>
      <c r="H213">
        <v>11.4</v>
      </c>
      <c r="I213">
        <v>31.3</v>
      </c>
      <c r="J213" t="s">
        <v>156</v>
      </c>
      <c r="K213" t="s">
        <v>681</v>
      </c>
      <c r="L213" t="s">
        <v>98</v>
      </c>
      <c r="M213" t="s">
        <v>684</v>
      </c>
      <c r="N213" t="s">
        <v>37</v>
      </c>
      <c r="O213">
        <v>10</v>
      </c>
      <c r="P213" t="s">
        <v>2265</v>
      </c>
      <c r="Q213">
        <v>0</v>
      </c>
      <c r="R213">
        <v>500</v>
      </c>
      <c r="S213" t="s">
        <v>2265</v>
      </c>
      <c r="T213" t="s">
        <v>81</v>
      </c>
      <c r="U213" t="s">
        <v>39</v>
      </c>
      <c r="V213" t="s">
        <v>52</v>
      </c>
      <c r="W213" t="s">
        <v>52</v>
      </c>
      <c r="X213">
        <v>2022</v>
      </c>
      <c r="Y213" t="s">
        <v>106</v>
      </c>
      <c r="Z213" t="s">
        <v>83</v>
      </c>
    </row>
    <row r="214" spans="1:26">
      <c r="A214" t="s">
        <v>685</v>
      </c>
      <c r="B214" t="s">
        <v>93</v>
      </c>
      <c r="C214" t="s">
        <v>173</v>
      </c>
      <c r="D214" t="s">
        <v>29</v>
      </c>
      <c r="E214" t="s">
        <v>45</v>
      </c>
      <c r="F214" t="s">
        <v>149</v>
      </c>
      <c r="G214" t="s">
        <v>32</v>
      </c>
      <c r="H214">
        <v>2.1</v>
      </c>
      <c r="I214">
        <v>28.9</v>
      </c>
      <c r="J214" t="s">
        <v>144</v>
      </c>
      <c r="K214" t="s">
        <v>686</v>
      </c>
      <c r="L214" t="s">
        <v>98</v>
      </c>
      <c r="M214" t="s">
        <v>687</v>
      </c>
      <c r="N214" t="s">
        <v>61</v>
      </c>
      <c r="O214">
        <v>99</v>
      </c>
      <c r="P214" t="s">
        <v>2265</v>
      </c>
      <c r="Q214">
        <v>0</v>
      </c>
      <c r="R214">
        <v>0</v>
      </c>
      <c r="S214" t="s">
        <v>2265</v>
      </c>
      <c r="T214" t="s">
        <v>81</v>
      </c>
      <c r="U214" t="s">
        <v>39</v>
      </c>
      <c r="V214" t="s">
        <v>52</v>
      </c>
      <c r="W214" t="s">
        <v>52</v>
      </c>
      <c r="X214">
        <v>2022</v>
      </c>
      <c r="Y214" t="s">
        <v>40</v>
      </c>
      <c r="Z214" t="s">
        <v>41</v>
      </c>
    </row>
    <row r="215" spans="1:26">
      <c r="A215" t="s">
        <v>688</v>
      </c>
      <c r="B215" t="s">
        <v>66</v>
      </c>
      <c r="C215" t="s">
        <v>76</v>
      </c>
      <c r="D215" t="s">
        <v>77</v>
      </c>
      <c r="E215" t="s">
        <v>216</v>
      </c>
      <c r="F215" t="s">
        <v>31</v>
      </c>
      <c r="G215" t="s">
        <v>58</v>
      </c>
      <c r="H215">
        <v>8.8000000000000007</v>
      </c>
      <c r="I215">
        <v>5</v>
      </c>
      <c r="J215" t="s">
        <v>33</v>
      </c>
      <c r="K215" t="s">
        <v>689</v>
      </c>
      <c r="L215" t="s">
        <v>60</v>
      </c>
      <c r="M215" t="s">
        <v>690</v>
      </c>
      <c r="N215" t="s">
        <v>37</v>
      </c>
      <c r="O215">
        <v>5</v>
      </c>
      <c r="P215" t="s">
        <v>2265</v>
      </c>
      <c r="Q215">
        <v>0</v>
      </c>
      <c r="R215">
        <v>0</v>
      </c>
      <c r="S215" t="s">
        <v>2265</v>
      </c>
      <c r="T215" t="s">
        <v>38</v>
      </c>
      <c r="U215" t="s">
        <v>52</v>
      </c>
      <c r="V215" t="s">
        <v>52</v>
      </c>
      <c r="W215" t="s">
        <v>52</v>
      </c>
      <c r="X215">
        <v>2024</v>
      </c>
      <c r="Y215" t="s">
        <v>74</v>
      </c>
      <c r="Z215" t="s">
        <v>54</v>
      </c>
    </row>
    <row r="216" spans="1:26">
      <c r="A216" t="s">
        <v>691</v>
      </c>
      <c r="B216" t="s">
        <v>66</v>
      </c>
      <c r="C216" t="s">
        <v>28</v>
      </c>
      <c r="D216" t="s">
        <v>29</v>
      </c>
      <c r="E216" t="s">
        <v>244</v>
      </c>
      <c r="F216" t="s">
        <v>57</v>
      </c>
      <c r="G216" t="s">
        <v>32</v>
      </c>
      <c r="H216">
        <v>7.9</v>
      </c>
      <c r="I216">
        <v>1.2</v>
      </c>
      <c r="J216" t="s">
        <v>144</v>
      </c>
      <c r="K216" t="s">
        <v>692</v>
      </c>
      <c r="L216" t="s">
        <v>35</v>
      </c>
      <c r="M216" t="s">
        <v>572</v>
      </c>
      <c r="N216" t="s">
        <v>71</v>
      </c>
      <c r="O216">
        <v>153</v>
      </c>
      <c r="P216" t="s">
        <v>105</v>
      </c>
      <c r="Q216">
        <v>4211</v>
      </c>
      <c r="R216">
        <v>0</v>
      </c>
      <c r="S216" t="s">
        <v>152</v>
      </c>
      <c r="T216" t="s">
        <v>136</v>
      </c>
      <c r="U216" t="s">
        <v>39</v>
      </c>
      <c r="V216" t="s">
        <v>39</v>
      </c>
      <c r="W216" t="s">
        <v>39</v>
      </c>
      <c r="X216">
        <v>2022</v>
      </c>
      <c r="Y216" t="s">
        <v>74</v>
      </c>
      <c r="Z216" t="s">
        <v>54</v>
      </c>
    </row>
    <row r="217" spans="1:26">
      <c r="A217" t="s">
        <v>693</v>
      </c>
      <c r="B217" t="s">
        <v>108</v>
      </c>
      <c r="C217" t="s">
        <v>28</v>
      </c>
      <c r="D217" t="s">
        <v>29</v>
      </c>
      <c r="E217" t="s">
        <v>117</v>
      </c>
      <c r="F217" t="s">
        <v>109</v>
      </c>
      <c r="G217" t="s">
        <v>58</v>
      </c>
      <c r="H217">
        <v>7.5</v>
      </c>
      <c r="I217">
        <v>24.7</v>
      </c>
      <c r="J217" t="s">
        <v>33</v>
      </c>
      <c r="K217" t="s">
        <v>694</v>
      </c>
      <c r="L217" t="s">
        <v>35</v>
      </c>
      <c r="M217" t="s">
        <v>494</v>
      </c>
      <c r="N217" t="s">
        <v>61</v>
      </c>
      <c r="O217">
        <v>170</v>
      </c>
      <c r="P217" t="s">
        <v>2265</v>
      </c>
      <c r="Q217">
        <v>0</v>
      </c>
      <c r="R217">
        <v>0</v>
      </c>
      <c r="S217" t="s">
        <v>2265</v>
      </c>
      <c r="T217" t="s">
        <v>38</v>
      </c>
      <c r="U217" t="s">
        <v>52</v>
      </c>
      <c r="V217" t="s">
        <v>39</v>
      </c>
      <c r="W217" t="s">
        <v>52</v>
      </c>
      <c r="X217">
        <v>2022</v>
      </c>
      <c r="Y217" t="s">
        <v>40</v>
      </c>
      <c r="Z217" t="s">
        <v>41</v>
      </c>
    </row>
    <row r="218" spans="1:26">
      <c r="A218" t="s">
        <v>695</v>
      </c>
      <c r="B218" t="s">
        <v>116</v>
      </c>
      <c r="C218" t="s">
        <v>121</v>
      </c>
      <c r="D218" t="s">
        <v>29</v>
      </c>
      <c r="E218" t="s">
        <v>195</v>
      </c>
      <c r="F218" t="s">
        <v>124</v>
      </c>
      <c r="G218" t="s">
        <v>32</v>
      </c>
      <c r="H218">
        <v>8.5</v>
      </c>
      <c r="I218">
        <v>10.7</v>
      </c>
      <c r="J218" t="s">
        <v>33</v>
      </c>
      <c r="K218" t="s">
        <v>696</v>
      </c>
      <c r="L218" t="s">
        <v>48</v>
      </c>
      <c r="M218" t="s">
        <v>127</v>
      </c>
      <c r="N218" t="s">
        <v>171</v>
      </c>
      <c r="O218">
        <v>52</v>
      </c>
      <c r="P218" t="s">
        <v>2265</v>
      </c>
      <c r="Q218">
        <v>0</v>
      </c>
      <c r="R218">
        <v>0</v>
      </c>
      <c r="S218" t="s">
        <v>2265</v>
      </c>
      <c r="T218" t="s">
        <v>38</v>
      </c>
      <c r="U218" t="s">
        <v>39</v>
      </c>
      <c r="V218" t="s">
        <v>52</v>
      </c>
      <c r="W218" t="s">
        <v>39</v>
      </c>
      <c r="X218">
        <v>2024</v>
      </c>
      <c r="Y218" t="s">
        <v>63</v>
      </c>
      <c r="Z218" t="s">
        <v>64</v>
      </c>
    </row>
    <row r="219" spans="1:26">
      <c r="A219" t="s">
        <v>697</v>
      </c>
      <c r="B219" t="s">
        <v>93</v>
      </c>
      <c r="C219" t="s">
        <v>102</v>
      </c>
      <c r="D219" t="s">
        <v>29</v>
      </c>
      <c r="E219" t="s">
        <v>195</v>
      </c>
      <c r="F219" t="s">
        <v>149</v>
      </c>
      <c r="G219" t="s">
        <v>32</v>
      </c>
      <c r="H219">
        <v>1</v>
      </c>
      <c r="I219">
        <v>25.5</v>
      </c>
      <c r="J219" t="s">
        <v>33</v>
      </c>
      <c r="K219" t="s">
        <v>406</v>
      </c>
      <c r="L219" t="s">
        <v>126</v>
      </c>
      <c r="M219" t="s">
        <v>698</v>
      </c>
      <c r="N219" t="s">
        <v>71</v>
      </c>
      <c r="O219">
        <v>39</v>
      </c>
      <c r="P219" t="s">
        <v>230</v>
      </c>
      <c r="Q219">
        <v>4692</v>
      </c>
      <c r="R219">
        <v>1000</v>
      </c>
      <c r="S219" t="s">
        <v>73</v>
      </c>
      <c r="T219" t="s">
        <v>81</v>
      </c>
      <c r="U219" t="s">
        <v>39</v>
      </c>
      <c r="V219" t="s">
        <v>52</v>
      </c>
      <c r="W219" t="s">
        <v>52</v>
      </c>
      <c r="X219">
        <v>2024</v>
      </c>
      <c r="Y219" t="s">
        <v>91</v>
      </c>
      <c r="Z219" t="s">
        <v>64</v>
      </c>
    </row>
    <row r="220" spans="1:26">
      <c r="A220" t="s">
        <v>699</v>
      </c>
      <c r="B220" t="s">
        <v>93</v>
      </c>
      <c r="C220" t="s">
        <v>67</v>
      </c>
      <c r="D220" t="s">
        <v>122</v>
      </c>
      <c r="E220" t="s">
        <v>130</v>
      </c>
      <c r="F220" t="s">
        <v>149</v>
      </c>
      <c r="G220" t="s">
        <v>32</v>
      </c>
      <c r="H220">
        <v>1.7</v>
      </c>
      <c r="I220">
        <v>22.8</v>
      </c>
      <c r="J220" t="s">
        <v>156</v>
      </c>
      <c r="K220" t="s">
        <v>513</v>
      </c>
      <c r="L220" t="s">
        <v>35</v>
      </c>
      <c r="M220" t="s">
        <v>700</v>
      </c>
      <c r="N220" t="s">
        <v>71</v>
      </c>
      <c r="O220">
        <v>25</v>
      </c>
      <c r="P220" t="s">
        <v>72</v>
      </c>
      <c r="Q220">
        <v>539</v>
      </c>
      <c r="R220">
        <v>5000</v>
      </c>
      <c r="S220" t="s">
        <v>152</v>
      </c>
      <c r="T220" t="s">
        <v>81</v>
      </c>
      <c r="U220" t="s">
        <v>39</v>
      </c>
      <c r="V220" t="s">
        <v>52</v>
      </c>
      <c r="W220" t="s">
        <v>52</v>
      </c>
      <c r="X220">
        <v>2022</v>
      </c>
      <c r="Y220" t="s">
        <v>211</v>
      </c>
      <c r="Z220" t="s">
        <v>41</v>
      </c>
    </row>
    <row r="221" spans="1:26">
      <c r="A221" t="s">
        <v>701</v>
      </c>
      <c r="B221" t="s">
        <v>116</v>
      </c>
      <c r="C221" t="s">
        <v>164</v>
      </c>
      <c r="D221" t="s">
        <v>77</v>
      </c>
      <c r="E221" t="s">
        <v>168</v>
      </c>
      <c r="F221" t="s">
        <v>238</v>
      </c>
      <c r="G221" t="s">
        <v>58</v>
      </c>
      <c r="H221">
        <v>7.8</v>
      </c>
      <c r="I221">
        <v>28</v>
      </c>
      <c r="J221" t="s">
        <v>33</v>
      </c>
      <c r="K221" t="s">
        <v>702</v>
      </c>
      <c r="L221" t="s">
        <v>126</v>
      </c>
      <c r="M221" t="s">
        <v>590</v>
      </c>
      <c r="N221" t="s">
        <v>50</v>
      </c>
      <c r="O221">
        <v>177</v>
      </c>
      <c r="P221" t="s">
        <v>2265</v>
      </c>
      <c r="Q221">
        <v>0</v>
      </c>
      <c r="R221">
        <v>1000</v>
      </c>
      <c r="S221" t="s">
        <v>2265</v>
      </c>
      <c r="T221" t="s">
        <v>62</v>
      </c>
      <c r="U221" t="s">
        <v>52</v>
      </c>
      <c r="V221" t="s">
        <v>52</v>
      </c>
      <c r="W221" t="s">
        <v>52</v>
      </c>
      <c r="X221">
        <v>2024</v>
      </c>
      <c r="Y221" t="s">
        <v>82</v>
      </c>
      <c r="Z221" t="s">
        <v>83</v>
      </c>
    </row>
    <row r="222" spans="1:26">
      <c r="A222" t="s">
        <v>703</v>
      </c>
      <c r="B222" t="s">
        <v>108</v>
      </c>
      <c r="C222" t="s">
        <v>121</v>
      </c>
      <c r="D222" t="s">
        <v>77</v>
      </c>
      <c r="E222" t="s">
        <v>94</v>
      </c>
      <c r="F222" t="s">
        <v>238</v>
      </c>
      <c r="G222" t="s">
        <v>58</v>
      </c>
      <c r="H222">
        <v>11.1</v>
      </c>
      <c r="I222">
        <v>4.4000000000000004</v>
      </c>
      <c r="J222" t="s">
        <v>33</v>
      </c>
      <c r="K222" t="s">
        <v>285</v>
      </c>
      <c r="L222" t="s">
        <v>98</v>
      </c>
      <c r="M222" t="s">
        <v>704</v>
      </c>
      <c r="N222" t="s">
        <v>71</v>
      </c>
      <c r="O222">
        <v>157</v>
      </c>
      <c r="P222" t="s">
        <v>72</v>
      </c>
      <c r="Q222">
        <v>4070</v>
      </c>
      <c r="R222">
        <v>500</v>
      </c>
      <c r="S222" t="s">
        <v>73</v>
      </c>
      <c r="T222" t="s">
        <v>62</v>
      </c>
      <c r="U222" t="s">
        <v>39</v>
      </c>
      <c r="V222" t="s">
        <v>52</v>
      </c>
      <c r="W222" t="s">
        <v>52</v>
      </c>
      <c r="X222">
        <v>2024</v>
      </c>
      <c r="Y222" t="s">
        <v>106</v>
      </c>
      <c r="Z222" t="s">
        <v>83</v>
      </c>
    </row>
    <row r="223" spans="1:26">
      <c r="A223" t="s">
        <v>705</v>
      </c>
      <c r="B223" t="s">
        <v>108</v>
      </c>
      <c r="C223" t="s">
        <v>164</v>
      </c>
      <c r="D223" t="s">
        <v>29</v>
      </c>
      <c r="E223" t="s">
        <v>244</v>
      </c>
      <c r="F223" t="s">
        <v>109</v>
      </c>
      <c r="G223" t="s">
        <v>58</v>
      </c>
      <c r="H223">
        <v>4.2</v>
      </c>
      <c r="I223">
        <v>23.8</v>
      </c>
      <c r="J223" t="s">
        <v>33</v>
      </c>
      <c r="K223" t="s">
        <v>706</v>
      </c>
      <c r="L223" t="s">
        <v>98</v>
      </c>
      <c r="M223" t="s">
        <v>707</v>
      </c>
      <c r="N223" t="s">
        <v>37</v>
      </c>
      <c r="O223">
        <v>111</v>
      </c>
      <c r="P223" t="s">
        <v>2265</v>
      </c>
      <c r="Q223">
        <v>0</v>
      </c>
      <c r="R223">
        <v>1000</v>
      </c>
      <c r="S223" t="s">
        <v>2265</v>
      </c>
      <c r="T223" t="s">
        <v>81</v>
      </c>
      <c r="U223" t="s">
        <v>52</v>
      </c>
      <c r="V223" t="s">
        <v>52</v>
      </c>
      <c r="W223" t="s">
        <v>52</v>
      </c>
      <c r="X223">
        <v>2022</v>
      </c>
      <c r="Y223" t="s">
        <v>40</v>
      </c>
      <c r="Z223" t="s">
        <v>41</v>
      </c>
    </row>
    <row r="224" spans="1:26">
      <c r="A224" t="s">
        <v>708</v>
      </c>
      <c r="B224" t="s">
        <v>43</v>
      </c>
      <c r="C224" t="s">
        <v>44</v>
      </c>
      <c r="D224" t="s">
        <v>29</v>
      </c>
      <c r="E224" t="s">
        <v>195</v>
      </c>
      <c r="F224" t="s">
        <v>57</v>
      </c>
      <c r="G224" t="s">
        <v>58</v>
      </c>
      <c r="H224">
        <v>11.6</v>
      </c>
      <c r="I224">
        <v>2.2000000000000002</v>
      </c>
      <c r="J224" t="s">
        <v>33</v>
      </c>
      <c r="K224" t="s">
        <v>709</v>
      </c>
      <c r="L224" t="s">
        <v>126</v>
      </c>
      <c r="M224" t="s">
        <v>710</v>
      </c>
      <c r="N224" t="s">
        <v>37</v>
      </c>
      <c r="O224">
        <v>83</v>
      </c>
      <c r="P224" t="s">
        <v>2265</v>
      </c>
      <c r="Q224">
        <v>0</v>
      </c>
      <c r="R224">
        <v>500</v>
      </c>
      <c r="S224" t="s">
        <v>2265</v>
      </c>
      <c r="T224" t="s">
        <v>136</v>
      </c>
      <c r="U224" t="s">
        <v>52</v>
      </c>
      <c r="V224" t="s">
        <v>39</v>
      </c>
      <c r="W224" t="s">
        <v>52</v>
      </c>
      <c r="X224">
        <v>2024</v>
      </c>
      <c r="Y224" t="s">
        <v>91</v>
      </c>
      <c r="Z224" t="s">
        <v>64</v>
      </c>
    </row>
    <row r="225" spans="1:26">
      <c r="A225" t="s">
        <v>711</v>
      </c>
      <c r="B225" t="s">
        <v>116</v>
      </c>
      <c r="C225" t="s">
        <v>28</v>
      </c>
      <c r="D225" t="s">
        <v>77</v>
      </c>
      <c r="E225" t="s">
        <v>260</v>
      </c>
      <c r="F225" t="s">
        <v>31</v>
      </c>
      <c r="G225" t="s">
        <v>32</v>
      </c>
      <c r="H225">
        <v>5</v>
      </c>
      <c r="I225">
        <v>19.7</v>
      </c>
      <c r="J225" t="s">
        <v>20</v>
      </c>
      <c r="K225" t="s">
        <v>712</v>
      </c>
      <c r="L225" t="s">
        <v>140</v>
      </c>
      <c r="M225" t="s">
        <v>713</v>
      </c>
      <c r="N225" t="s">
        <v>71</v>
      </c>
      <c r="O225">
        <v>128</v>
      </c>
      <c r="P225" t="s">
        <v>89</v>
      </c>
      <c r="Q225">
        <v>3840</v>
      </c>
      <c r="R225">
        <v>500</v>
      </c>
      <c r="S225" t="s">
        <v>90</v>
      </c>
      <c r="T225" t="s">
        <v>51</v>
      </c>
      <c r="U225" t="s">
        <v>39</v>
      </c>
      <c r="V225" t="s">
        <v>39</v>
      </c>
      <c r="W225" t="s">
        <v>52</v>
      </c>
      <c r="X225">
        <v>2022</v>
      </c>
      <c r="Y225" t="s">
        <v>114</v>
      </c>
      <c r="Z225" t="s">
        <v>41</v>
      </c>
    </row>
    <row r="226" spans="1:26">
      <c r="A226" t="s">
        <v>714</v>
      </c>
      <c r="B226" t="s">
        <v>66</v>
      </c>
      <c r="C226" t="s">
        <v>102</v>
      </c>
      <c r="D226" t="s">
        <v>77</v>
      </c>
      <c r="E226" t="s">
        <v>260</v>
      </c>
      <c r="F226" t="s">
        <v>238</v>
      </c>
      <c r="G226" t="s">
        <v>32</v>
      </c>
      <c r="H226">
        <v>8.6</v>
      </c>
      <c r="I226">
        <v>4.4000000000000004</v>
      </c>
      <c r="J226" t="s">
        <v>33</v>
      </c>
      <c r="K226" t="s">
        <v>276</v>
      </c>
      <c r="L226" t="s">
        <v>98</v>
      </c>
      <c r="M226" t="s">
        <v>127</v>
      </c>
      <c r="N226" t="s">
        <v>171</v>
      </c>
      <c r="O226">
        <v>169</v>
      </c>
      <c r="P226" t="s">
        <v>2265</v>
      </c>
      <c r="Q226">
        <v>0</v>
      </c>
      <c r="R226">
        <v>0</v>
      </c>
      <c r="S226" t="s">
        <v>2265</v>
      </c>
      <c r="T226" t="s">
        <v>51</v>
      </c>
      <c r="U226" t="s">
        <v>39</v>
      </c>
      <c r="V226" t="s">
        <v>52</v>
      </c>
      <c r="W226" t="s">
        <v>39</v>
      </c>
      <c r="X226">
        <v>2024</v>
      </c>
      <c r="Y226" t="s">
        <v>211</v>
      </c>
      <c r="Z226" t="s">
        <v>41</v>
      </c>
    </row>
    <row r="227" spans="1:26">
      <c r="A227" t="s">
        <v>715</v>
      </c>
      <c r="B227" t="s">
        <v>43</v>
      </c>
      <c r="C227" t="s">
        <v>28</v>
      </c>
      <c r="D227" t="s">
        <v>77</v>
      </c>
      <c r="E227" t="s">
        <v>216</v>
      </c>
      <c r="F227" t="s">
        <v>57</v>
      </c>
      <c r="G227" t="s">
        <v>58</v>
      </c>
      <c r="H227">
        <v>1.4</v>
      </c>
      <c r="I227">
        <v>21.6</v>
      </c>
      <c r="J227" t="s">
        <v>144</v>
      </c>
      <c r="K227" t="s">
        <v>246</v>
      </c>
      <c r="L227" t="s">
        <v>48</v>
      </c>
      <c r="M227" t="s">
        <v>716</v>
      </c>
      <c r="N227" t="s">
        <v>100</v>
      </c>
      <c r="O227">
        <v>36</v>
      </c>
      <c r="P227" t="s">
        <v>2265</v>
      </c>
      <c r="Q227">
        <v>0</v>
      </c>
      <c r="R227">
        <v>0</v>
      </c>
      <c r="S227" t="s">
        <v>2265</v>
      </c>
      <c r="T227" t="s">
        <v>51</v>
      </c>
      <c r="U227" t="s">
        <v>39</v>
      </c>
      <c r="V227" t="s">
        <v>52</v>
      </c>
      <c r="W227" t="s">
        <v>39</v>
      </c>
      <c r="X227">
        <v>2024</v>
      </c>
      <c r="Y227" t="s">
        <v>91</v>
      </c>
      <c r="Z227" t="s">
        <v>64</v>
      </c>
    </row>
    <row r="228" spans="1:26">
      <c r="A228" t="s">
        <v>717</v>
      </c>
      <c r="B228" t="s">
        <v>108</v>
      </c>
      <c r="C228" t="s">
        <v>121</v>
      </c>
      <c r="D228" t="s">
        <v>77</v>
      </c>
      <c r="E228" t="s">
        <v>143</v>
      </c>
      <c r="F228" t="s">
        <v>109</v>
      </c>
      <c r="G228" t="s">
        <v>58</v>
      </c>
      <c r="H228">
        <v>6.4</v>
      </c>
      <c r="I228">
        <v>2.2000000000000002</v>
      </c>
      <c r="J228" t="s">
        <v>156</v>
      </c>
      <c r="K228" t="s">
        <v>233</v>
      </c>
      <c r="L228" t="s">
        <v>140</v>
      </c>
      <c r="M228" t="s">
        <v>718</v>
      </c>
      <c r="N228" t="s">
        <v>71</v>
      </c>
      <c r="O228">
        <v>118</v>
      </c>
      <c r="P228" t="s">
        <v>89</v>
      </c>
      <c r="Q228">
        <v>7086</v>
      </c>
      <c r="R228">
        <v>0</v>
      </c>
      <c r="S228" t="s">
        <v>113</v>
      </c>
      <c r="T228" t="s">
        <v>38</v>
      </c>
      <c r="U228" t="s">
        <v>52</v>
      </c>
      <c r="V228" t="s">
        <v>52</v>
      </c>
      <c r="W228" t="s">
        <v>52</v>
      </c>
      <c r="X228">
        <v>2024</v>
      </c>
      <c r="Y228" t="s">
        <v>40</v>
      </c>
      <c r="Z228" t="s">
        <v>41</v>
      </c>
    </row>
    <row r="229" spans="1:26">
      <c r="A229" t="s">
        <v>719</v>
      </c>
      <c r="B229" t="s">
        <v>93</v>
      </c>
      <c r="C229" t="s">
        <v>121</v>
      </c>
      <c r="D229" t="s">
        <v>29</v>
      </c>
      <c r="E229" t="s">
        <v>117</v>
      </c>
      <c r="F229" t="s">
        <v>68</v>
      </c>
      <c r="G229" t="s">
        <v>58</v>
      </c>
      <c r="H229">
        <v>4.8</v>
      </c>
      <c r="I229">
        <v>12.3</v>
      </c>
      <c r="J229" t="s">
        <v>144</v>
      </c>
      <c r="K229" t="s">
        <v>644</v>
      </c>
      <c r="L229" t="s">
        <v>140</v>
      </c>
      <c r="M229" t="s">
        <v>720</v>
      </c>
      <c r="N229" t="s">
        <v>37</v>
      </c>
      <c r="O229">
        <v>156</v>
      </c>
      <c r="P229" t="s">
        <v>2265</v>
      </c>
      <c r="Q229">
        <v>0</v>
      </c>
      <c r="R229">
        <v>500</v>
      </c>
      <c r="S229" t="s">
        <v>2265</v>
      </c>
      <c r="T229" t="s">
        <v>62</v>
      </c>
      <c r="U229" t="s">
        <v>39</v>
      </c>
      <c r="V229" t="s">
        <v>52</v>
      </c>
      <c r="W229" t="s">
        <v>52</v>
      </c>
      <c r="X229">
        <v>2024</v>
      </c>
      <c r="Y229" t="s">
        <v>53</v>
      </c>
      <c r="Z229" t="s">
        <v>54</v>
      </c>
    </row>
    <row r="230" spans="1:26">
      <c r="A230" t="s">
        <v>721</v>
      </c>
      <c r="B230" t="s">
        <v>43</v>
      </c>
      <c r="C230" t="s">
        <v>164</v>
      </c>
      <c r="D230" t="s">
        <v>29</v>
      </c>
      <c r="E230" t="s">
        <v>94</v>
      </c>
      <c r="F230" t="s">
        <v>109</v>
      </c>
      <c r="G230" t="s">
        <v>32</v>
      </c>
      <c r="H230">
        <v>8.3000000000000007</v>
      </c>
      <c r="I230">
        <v>32.299999999999997</v>
      </c>
      <c r="J230" t="s">
        <v>156</v>
      </c>
      <c r="K230" t="s">
        <v>193</v>
      </c>
      <c r="L230" t="s">
        <v>35</v>
      </c>
      <c r="M230" t="s">
        <v>518</v>
      </c>
      <c r="N230" t="s">
        <v>37</v>
      </c>
      <c r="O230">
        <v>52</v>
      </c>
      <c r="P230" t="s">
        <v>2265</v>
      </c>
      <c r="Q230">
        <v>0</v>
      </c>
      <c r="R230">
        <v>500</v>
      </c>
      <c r="S230" t="s">
        <v>2265</v>
      </c>
      <c r="T230" t="s">
        <v>51</v>
      </c>
      <c r="U230" t="s">
        <v>52</v>
      </c>
      <c r="V230" t="s">
        <v>52</v>
      </c>
      <c r="W230" t="s">
        <v>52</v>
      </c>
      <c r="X230">
        <v>2023</v>
      </c>
      <c r="Y230" t="s">
        <v>312</v>
      </c>
      <c r="Z230" t="s">
        <v>83</v>
      </c>
    </row>
    <row r="231" spans="1:26">
      <c r="A231" t="s">
        <v>722</v>
      </c>
      <c r="B231" t="s">
        <v>43</v>
      </c>
      <c r="C231" t="s">
        <v>173</v>
      </c>
      <c r="D231" t="s">
        <v>29</v>
      </c>
      <c r="E231" t="s">
        <v>56</v>
      </c>
      <c r="F231" t="s">
        <v>68</v>
      </c>
      <c r="G231" t="s">
        <v>32</v>
      </c>
      <c r="H231">
        <v>1.8</v>
      </c>
      <c r="I231">
        <v>23.6</v>
      </c>
      <c r="J231" t="s">
        <v>156</v>
      </c>
      <c r="K231" t="s">
        <v>723</v>
      </c>
      <c r="L231" t="s">
        <v>60</v>
      </c>
      <c r="M231" t="s">
        <v>724</v>
      </c>
      <c r="N231" t="s">
        <v>71</v>
      </c>
      <c r="O231">
        <v>4</v>
      </c>
      <c r="P231" t="s">
        <v>89</v>
      </c>
      <c r="Q231">
        <v>1603</v>
      </c>
      <c r="R231">
        <v>500</v>
      </c>
      <c r="S231" t="s">
        <v>73</v>
      </c>
      <c r="T231" t="s">
        <v>51</v>
      </c>
      <c r="U231" t="s">
        <v>39</v>
      </c>
      <c r="V231" t="s">
        <v>52</v>
      </c>
      <c r="W231" t="s">
        <v>39</v>
      </c>
      <c r="X231">
        <v>2024</v>
      </c>
      <c r="Y231" t="s">
        <v>53</v>
      </c>
      <c r="Z231" t="s">
        <v>54</v>
      </c>
    </row>
    <row r="232" spans="1:26">
      <c r="A232" t="s">
        <v>725</v>
      </c>
      <c r="B232" t="s">
        <v>66</v>
      </c>
      <c r="C232" t="s">
        <v>173</v>
      </c>
      <c r="D232" t="s">
        <v>122</v>
      </c>
      <c r="E232" t="s">
        <v>130</v>
      </c>
      <c r="F232" t="s">
        <v>238</v>
      </c>
      <c r="G232" t="s">
        <v>32</v>
      </c>
      <c r="H232">
        <v>2.9</v>
      </c>
      <c r="I232">
        <v>27.6</v>
      </c>
      <c r="J232" t="s">
        <v>144</v>
      </c>
      <c r="K232" t="s">
        <v>726</v>
      </c>
      <c r="L232" t="s">
        <v>126</v>
      </c>
      <c r="M232" t="s">
        <v>175</v>
      </c>
      <c r="N232" t="s">
        <v>37</v>
      </c>
      <c r="O232">
        <v>158</v>
      </c>
      <c r="P232" t="s">
        <v>2265</v>
      </c>
      <c r="Q232">
        <v>0</v>
      </c>
      <c r="R232">
        <v>1000</v>
      </c>
      <c r="S232" t="s">
        <v>2265</v>
      </c>
      <c r="T232" t="s">
        <v>51</v>
      </c>
      <c r="U232" t="s">
        <v>39</v>
      </c>
      <c r="V232" t="s">
        <v>39</v>
      </c>
      <c r="W232" t="s">
        <v>52</v>
      </c>
      <c r="X232">
        <v>2022</v>
      </c>
      <c r="Y232" t="s">
        <v>40</v>
      </c>
      <c r="Z232" t="s">
        <v>41</v>
      </c>
    </row>
    <row r="233" spans="1:26">
      <c r="A233" t="s">
        <v>727</v>
      </c>
      <c r="B233" t="s">
        <v>27</v>
      </c>
      <c r="C233" t="s">
        <v>102</v>
      </c>
      <c r="D233" t="s">
        <v>77</v>
      </c>
      <c r="E233" t="s">
        <v>78</v>
      </c>
      <c r="F233" t="s">
        <v>124</v>
      </c>
      <c r="G233" t="s">
        <v>32</v>
      </c>
      <c r="H233">
        <v>9.1</v>
      </c>
      <c r="I233">
        <v>19.399999999999999</v>
      </c>
      <c r="J233" t="s">
        <v>144</v>
      </c>
      <c r="K233" t="s">
        <v>585</v>
      </c>
      <c r="L233" t="s">
        <v>48</v>
      </c>
      <c r="M233" t="s">
        <v>728</v>
      </c>
      <c r="N233" t="s">
        <v>171</v>
      </c>
      <c r="O233">
        <v>163</v>
      </c>
      <c r="P233" t="s">
        <v>2265</v>
      </c>
      <c r="Q233">
        <v>0</v>
      </c>
      <c r="R233">
        <v>0</v>
      </c>
      <c r="S233" t="s">
        <v>2265</v>
      </c>
      <c r="T233" t="s">
        <v>38</v>
      </c>
      <c r="U233" t="s">
        <v>39</v>
      </c>
      <c r="V233" t="s">
        <v>39</v>
      </c>
      <c r="W233" t="s">
        <v>39</v>
      </c>
      <c r="X233">
        <v>2023</v>
      </c>
      <c r="Y233" t="s">
        <v>74</v>
      </c>
      <c r="Z233" t="s">
        <v>54</v>
      </c>
    </row>
    <row r="234" spans="1:26">
      <c r="A234" t="s">
        <v>729</v>
      </c>
      <c r="B234" t="s">
        <v>93</v>
      </c>
      <c r="C234" t="s">
        <v>76</v>
      </c>
      <c r="D234" t="s">
        <v>85</v>
      </c>
      <c r="E234" t="s">
        <v>174</v>
      </c>
      <c r="F234" t="s">
        <v>46</v>
      </c>
      <c r="G234" t="s">
        <v>32</v>
      </c>
      <c r="H234">
        <v>1.6</v>
      </c>
      <c r="I234">
        <v>20.6</v>
      </c>
      <c r="J234" t="s">
        <v>156</v>
      </c>
      <c r="K234" t="s">
        <v>119</v>
      </c>
      <c r="L234" t="s">
        <v>48</v>
      </c>
      <c r="M234" t="s">
        <v>675</v>
      </c>
      <c r="N234" t="s">
        <v>61</v>
      </c>
      <c r="O234">
        <v>72</v>
      </c>
      <c r="P234" t="s">
        <v>2265</v>
      </c>
      <c r="Q234">
        <v>0</v>
      </c>
      <c r="R234">
        <v>0</v>
      </c>
      <c r="S234" t="s">
        <v>2265</v>
      </c>
      <c r="T234" t="s">
        <v>38</v>
      </c>
      <c r="U234" t="s">
        <v>39</v>
      </c>
      <c r="V234" t="s">
        <v>52</v>
      </c>
      <c r="W234" t="s">
        <v>39</v>
      </c>
      <c r="X234">
        <v>2024</v>
      </c>
      <c r="Y234" t="s">
        <v>53</v>
      </c>
      <c r="Z234" t="s">
        <v>54</v>
      </c>
    </row>
    <row r="235" spans="1:26">
      <c r="A235" t="s">
        <v>730</v>
      </c>
      <c r="B235" t="s">
        <v>27</v>
      </c>
      <c r="C235" t="s">
        <v>102</v>
      </c>
      <c r="D235" t="s">
        <v>77</v>
      </c>
      <c r="E235" t="s">
        <v>168</v>
      </c>
      <c r="F235" t="s">
        <v>68</v>
      </c>
      <c r="G235" t="s">
        <v>58</v>
      </c>
      <c r="H235">
        <v>1</v>
      </c>
      <c r="I235">
        <v>24.9</v>
      </c>
      <c r="J235" t="s">
        <v>96</v>
      </c>
      <c r="K235" t="s">
        <v>731</v>
      </c>
      <c r="L235" t="s">
        <v>140</v>
      </c>
      <c r="M235" t="s">
        <v>127</v>
      </c>
      <c r="N235" t="s">
        <v>171</v>
      </c>
      <c r="O235">
        <v>147</v>
      </c>
      <c r="P235" t="s">
        <v>2265</v>
      </c>
      <c r="Q235">
        <v>0</v>
      </c>
      <c r="R235">
        <v>0</v>
      </c>
      <c r="S235" t="s">
        <v>2265</v>
      </c>
      <c r="T235" t="s">
        <v>81</v>
      </c>
      <c r="U235" t="s">
        <v>52</v>
      </c>
      <c r="V235" t="s">
        <v>52</v>
      </c>
      <c r="W235" t="s">
        <v>52</v>
      </c>
      <c r="X235">
        <v>2024</v>
      </c>
      <c r="Y235" t="s">
        <v>91</v>
      </c>
      <c r="Z235" t="s">
        <v>64</v>
      </c>
    </row>
    <row r="236" spans="1:26">
      <c r="A236" t="s">
        <v>732</v>
      </c>
      <c r="B236" t="s">
        <v>27</v>
      </c>
      <c r="C236" t="s">
        <v>121</v>
      </c>
      <c r="D236" t="s">
        <v>29</v>
      </c>
      <c r="E236" t="s">
        <v>56</v>
      </c>
      <c r="F236" t="s">
        <v>109</v>
      </c>
      <c r="G236" t="s">
        <v>58</v>
      </c>
      <c r="H236">
        <v>4</v>
      </c>
      <c r="I236">
        <v>10.6</v>
      </c>
      <c r="J236" t="s">
        <v>33</v>
      </c>
      <c r="K236" t="s">
        <v>176</v>
      </c>
      <c r="L236" t="s">
        <v>98</v>
      </c>
      <c r="M236" t="s">
        <v>733</v>
      </c>
      <c r="N236" t="s">
        <v>171</v>
      </c>
      <c r="O236">
        <v>55</v>
      </c>
      <c r="P236" t="s">
        <v>2265</v>
      </c>
      <c r="Q236">
        <v>0</v>
      </c>
      <c r="R236">
        <v>0</v>
      </c>
      <c r="S236" t="s">
        <v>2265</v>
      </c>
      <c r="T236" t="s">
        <v>51</v>
      </c>
      <c r="U236" t="s">
        <v>52</v>
      </c>
      <c r="V236" t="s">
        <v>39</v>
      </c>
      <c r="W236" t="s">
        <v>52</v>
      </c>
      <c r="X236">
        <v>2023</v>
      </c>
      <c r="Y236" t="s">
        <v>312</v>
      </c>
      <c r="Z236" t="s">
        <v>83</v>
      </c>
    </row>
    <row r="237" spans="1:26">
      <c r="A237" t="s">
        <v>734</v>
      </c>
      <c r="B237" t="s">
        <v>116</v>
      </c>
      <c r="C237" t="s">
        <v>67</v>
      </c>
      <c r="D237" t="s">
        <v>77</v>
      </c>
      <c r="E237" t="s">
        <v>260</v>
      </c>
      <c r="F237" t="s">
        <v>109</v>
      </c>
      <c r="G237" t="s">
        <v>32</v>
      </c>
      <c r="H237">
        <v>3.2</v>
      </c>
      <c r="I237">
        <v>25.5</v>
      </c>
      <c r="J237" t="s">
        <v>144</v>
      </c>
      <c r="K237" t="s">
        <v>735</v>
      </c>
      <c r="L237" t="s">
        <v>35</v>
      </c>
      <c r="M237" t="s">
        <v>736</v>
      </c>
      <c r="N237" t="s">
        <v>100</v>
      </c>
      <c r="O237">
        <v>30</v>
      </c>
      <c r="P237" t="s">
        <v>2265</v>
      </c>
      <c r="Q237">
        <v>0</v>
      </c>
      <c r="R237">
        <v>0</v>
      </c>
      <c r="S237" t="s">
        <v>2265</v>
      </c>
      <c r="T237" t="s">
        <v>51</v>
      </c>
      <c r="U237" t="s">
        <v>39</v>
      </c>
      <c r="V237" t="s">
        <v>52</v>
      </c>
      <c r="W237" t="s">
        <v>39</v>
      </c>
      <c r="X237">
        <v>2024</v>
      </c>
      <c r="Y237" t="s">
        <v>82</v>
      </c>
      <c r="Z237" t="s">
        <v>83</v>
      </c>
    </row>
    <row r="238" spans="1:26">
      <c r="A238" t="s">
        <v>737</v>
      </c>
      <c r="B238" t="s">
        <v>66</v>
      </c>
      <c r="C238" t="s">
        <v>44</v>
      </c>
      <c r="D238" t="s">
        <v>29</v>
      </c>
      <c r="E238" t="s">
        <v>45</v>
      </c>
      <c r="F238" t="s">
        <v>95</v>
      </c>
      <c r="G238" t="s">
        <v>58</v>
      </c>
      <c r="H238">
        <v>7.6</v>
      </c>
      <c r="I238">
        <v>7.9</v>
      </c>
      <c r="J238" t="s">
        <v>20</v>
      </c>
      <c r="K238" t="s">
        <v>619</v>
      </c>
      <c r="L238" t="s">
        <v>98</v>
      </c>
      <c r="M238" t="s">
        <v>670</v>
      </c>
      <c r="N238" t="s">
        <v>71</v>
      </c>
      <c r="O238">
        <v>2</v>
      </c>
      <c r="P238" t="s">
        <v>112</v>
      </c>
      <c r="Q238">
        <v>2363</v>
      </c>
      <c r="R238">
        <v>2000</v>
      </c>
      <c r="S238" t="s">
        <v>73</v>
      </c>
      <c r="T238" t="s">
        <v>81</v>
      </c>
      <c r="U238" t="s">
        <v>39</v>
      </c>
      <c r="V238" t="s">
        <v>52</v>
      </c>
      <c r="W238" t="s">
        <v>52</v>
      </c>
      <c r="X238">
        <v>2024</v>
      </c>
      <c r="Y238" t="s">
        <v>63</v>
      </c>
      <c r="Z238" t="s">
        <v>64</v>
      </c>
    </row>
    <row r="239" spans="1:26">
      <c r="A239" t="s">
        <v>738</v>
      </c>
      <c r="B239" t="s">
        <v>93</v>
      </c>
      <c r="C239" t="s">
        <v>44</v>
      </c>
      <c r="D239" t="s">
        <v>77</v>
      </c>
      <c r="E239" t="s">
        <v>143</v>
      </c>
      <c r="F239" t="s">
        <v>57</v>
      </c>
      <c r="G239" t="s">
        <v>32</v>
      </c>
      <c r="H239">
        <v>0.9</v>
      </c>
      <c r="I239">
        <v>28.8</v>
      </c>
      <c r="J239" t="s">
        <v>156</v>
      </c>
      <c r="K239" t="s">
        <v>739</v>
      </c>
      <c r="L239" t="s">
        <v>126</v>
      </c>
      <c r="M239" t="s">
        <v>740</v>
      </c>
      <c r="N239" t="s">
        <v>71</v>
      </c>
      <c r="O239">
        <v>14</v>
      </c>
      <c r="P239" t="s">
        <v>112</v>
      </c>
      <c r="Q239">
        <v>5063</v>
      </c>
      <c r="R239">
        <v>1000</v>
      </c>
      <c r="S239" t="s">
        <v>152</v>
      </c>
      <c r="T239" t="s">
        <v>38</v>
      </c>
      <c r="U239" t="s">
        <v>52</v>
      </c>
      <c r="V239" t="s">
        <v>52</v>
      </c>
      <c r="W239" t="s">
        <v>39</v>
      </c>
      <c r="X239">
        <v>2022</v>
      </c>
      <c r="Y239" t="s">
        <v>53</v>
      </c>
      <c r="Z239" t="s">
        <v>54</v>
      </c>
    </row>
    <row r="240" spans="1:26">
      <c r="A240" t="s">
        <v>741</v>
      </c>
      <c r="B240" t="s">
        <v>116</v>
      </c>
      <c r="C240" t="s">
        <v>173</v>
      </c>
      <c r="D240" t="s">
        <v>29</v>
      </c>
      <c r="E240" t="s">
        <v>30</v>
      </c>
      <c r="F240" t="s">
        <v>160</v>
      </c>
      <c r="G240" t="s">
        <v>58</v>
      </c>
      <c r="H240">
        <v>1</v>
      </c>
      <c r="I240">
        <v>32.5</v>
      </c>
      <c r="J240" t="s">
        <v>33</v>
      </c>
      <c r="K240" t="s">
        <v>742</v>
      </c>
      <c r="L240" t="s">
        <v>126</v>
      </c>
      <c r="M240" t="s">
        <v>345</v>
      </c>
      <c r="N240" t="s">
        <v>71</v>
      </c>
      <c r="O240">
        <v>150</v>
      </c>
      <c r="P240" t="s">
        <v>112</v>
      </c>
      <c r="Q240">
        <v>4370</v>
      </c>
      <c r="R240">
        <v>5000</v>
      </c>
      <c r="S240" t="s">
        <v>90</v>
      </c>
      <c r="T240" t="s">
        <v>38</v>
      </c>
      <c r="U240" t="s">
        <v>52</v>
      </c>
      <c r="V240" t="s">
        <v>39</v>
      </c>
      <c r="W240" t="s">
        <v>52</v>
      </c>
      <c r="X240">
        <v>2022</v>
      </c>
      <c r="Y240" t="s">
        <v>53</v>
      </c>
      <c r="Z240" t="s">
        <v>54</v>
      </c>
    </row>
    <row r="241" spans="1:26">
      <c r="A241" t="s">
        <v>743</v>
      </c>
      <c r="B241" t="s">
        <v>66</v>
      </c>
      <c r="C241" t="s">
        <v>67</v>
      </c>
      <c r="D241" t="s">
        <v>77</v>
      </c>
      <c r="E241" t="s">
        <v>94</v>
      </c>
      <c r="F241" t="s">
        <v>238</v>
      </c>
      <c r="G241" t="s">
        <v>58</v>
      </c>
      <c r="H241">
        <v>10.7</v>
      </c>
      <c r="I241">
        <v>33.799999999999997</v>
      </c>
      <c r="J241" t="s">
        <v>33</v>
      </c>
      <c r="K241" t="s">
        <v>744</v>
      </c>
      <c r="L241" t="s">
        <v>35</v>
      </c>
      <c r="M241" t="s">
        <v>544</v>
      </c>
      <c r="N241" t="s">
        <v>71</v>
      </c>
      <c r="O241">
        <v>163</v>
      </c>
      <c r="P241" t="s">
        <v>230</v>
      </c>
      <c r="Q241">
        <v>5441</v>
      </c>
      <c r="R241">
        <v>2000</v>
      </c>
      <c r="S241" t="s">
        <v>90</v>
      </c>
      <c r="T241" t="s">
        <v>62</v>
      </c>
      <c r="U241" t="s">
        <v>39</v>
      </c>
      <c r="V241" t="s">
        <v>52</v>
      </c>
      <c r="W241" t="s">
        <v>52</v>
      </c>
      <c r="X241">
        <v>2023</v>
      </c>
      <c r="Y241" t="s">
        <v>211</v>
      </c>
      <c r="Z241" t="s">
        <v>41</v>
      </c>
    </row>
    <row r="242" spans="1:26">
      <c r="A242" t="s">
        <v>745</v>
      </c>
      <c r="B242" t="s">
        <v>43</v>
      </c>
      <c r="C242" t="s">
        <v>28</v>
      </c>
      <c r="D242" t="s">
        <v>122</v>
      </c>
      <c r="E242" t="s">
        <v>148</v>
      </c>
      <c r="F242" t="s">
        <v>68</v>
      </c>
      <c r="G242" t="s">
        <v>58</v>
      </c>
      <c r="H242">
        <v>2.7</v>
      </c>
      <c r="I242">
        <v>29.3</v>
      </c>
      <c r="J242" t="s">
        <v>96</v>
      </c>
      <c r="K242" t="s">
        <v>746</v>
      </c>
      <c r="L242" t="s">
        <v>140</v>
      </c>
      <c r="M242" t="s">
        <v>406</v>
      </c>
      <c r="N242" t="s">
        <v>71</v>
      </c>
      <c r="O242">
        <v>166</v>
      </c>
      <c r="P242" t="s">
        <v>112</v>
      </c>
      <c r="Q242">
        <v>1159</v>
      </c>
      <c r="R242">
        <v>0</v>
      </c>
      <c r="S242" t="s">
        <v>73</v>
      </c>
      <c r="T242" t="s">
        <v>51</v>
      </c>
      <c r="U242" t="s">
        <v>39</v>
      </c>
      <c r="V242" t="s">
        <v>52</v>
      </c>
      <c r="W242" t="s">
        <v>39</v>
      </c>
      <c r="X242">
        <v>2024</v>
      </c>
      <c r="Y242" t="s">
        <v>74</v>
      </c>
      <c r="Z242" t="s">
        <v>54</v>
      </c>
    </row>
    <row r="243" spans="1:26">
      <c r="A243" t="s">
        <v>747</v>
      </c>
      <c r="B243" t="s">
        <v>43</v>
      </c>
      <c r="C243" t="s">
        <v>67</v>
      </c>
      <c r="D243" t="s">
        <v>77</v>
      </c>
      <c r="E243" t="s">
        <v>78</v>
      </c>
      <c r="F243" t="s">
        <v>149</v>
      </c>
      <c r="G243" t="s">
        <v>32</v>
      </c>
      <c r="H243">
        <v>3.5</v>
      </c>
      <c r="I243">
        <v>2.9</v>
      </c>
      <c r="J243" t="s">
        <v>33</v>
      </c>
      <c r="K243" t="s">
        <v>214</v>
      </c>
      <c r="L243" t="s">
        <v>140</v>
      </c>
      <c r="M243" t="s">
        <v>748</v>
      </c>
      <c r="N243" t="s">
        <v>71</v>
      </c>
      <c r="O243">
        <v>92</v>
      </c>
      <c r="P243" t="s">
        <v>72</v>
      </c>
      <c r="Q243">
        <v>4921</v>
      </c>
      <c r="R243">
        <v>0</v>
      </c>
      <c r="S243" t="s">
        <v>113</v>
      </c>
      <c r="T243" t="s">
        <v>62</v>
      </c>
      <c r="U243" t="s">
        <v>39</v>
      </c>
      <c r="V243" t="s">
        <v>52</v>
      </c>
      <c r="W243" t="s">
        <v>52</v>
      </c>
      <c r="X243">
        <v>2023</v>
      </c>
      <c r="Y243" t="s">
        <v>128</v>
      </c>
      <c r="Z243" t="s">
        <v>64</v>
      </c>
    </row>
    <row r="244" spans="1:26">
      <c r="A244" t="s">
        <v>749</v>
      </c>
      <c r="B244" t="s">
        <v>66</v>
      </c>
      <c r="C244" t="s">
        <v>67</v>
      </c>
      <c r="D244" t="s">
        <v>77</v>
      </c>
      <c r="E244" t="s">
        <v>220</v>
      </c>
      <c r="F244" t="s">
        <v>149</v>
      </c>
      <c r="G244" t="s">
        <v>32</v>
      </c>
      <c r="H244">
        <v>3.4</v>
      </c>
      <c r="I244">
        <v>12.9</v>
      </c>
      <c r="J244" t="s">
        <v>144</v>
      </c>
      <c r="K244" t="s">
        <v>750</v>
      </c>
      <c r="L244" t="s">
        <v>60</v>
      </c>
      <c r="M244" t="s">
        <v>751</v>
      </c>
      <c r="N244" t="s">
        <v>37</v>
      </c>
      <c r="O244">
        <v>64</v>
      </c>
      <c r="P244" t="s">
        <v>2265</v>
      </c>
      <c r="Q244">
        <v>0</v>
      </c>
      <c r="R244">
        <v>1000</v>
      </c>
      <c r="S244" t="s">
        <v>2265</v>
      </c>
      <c r="T244" t="s">
        <v>51</v>
      </c>
      <c r="U244" t="s">
        <v>52</v>
      </c>
      <c r="V244" t="s">
        <v>52</v>
      </c>
      <c r="W244" t="s">
        <v>39</v>
      </c>
      <c r="X244">
        <v>2023</v>
      </c>
      <c r="Y244" t="s">
        <v>91</v>
      </c>
      <c r="Z244" t="s">
        <v>64</v>
      </c>
    </row>
    <row r="245" spans="1:26">
      <c r="A245" t="s">
        <v>752</v>
      </c>
      <c r="B245" t="s">
        <v>66</v>
      </c>
      <c r="C245" t="s">
        <v>28</v>
      </c>
      <c r="D245" t="s">
        <v>77</v>
      </c>
      <c r="E245" t="s">
        <v>143</v>
      </c>
      <c r="F245" t="s">
        <v>238</v>
      </c>
      <c r="G245" t="s">
        <v>58</v>
      </c>
      <c r="H245">
        <v>8.8000000000000007</v>
      </c>
      <c r="I245">
        <v>22.1</v>
      </c>
      <c r="J245" t="s">
        <v>96</v>
      </c>
      <c r="K245" t="s">
        <v>753</v>
      </c>
      <c r="L245" t="s">
        <v>140</v>
      </c>
      <c r="M245" t="s">
        <v>754</v>
      </c>
      <c r="N245" t="s">
        <v>37</v>
      </c>
      <c r="O245">
        <v>36</v>
      </c>
      <c r="P245" t="s">
        <v>2265</v>
      </c>
      <c r="Q245">
        <v>0</v>
      </c>
      <c r="R245">
        <v>500</v>
      </c>
      <c r="S245" t="s">
        <v>2265</v>
      </c>
      <c r="T245" t="s">
        <v>62</v>
      </c>
      <c r="U245" t="s">
        <v>52</v>
      </c>
      <c r="V245" t="s">
        <v>52</v>
      </c>
      <c r="W245" t="s">
        <v>52</v>
      </c>
      <c r="X245">
        <v>2023</v>
      </c>
      <c r="Y245" t="s">
        <v>40</v>
      </c>
      <c r="Z245" t="s">
        <v>41</v>
      </c>
    </row>
    <row r="246" spans="1:26">
      <c r="A246" t="s">
        <v>755</v>
      </c>
      <c r="B246" t="s">
        <v>66</v>
      </c>
      <c r="C246" t="s">
        <v>173</v>
      </c>
      <c r="D246" t="s">
        <v>77</v>
      </c>
      <c r="E246" t="s">
        <v>168</v>
      </c>
      <c r="F246" t="s">
        <v>68</v>
      </c>
      <c r="G246" t="s">
        <v>32</v>
      </c>
      <c r="H246">
        <v>2.8</v>
      </c>
      <c r="I246">
        <v>27.1</v>
      </c>
      <c r="J246" t="s">
        <v>20</v>
      </c>
      <c r="K246" t="s">
        <v>590</v>
      </c>
      <c r="L246" t="s">
        <v>140</v>
      </c>
      <c r="M246" t="s">
        <v>127</v>
      </c>
      <c r="N246" t="s">
        <v>71</v>
      </c>
      <c r="O246">
        <v>168</v>
      </c>
      <c r="P246" t="s">
        <v>230</v>
      </c>
      <c r="Q246">
        <v>5996</v>
      </c>
      <c r="R246">
        <v>500</v>
      </c>
      <c r="S246" t="s">
        <v>90</v>
      </c>
      <c r="T246" t="s">
        <v>51</v>
      </c>
      <c r="U246" t="s">
        <v>39</v>
      </c>
      <c r="V246" t="s">
        <v>52</v>
      </c>
      <c r="W246" t="s">
        <v>52</v>
      </c>
      <c r="X246">
        <v>2024</v>
      </c>
      <c r="Y246" t="s">
        <v>211</v>
      </c>
      <c r="Z246" t="s">
        <v>41</v>
      </c>
    </row>
    <row r="247" spans="1:26">
      <c r="A247" t="s">
        <v>756</v>
      </c>
      <c r="B247" t="s">
        <v>66</v>
      </c>
      <c r="C247" t="s">
        <v>164</v>
      </c>
      <c r="D247" t="s">
        <v>77</v>
      </c>
      <c r="E247" t="s">
        <v>216</v>
      </c>
      <c r="F247" t="s">
        <v>149</v>
      </c>
      <c r="G247" t="s">
        <v>32</v>
      </c>
      <c r="H247">
        <v>2.2000000000000002</v>
      </c>
      <c r="I247">
        <v>33.200000000000003</v>
      </c>
      <c r="J247" t="s">
        <v>33</v>
      </c>
      <c r="K247" t="s">
        <v>125</v>
      </c>
      <c r="L247" t="s">
        <v>48</v>
      </c>
      <c r="M247" t="s">
        <v>757</v>
      </c>
      <c r="N247" t="s">
        <v>50</v>
      </c>
      <c r="O247">
        <v>36</v>
      </c>
      <c r="P247" t="s">
        <v>2265</v>
      </c>
      <c r="Q247">
        <v>0</v>
      </c>
      <c r="R247">
        <v>0</v>
      </c>
      <c r="S247" t="s">
        <v>2265</v>
      </c>
      <c r="T247" t="s">
        <v>136</v>
      </c>
      <c r="U247" t="s">
        <v>39</v>
      </c>
      <c r="V247" t="s">
        <v>39</v>
      </c>
      <c r="W247" t="s">
        <v>52</v>
      </c>
      <c r="X247">
        <v>2024</v>
      </c>
      <c r="Y247" t="s">
        <v>128</v>
      </c>
      <c r="Z247" t="s">
        <v>64</v>
      </c>
    </row>
    <row r="248" spans="1:26">
      <c r="A248" t="s">
        <v>758</v>
      </c>
      <c r="B248" t="s">
        <v>116</v>
      </c>
      <c r="C248" t="s">
        <v>76</v>
      </c>
      <c r="D248" t="s">
        <v>122</v>
      </c>
      <c r="E248" t="s">
        <v>148</v>
      </c>
      <c r="F248" t="s">
        <v>46</v>
      </c>
      <c r="G248" t="s">
        <v>58</v>
      </c>
      <c r="H248">
        <v>4.7</v>
      </c>
      <c r="I248">
        <v>32.200000000000003</v>
      </c>
      <c r="J248" t="s">
        <v>156</v>
      </c>
      <c r="K248" t="s">
        <v>759</v>
      </c>
      <c r="L248" t="s">
        <v>140</v>
      </c>
      <c r="M248" t="s">
        <v>760</v>
      </c>
      <c r="N248" t="s">
        <v>37</v>
      </c>
      <c r="O248">
        <v>172</v>
      </c>
      <c r="P248" t="s">
        <v>2265</v>
      </c>
      <c r="Q248">
        <v>0</v>
      </c>
      <c r="R248">
        <v>500</v>
      </c>
      <c r="S248" t="s">
        <v>2265</v>
      </c>
      <c r="T248" t="s">
        <v>51</v>
      </c>
      <c r="U248" t="s">
        <v>39</v>
      </c>
      <c r="V248" t="s">
        <v>52</v>
      </c>
      <c r="W248" t="s">
        <v>52</v>
      </c>
      <c r="X248">
        <v>2022</v>
      </c>
      <c r="Y248" t="s">
        <v>312</v>
      </c>
      <c r="Z248" t="s">
        <v>83</v>
      </c>
    </row>
    <row r="249" spans="1:26">
      <c r="A249" t="s">
        <v>761</v>
      </c>
      <c r="B249" t="s">
        <v>27</v>
      </c>
      <c r="C249" t="s">
        <v>44</v>
      </c>
      <c r="D249" t="s">
        <v>85</v>
      </c>
      <c r="E249" t="s">
        <v>86</v>
      </c>
      <c r="F249" t="s">
        <v>46</v>
      </c>
      <c r="G249" t="s">
        <v>32</v>
      </c>
      <c r="H249">
        <v>4.5999999999999996</v>
      </c>
      <c r="I249">
        <v>31.8</v>
      </c>
      <c r="J249" t="s">
        <v>144</v>
      </c>
      <c r="K249" t="s">
        <v>762</v>
      </c>
      <c r="L249" t="s">
        <v>126</v>
      </c>
      <c r="M249" t="s">
        <v>763</v>
      </c>
      <c r="N249" t="s">
        <v>71</v>
      </c>
      <c r="O249">
        <v>151</v>
      </c>
      <c r="P249" t="s">
        <v>105</v>
      </c>
      <c r="Q249">
        <v>2616</v>
      </c>
      <c r="R249">
        <v>0</v>
      </c>
      <c r="S249" t="s">
        <v>73</v>
      </c>
      <c r="T249" t="s">
        <v>62</v>
      </c>
      <c r="U249" t="s">
        <v>39</v>
      </c>
      <c r="V249" t="s">
        <v>52</v>
      </c>
      <c r="W249" t="s">
        <v>52</v>
      </c>
      <c r="X249">
        <v>2024</v>
      </c>
      <c r="Y249" t="s">
        <v>106</v>
      </c>
      <c r="Z249" t="s">
        <v>83</v>
      </c>
    </row>
    <row r="250" spans="1:26">
      <c r="A250" t="s">
        <v>764</v>
      </c>
      <c r="B250" t="s">
        <v>93</v>
      </c>
      <c r="C250" t="s">
        <v>28</v>
      </c>
      <c r="D250" t="s">
        <v>77</v>
      </c>
      <c r="E250" t="s">
        <v>143</v>
      </c>
      <c r="F250" t="s">
        <v>124</v>
      </c>
      <c r="G250" t="s">
        <v>32</v>
      </c>
      <c r="H250">
        <v>2.6</v>
      </c>
      <c r="I250">
        <v>6.9</v>
      </c>
      <c r="J250" t="s">
        <v>96</v>
      </c>
      <c r="K250" t="s">
        <v>765</v>
      </c>
      <c r="L250" t="s">
        <v>60</v>
      </c>
      <c r="M250" t="s">
        <v>127</v>
      </c>
      <c r="N250" t="s">
        <v>61</v>
      </c>
      <c r="O250">
        <v>165</v>
      </c>
      <c r="P250" t="s">
        <v>2265</v>
      </c>
      <c r="Q250">
        <v>0</v>
      </c>
      <c r="R250">
        <v>0</v>
      </c>
      <c r="S250" t="s">
        <v>2265</v>
      </c>
      <c r="T250" t="s">
        <v>38</v>
      </c>
      <c r="U250" t="s">
        <v>52</v>
      </c>
      <c r="V250" t="s">
        <v>52</v>
      </c>
      <c r="W250" t="s">
        <v>52</v>
      </c>
      <c r="X250">
        <v>2024</v>
      </c>
      <c r="Y250" t="s">
        <v>128</v>
      </c>
      <c r="Z250" t="s">
        <v>64</v>
      </c>
    </row>
    <row r="251" spans="1:26">
      <c r="A251" t="s">
        <v>766</v>
      </c>
      <c r="B251" t="s">
        <v>27</v>
      </c>
      <c r="C251" t="s">
        <v>164</v>
      </c>
      <c r="D251" t="s">
        <v>77</v>
      </c>
      <c r="E251" t="s">
        <v>363</v>
      </c>
      <c r="F251" t="s">
        <v>68</v>
      </c>
      <c r="G251" t="s">
        <v>58</v>
      </c>
      <c r="H251">
        <v>0.4</v>
      </c>
      <c r="I251">
        <v>2</v>
      </c>
      <c r="J251" t="s">
        <v>20</v>
      </c>
      <c r="K251" t="s">
        <v>633</v>
      </c>
      <c r="L251" t="s">
        <v>48</v>
      </c>
      <c r="M251" t="s">
        <v>767</v>
      </c>
      <c r="N251" t="s">
        <v>100</v>
      </c>
      <c r="O251">
        <v>166</v>
      </c>
      <c r="P251" t="s">
        <v>2265</v>
      </c>
      <c r="Q251">
        <v>0</v>
      </c>
      <c r="R251">
        <v>0</v>
      </c>
      <c r="S251" t="s">
        <v>2265</v>
      </c>
      <c r="T251" t="s">
        <v>38</v>
      </c>
      <c r="U251" t="s">
        <v>39</v>
      </c>
      <c r="V251" t="s">
        <v>52</v>
      </c>
      <c r="W251" t="s">
        <v>52</v>
      </c>
      <c r="X251">
        <v>2022</v>
      </c>
      <c r="Y251" t="s">
        <v>128</v>
      </c>
      <c r="Z251" t="s">
        <v>64</v>
      </c>
    </row>
    <row r="252" spans="1:26">
      <c r="A252" t="s">
        <v>768</v>
      </c>
      <c r="B252" t="s">
        <v>27</v>
      </c>
      <c r="C252" t="s">
        <v>121</v>
      </c>
      <c r="D252" t="s">
        <v>29</v>
      </c>
      <c r="E252" t="s">
        <v>117</v>
      </c>
      <c r="F252" t="s">
        <v>149</v>
      </c>
      <c r="G252" t="s">
        <v>58</v>
      </c>
      <c r="H252">
        <v>11.4</v>
      </c>
      <c r="I252">
        <v>8</v>
      </c>
      <c r="J252" t="s">
        <v>33</v>
      </c>
      <c r="K252" t="s">
        <v>341</v>
      </c>
      <c r="L252" t="s">
        <v>126</v>
      </c>
      <c r="M252" t="s">
        <v>565</v>
      </c>
      <c r="N252" t="s">
        <v>61</v>
      </c>
      <c r="O252">
        <v>170</v>
      </c>
      <c r="P252" t="s">
        <v>2265</v>
      </c>
      <c r="Q252">
        <v>0</v>
      </c>
      <c r="R252">
        <v>0</v>
      </c>
      <c r="S252" t="s">
        <v>2265</v>
      </c>
      <c r="T252" t="s">
        <v>62</v>
      </c>
      <c r="U252" t="s">
        <v>39</v>
      </c>
      <c r="V252" t="s">
        <v>52</v>
      </c>
      <c r="W252" t="s">
        <v>52</v>
      </c>
      <c r="X252">
        <v>2022</v>
      </c>
      <c r="Y252" t="s">
        <v>82</v>
      </c>
      <c r="Z252" t="s">
        <v>83</v>
      </c>
    </row>
    <row r="253" spans="1:26">
      <c r="A253" t="s">
        <v>769</v>
      </c>
      <c r="B253" t="s">
        <v>116</v>
      </c>
      <c r="C253" t="s">
        <v>102</v>
      </c>
      <c r="D253" t="s">
        <v>77</v>
      </c>
      <c r="E253" t="s">
        <v>168</v>
      </c>
      <c r="F253" t="s">
        <v>57</v>
      </c>
      <c r="G253" t="s">
        <v>32</v>
      </c>
      <c r="H253">
        <v>11.1</v>
      </c>
      <c r="I253">
        <v>21.1</v>
      </c>
      <c r="J253" t="s">
        <v>33</v>
      </c>
      <c r="K253" t="s">
        <v>770</v>
      </c>
      <c r="L253" t="s">
        <v>35</v>
      </c>
      <c r="M253" t="s">
        <v>660</v>
      </c>
      <c r="N253" t="s">
        <v>171</v>
      </c>
      <c r="O253">
        <v>176</v>
      </c>
      <c r="P253" t="s">
        <v>2265</v>
      </c>
      <c r="Q253">
        <v>0</v>
      </c>
      <c r="R253">
        <v>0</v>
      </c>
      <c r="S253" t="s">
        <v>2265</v>
      </c>
      <c r="T253" t="s">
        <v>38</v>
      </c>
      <c r="U253" t="s">
        <v>39</v>
      </c>
      <c r="V253" t="s">
        <v>52</v>
      </c>
      <c r="W253" t="s">
        <v>52</v>
      </c>
      <c r="X253">
        <v>2022</v>
      </c>
      <c r="Y253" t="s">
        <v>63</v>
      </c>
      <c r="Z253" t="s">
        <v>64</v>
      </c>
    </row>
    <row r="254" spans="1:26">
      <c r="A254" t="s">
        <v>771</v>
      </c>
      <c r="B254" t="s">
        <v>66</v>
      </c>
      <c r="C254" t="s">
        <v>164</v>
      </c>
      <c r="D254" t="s">
        <v>77</v>
      </c>
      <c r="E254" t="s">
        <v>143</v>
      </c>
      <c r="F254" t="s">
        <v>31</v>
      </c>
      <c r="G254" t="s">
        <v>58</v>
      </c>
      <c r="H254">
        <v>9.1</v>
      </c>
      <c r="I254">
        <v>3.7</v>
      </c>
      <c r="J254" t="s">
        <v>96</v>
      </c>
      <c r="K254" t="s">
        <v>348</v>
      </c>
      <c r="L254" t="s">
        <v>98</v>
      </c>
      <c r="M254" t="s">
        <v>662</v>
      </c>
      <c r="N254" t="s">
        <v>71</v>
      </c>
      <c r="O254">
        <v>122</v>
      </c>
      <c r="P254" t="s">
        <v>112</v>
      </c>
      <c r="Q254">
        <v>7353</v>
      </c>
      <c r="R254">
        <v>1000</v>
      </c>
      <c r="S254" t="s">
        <v>90</v>
      </c>
      <c r="T254" t="s">
        <v>51</v>
      </c>
      <c r="U254" t="s">
        <v>39</v>
      </c>
      <c r="V254" t="s">
        <v>52</v>
      </c>
      <c r="W254" t="s">
        <v>52</v>
      </c>
      <c r="X254">
        <v>2022</v>
      </c>
      <c r="Y254" t="s">
        <v>63</v>
      </c>
      <c r="Z254" t="s">
        <v>64</v>
      </c>
    </row>
    <row r="255" spans="1:26">
      <c r="A255" t="s">
        <v>772</v>
      </c>
      <c r="B255" t="s">
        <v>116</v>
      </c>
      <c r="C255" t="s">
        <v>173</v>
      </c>
      <c r="D255" t="s">
        <v>77</v>
      </c>
      <c r="E255" t="s">
        <v>78</v>
      </c>
      <c r="F255" t="s">
        <v>31</v>
      </c>
      <c r="G255" t="s">
        <v>32</v>
      </c>
      <c r="H255">
        <v>3.1</v>
      </c>
      <c r="I255">
        <v>26.9</v>
      </c>
      <c r="J255" t="s">
        <v>33</v>
      </c>
      <c r="K255" t="s">
        <v>773</v>
      </c>
      <c r="L255" t="s">
        <v>48</v>
      </c>
      <c r="M255" t="s">
        <v>196</v>
      </c>
      <c r="N255" t="s">
        <v>71</v>
      </c>
      <c r="O255">
        <v>90</v>
      </c>
      <c r="P255" t="s">
        <v>230</v>
      </c>
      <c r="Q255">
        <v>6485</v>
      </c>
      <c r="R255">
        <v>0</v>
      </c>
      <c r="S255" t="s">
        <v>73</v>
      </c>
      <c r="T255" t="s">
        <v>62</v>
      </c>
      <c r="U255" t="s">
        <v>39</v>
      </c>
      <c r="V255" t="s">
        <v>52</v>
      </c>
      <c r="W255" t="s">
        <v>39</v>
      </c>
      <c r="X255">
        <v>2024</v>
      </c>
      <c r="Y255" t="s">
        <v>82</v>
      </c>
      <c r="Z255" t="s">
        <v>83</v>
      </c>
    </row>
    <row r="256" spans="1:26">
      <c r="A256" t="s">
        <v>774</v>
      </c>
      <c r="B256" t="s">
        <v>27</v>
      </c>
      <c r="C256" t="s">
        <v>173</v>
      </c>
      <c r="D256" t="s">
        <v>85</v>
      </c>
      <c r="E256" t="s">
        <v>208</v>
      </c>
      <c r="F256" t="s">
        <v>160</v>
      </c>
      <c r="G256" t="s">
        <v>32</v>
      </c>
      <c r="H256">
        <v>1.4</v>
      </c>
      <c r="I256">
        <v>15.2</v>
      </c>
      <c r="J256" t="s">
        <v>20</v>
      </c>
      <c r="K256" t="s">
        <v>775</v>
      </c>
      <c r="L256" t="s">
        <v>60</v>
      </c>
      <c r="M256" t="s">
        <v>776</v>
      </c>
      <c r="N256" t="s">
        <v>171</v>
      </c>
      <c r="O256">
        <v>105</v>
      </c>
      <c r="P256" t="s">
        <v>2265</v>
      </c>
      <c r="Q256">
        <v>0</v>
      </c>
      <c r="R256">
        <v>0</v>
      </c>
      <c r="S256" t="s">
        <v>2265</v>
      </c>
      <c r="T256" t="s">
        <v>62</v>
      </c>
      <c r="U256" t="s">
        <v>39</v>
      </c>
      <c r="V256" t="s">
        <v>52</v>
      </c>
      <c r="W256" t="s">
        <v>52</v>
      </c>
      <c r="X256">
        <v>2023</v>
      </c>
      <c r="Y256" t="s">
        <v>91</v>
      </c>
      <c r="Z256" t="s">
        <v>64</v>
      </c>
    </row>
    <row r="257" spans="1:26">
      <c r="A257" t="s">
        <v>777</v>
      </c>
      <c r="B257" t="s">
        <v>93</v>
      </c>
      <c r="C257" t="s">
        <v>67</v>
      </c>
      <c r="D257" t="s">
        <v>77</v>
      </c>
      <c r="E257" t="s">
        <v>94</v>
      </c>
      <c r="F257" t="s">
        <v>57</v>
      </c>
      <c r="G257" t="s">
        <v>58</v>
      </c>
      <c r="H257">
        <v>6.8</v>
      </c>
      <c r="I257">
        <v>17.2</v>
      </c>
      <c r="J257" t="s">
        <v>96</v>
      </c>
      <c r="K257" t="s">
        <v>200</v>
      </c>
      <c r="L257" t="s">
        <v>98</v>
      </c>
      <c r="M257" t="s">
        <v>778</v>
      </c>
      <c r="N257" t="s">
        <v>171</v>
      </c>
      <c r="O257">
        <v>46</v>
      </c>
      <c r="P257" t="s">
        <v>2265</v>
      </c>
      <c r="Q257">
        <v>0</v>
      </c>
      <c r="R257">
        <v>0</v>
      </c>
      <c r="S257" t="s">
        <v>2265</v>
      </c>
      <c r="T257" t="s">
        <v>38</v>
      </c>
      <c r="U257" t="s">
        <v>39</v>
      </c>
      <c r="V257" t="s">
        <v>52</v>
      </c>
      <c r="W257" t="s">
        <v>52</v>
      </c>
      <c r="X257">
        <v>2024</v>
      </c>
      <c r="Y257" t="s">
        <v>114</v>
      </c>
      <c r="Z257" t="s">
        <v>41</v>
      </c>
    </row>
    <row r="258" spans="1:26">
      <c r="A258" t="s">
        <v>779</v>
      </c>
      <c r="B258" t="s">
        <v>66</v>
      </c>
      <c r="C258" t="s">
        <v>76</v>
      </c>
      <c r="D258" t="s">
        <v>29</v>
      </c>
      <c r="E258" t="s">
        <v>45</v>
      </c>
      <c r="F258" t="s">
        <v>68</v>
      </c>
      <c r="G258" t="s">
        <v>32</v>
      </c>
      <c r="H258">
        <v>9.6</v>
      </c>
      <c r="I258">
        <v>21.7</v>
      </c>
      <c r="J258" t="s">
        <v>156</v>
      </c>
      <c r="K258" t="s">
        <v>780</v>
      </c>
      <c r="L258" t="s">
        <v>35</v>
      </c>
      <c r="M258" t="s">
        <v>127</v>
      </c>
      <c r="N258" t="s">
        <v>171</v>
      </c>
      <c r="O258">
        <v>103</v>
      </c>
      <c r="P258" t="s">
        <v>2265</v>
      </c>
      <c r="Q258">
        <v>0</v>
      </c>
      <c r="R258">
        <v>0</v>
      </c>
      <c r="S258" t="s">
        <v>2265</v>
      </c>
      <c r="T258" t="s">
        <v>38</v>
      </c>
      <c r="U258" t="s">
        <v>39</v>
      </c>
      <c r="V258" t="s">
        <v>52</v>
      </c>
      <c r="W258" t="s">
        <v>52</v>
      </c>
      <c r="X258">
        <v>2024</v>
      </c>
      <c r="Y258" t="s">
        <v>128</v>
      </c>
      <c r="Z258" t="s">
        <v>64</v>
      </c>
    </row>
    <row r="259" spans="1:26">
      <c r="A259" t="s">
        <v>781</v>
      </c>
      <c r="B259" t="s">
        <v>108</v>
      </c>
      <c r="C259" t="s">
        <v>44</v>
      </c>
      <c r="D259" t="s">
        <v>29</v>
      </c>
      <c r="E259" t="s">
        <v>30</v>
      </c>
      <c r="F259" t="s">
        <v>31</v>
      </c>
      <c r="G259" t="s">
        <v>32</v>
      </c>
      <c r="H259">
        <v>1.1000000000000001</v>
      </c>
      <c r="I259">
        <v>1.8</v>
      </c>
      <c r="J259" t="s">
        <v>156</v>
      </c>
      <c r="K259" t="s">
        <v>587</v>
      </c>
      <c r="L259" t="s">
        <v>140</v>
      </c>
      <c r="M259" t="s">
        <v>782</v>
      </c>
      <c r="N259" t="s">
        <v>171</v>
      </c>
      <c r="O259">
        <v>57</v>
      </c>
      <c r="P259" t="s">
        <v>2265</v>
      </c>
      <c r="Q259">
        <v>0</v>
      </c>
      <c r="R259">
        <v>0</v>
      </c>
      <c r="S259" t="s">
        <v>2265</v>
      </c>
      <c r="T259" t="s">
        <v>38</v>
      </c>
      <c r="U259" t="s">
        <v>39</v>
      </c>
      <c r="V259" t="s">
        <v>52</v>
      </c>
      <c r="W259" t="s">
        <v>52</v>
      </c>
      <c r="X259">
        <v>2023</v>
      </c>
      <c r="Y259" t="s">
        <v>153</v>
      </c>
      <c r="Z259" t="s">
        <v>54</v>
      </c>
    </row>
    <row r="260" spans="1:26">
      <c r="A260" t="s">
        <v>783</v>
      </c>
      <c r="B260" t="s">
        <v>27</v>
      </c>
      <c r="C260" t="s">
        <v>102</v>
      </c>
      <c r="D260" t="s">
        <v>77</v>
      </c>
      <c r="E260" t="s">
        <v>220</v>
      </c>
      <c r="F260" t="s">
        <v>31</v>
      </c>
      <c r="G260" t="s">
        <v>58</v>
      </c>
      <c r="H260">
        <v>2.4</v>
      </c>
      <c r="I260">
        <v>27.5</v>
      </c>
      <c r="J260" t="s">
        <v>156</v>
      </c>
      <c r="K260" t="s">
        <v>784</v>
      </c>
      <c r="L260" t="s">
        <v>35</v>
      </c>
      <c r="M260" t="s">
        <v>785</v>
      </c>
      <c r="N260" t="s">
        <v>61</v>
      </c>
      <c r="O260">
        <v>169</v>
      </c>
      <c r="P260" t="s">
        <v>2265</v>
      </c>
      <c r="Q260">
        <v>0</v>
      </c>
      <c r="R260">
        <v>0</v>
      </c>
      <c r="S260" t="s">
        <v>2265</v>
      </c>
      <c r="T260" t="s">
        <v>51</v>
      </c>
      <c r="U260" t="s">
        <v>39</v>
      </c>
      <c r="V260" t="s">
        <v>52</v>
      </c>
      <c r="W260" t="s">
        <v>39</v>
      </c>
      <c r="X260">
        <v>2023</v>
      </c>
      <c r="Y260" t="s">
        <v>82</v>
      </c>
      <c r="Z260" t="s">
        <v>83</v>
      </c>
    </row>
    <row r="261" spans="1:26">
      <c r="A261" t="s">
        <v>786</v>
      </c>
      <c r="B261" t="s">
        <v>43</v>
      </c>
      <c r="C261" t="s">
        <v>76</v>
      </c>
      <c r="D261" t="s">
        <v>77</v>
      </c>
      <c r="E261" t="s">
        <v>143</v>
      </c>
      <c r="F261" t="s">
        <v>95</v>
      </c>
      <c r="G261" t="s">
        <v>58</v>
      </c>
      <c r="H261">
        <v>8.1</v>
      </c>
      <c r="I261">
        <v>14.5</v>
      </c>
      <c r="J261" t="s">
        <v>20</v>
      </c>
      <c r="K261" t="s">
        <v>787</v>
      </c>
      <c r="L261" t="s">
        <v>60</v>
      </c>
      <c r="M261" t="s">
        <v>509</v>
      </c>
      <c r="N261" t="s">
        <v>171</v>
      </c>
      <c r="O261">
        <v>103</v>
      </c>
      <c r="P261" t="s">
        <v>2265</v>
      </c>
      <c r="Q261">
        <v>0</v>
      </c>
      <c r="R261">
        <v>0</v>
      </c>
      <c r="S261" t="s">
        <v>2265</v>
      </c>
      <c r="T261" t="s">
        <v>62</v>
      </c>
      <c r="U261" t="s">
        <v>39</v>
      </c>
      <c r="V261" t="s">
        <v>52</v>
      </c>
      <c r="W261" t="s">
        <v>52</v>
      </c>
      <c r="X261">
        <v>2023</v>
      </c>
      <c r="Y261" t="s">
        <v>40</v>
      </c>
      <c r="Z261" t="s">
        <v>41</v>
      </c>
    </row>
    <row r="262" spans="1:26">
      <c r="A262" t="s">
        <v>788</v>
      </c>
      <c r="B262" t="s">
        <v>116</v>
      </c>
      <c r="C262" t="s">
        <v>173</v>
      </c>
      <c r="D262" t="s">
        <v>77</v>
      </c>
      <c r="E262" t="s">
        <v>363</v>
      </c>
      <c r="F262" t="s">
        <v>46</v>
      </c>
      <c r="G262" t="s">
        <v>58</v>
      </c>
      <c r="H262">
        <v>4.9000000000000004</v>
      </c>
      <c r="I262">
        <v>4.2</v>
      </c>
      <c r="J262" t="s">
        <v>96</v>
      </c>
      <c r="K262" t="s">
        <v>492</v>
      </c>
      <c r="L262" t="s">
        <v>140</v>
      </c>
      <c r="M262" t="s">
        <v>426</v>
      </c>
      <c r="N262" t="s">
        <v>71</v>
      </c>
      <c r="O262">
        <v>104</v>
      </c>
      <c r="P262" t="s">
        <v>72</v>
      </c>
      <c r="Q262">
        <v>5138</v>
      </c>
      <c r="R262">
        <v>0</v>
      </c>
      <c r="S262" t="s">
        <v>152</v>
      </c>
      <c r="T262" t="s">
        <v>136</v>
      </c>
      <c r="U262" t="s">
        <v>52</v>
      </c>
      <c r="V262" t="s">
        <v>52</v>
      </c>
      <c r="W262" t="s">
        <v>52</v>
      </c>
      <c r="X262">
        <v>2024</v>
      </c>
      <c r="Y262" t="s">
        <v>40</v>
      </c>
      <c r="Z262" t="s">
        <v>41</v>
      </c>
    </row>
    <row r="263" spans="1:26">
      <c r="A263" t="s">
        <v>789</v>
      </c>
      <c r="B263" t="s">
        <v>108</v>
      </c>
      <c r="C263" t="s">
        <v>102</v>
      </c>
      <c r="D263" t="s">
        <v>77</v>
      </c>
      <c r="E263" t="s">
        <v>260</v>
      </c>
      <c r="F263" t="s">
        <v>124</v>
      </c>
      <c r="G263" t="s">
        <v>32</v>
      </c>
      <c r="H263">
        <v>5.8</v>
      </c>
      <c r="I263">
        <v>9.4</v>
      </c>
      <c r="J263" t="s">
        <v>144</v>
      </c>
      <c r="K263" t="s">
        <v>280</v>
      </c>
      <c r="L263" t="s">
        <v>60</v>
      </c>
      <c r="M263" t="s">
        <v>127</v>
      </c>
      <c r="N263" t="s">
        <v>50</v>
      </c>
      <c r="O263">
        <v>175</v>
      </c>
      <c r="P263" t="s">
        <v>2265</v>
      </c>
      <c r="Q263">
        <v>0</v>
      </c>
      <c r="R263">
        <v>0</v>
      </c>
      <c r="S263" t="s">
        <v>2265</v>
      </c>
      <c r="T263" t="s">
        <v>62</v>
      </c>
      <c r="U263" t="s">
        <v>39</v>
      </c>
      <c r="V263" t="s">
        <v>52</v>
      </c>
      <c r="W263" t="s">
        <v>52</v>
      </c>
      <c r="X263">
        <v>2024</v>
      </c>
      <c r="Y263" t="s">
        <v>40</v>
      </c>
      <c r="Z263" t="s">
        <v>41</v>
      </c>
    </row>
    <row r="264" spans="1:26">
      <c r="A264" t="s">
        <v>790</v>
      </c>
      <c r="B264" t="s">
        <v>108</v>
      </c>
      <c r="C264" t="s">
        <v>67</v>
      </c>
      <c r="D264" t="s">
        <v>77</v>
      </c>
      <c r="E264" t="s">
        <v>168</v>
      </c>
      <c r="F264" t="s">
        <v>46</v>
      </c>
      <c r="G264" t="s">
        <v>58</v>
      </c>
      <c r="H264">
        <v>1</v>
      </c>
      <c r="I264">
        <v>32.6</v>
      </c>
      <c r="J264" t="s">
        <v>20</v>
      </c>
      <c r="K264" t="s">
        <v>418</v>
      </c>
      <c r="L264" t="s">
        <v>60</v>
      </c>
      <c r="M264" t="s">
        <v>791</v>
      </c>
      <c r="N264" t="s">
        <v>171</v>
      </c>
      <c r="O264">
        <v>103</v>
      </c>
      <c r="P264" t="s">
        <v>2265</v>
      </c>
      <c r="Q264">
        <v>0</v>
      </c>
      <c r="R264">
        <v>0</v>
      </c>
      <c r="S264" t="s">
        <v>2265</v>
      </c>
      <c r="T264" t="s">
        <v>81</v>
      </c>
      <c r="U264" t="s">
        <v>39</v>
      </c>
      <c r="V264" t="s">
        <v>52</v>
      </c>
      <c r="W264" t="s">
        <v>52</v>
      </c>
      <c r="X264">
        <v>2022</v>
      </c>
      <c r="Y264" t="s">
        <v>40</v>
      </c>
      <c r="Z264" t="s">
        <v>41</v>
      </c>
    </row>
    <row r="265" spans="1:26">
      <c r="A265" t="s">
        <v>792</v>
      </c>
      <c r="B265" t="s">
        <v>93</v>
      </c>
      <c r="C265" t="s">
        <v>164</v>
      </c>
      <c r="D265" t="s">
        <v>77</v>
      </c>
      <c r="E265" t="s">
        <v>363</v>
      </c>
      <c r="F265" t="s">
        <v>95</v>
      </c>
      <c r="G265" t="s">
        <v>58</v>
      </c>
      <c r="H265">
        <v>10</v>
      </c>
      <c r="I265">
        <v>29.4</v>
      </c>
      <c r="J265" t="s">
        <v>33</v>
      </c>
      <c r="K265" t="s">
        <v>150</v>
      </c>
      <c r="L265" t="s">
        <v>98</v>
      </c>
      <c r="M265" t="s">
        <v>793</v>
      </c>
      <c r="N265" t="s">
        <v>37</v>
      </c>
      <c r="O265">
        <v>53</v>
      </c>
      <c r="P265" t="s">
        <v>2265</v>
      </c>
      <c r="Q265">
        <v>0</v>
      </c>
      <c r="R265">
        <v>0</v>
      </c>
      <c r="S265" t="s">
        <v>2265</v>
      </c>
      <c r="T265" t="s">
        <v>136</v>
      </c>
      <c r="U265" t="s">
        <v>39</v>
      </c>
      <c r="V265" t="s">
        <v>52</v>
      </c>
      <c r="W265" t="s">
        <v>39</v>
      </c>
      <c r="X265">
        <v>2023</v>
      </c>
      <c r="Y265" t="s">
        <v>153</v>
      </c>
      <c r="Z265" t="s">
        <v>54</v>
      </c>
    </row>
    <row r="266" spans="1:26">
      <c r="A266" t="s">
        <v>794</v>
      </c>
      <c r="B266" t="s">
        <v>27</v>
      </c>
      <c r="C266" t="s">
        <v>173</v>
      </c>
      <c r="D266" t="s">
        <v>77</v>
      </c>
      <c r="E266" t="s">
        <v>260</v>
      </c>
      <c r="F266" t="s">
        <v>57</v>
      </c>
      <c r="G266" t="s">
        <v>58</v>
      </c>
      <c r="H266">
        <v>5.9</v>
      </c>
      <c r="I266">
        <v>34.5</v>
      </c>
      <c r="J266" t="s">
        <v>96</v>
      </c>
      <c r="K266" t="s">
        <v>151</v>
      </c>
      <c r="L266" t="s">
        <v>140</v>
      </c>
      <c r="M266" t="s">
        <v>795</v>
      </c>
      <c r="N266" t="s">
        <v>61</v>
      </c>
      <c r="O266">
        <v>127</v>
      </c>
      <c r="P266" t="s">
        <v>2265</v>
      </c>
      <c r="Q266">
        <v>0</v>
      </c>
      <c r="R266">
        <v>0</v>
      </c>
      <c r="S266" t="s">
        <v>2265</v>
      </c>
      <c r="T266" t="s">
        <v>81</v>
      </c>
      <c r="U266" t="s">
        <v>39</v>
      </c>
      <c r="V266" t="s">
        <v>52</v>
      </c>
      <c r="W266" t="s">
        <v>52</v>
      </c>
      <c r="X266">
        <v>2023</v>
      </c>
      <c r="Y266" t="s">
        <v>91</v>
      </c>
      <c r="Z266" t="s">
        <v>64</v>
      </c>
    </row>
    <row r="267" spans="1:26">
      <c r="A267" t="s">
        <v>796</v>
      </c>
      <c r="B267" t="s">
        <v>108</v>
      </c>
      <c r="C267" t="s">
        <v>28</v>
      </c>
      <c r="D267" t="s">
        <v>77</v>
      </c>
      <c r="E267" t="s">
        <v>220</v>
      </c>
      <c r="F267" t="s">
        <v>109</v>
      </c>
      <c r="G267" t="s">
        <v>32</v>
      </c>
      <c r="H267">
        <v>10.3</v>
      </c>
      <c r="I267">
        <v>27.3</v>
      </c>
      <c r="J267" t="s">
        <v>33</v>
      </c>
      <c r="K267" t="s">
        <v>415</v>
      </c>
      <c r="L267" t="s">
        <v>98</v>
      </c>
      <c r="M267" t="s">
        <v>127</v>
      </c>
      <c r="N267" t="s">
        <v>100</v>
      </c>
      <c r="O267">
        <v>89</v>
      </c>
      <c r="P267" t="s">
        <v>2265</v>
      </c>
      <c r="Q267">
        <v>0</v>
      </c>
      <c r="R267">
        <v>0</v>
      </c>
      <c r="S267" t="s">
        <v>2265</v>
      </c>
      <c r="T267" t="s">
        <v>38</v>
      </c>
      <c r="U267" t="s">
        <v>39</v>
      </c>
      <c r="V267" t="s">
        <v>52</v>
      </c>
      <c r="W267" t="s">
        <v>52</v>
      </c>
      <c r="X267">
        <v>2024</v>
      </c>
      <c r="Y267" t="s">
        <v>91</v>
      </c>
      <c r="Z267" t="s">
        <v>64</v>
      </c>
    </row>
    <row r="268" spans="1:26">
      <c r="A268" t="s">
        <v>797</v>
      </c>
      <c r="B268" t="s">
        <v>27</v>
      </c>
      <c r="C268" t="s">
        <v>173</v>
      </c>
      <c r="D268" t="s">
        <v>85</v>
      </c>
      <c r="E268" t="s">
        <v>138</v>
      </c>
      <c r="F268" t="s">
        <v>124</v>
      </c>
      <c r="G268" t="s">
        <v>32</v>
      </c>
      <c r="H268">
        <v>7.4</v>
      </c>
      <c r="I268">
        <v>9.5</v>
      </c>
      <c r="J268" t="s">
        <v>144</v>
      </c>
      <c r="K268" t="s">
        <v>694</v>
      </c>
      <c r="L268" t="s">
        <v>140</v>
      </c>
      <c r="M268" t="s">
        <v>798</v>
      </c>
      <c r="N268" t="s">
        <v>171</v>
      </c>
      <c r="O268">
        <v>84</v>
      </c>
      <c r="P268" t="s">
        <v>2265</v>
      </c>
      <c r="Q268">
        <v>0</v>
      </c>
      <c r="R268">
        <v>0</v>
      </c>
      <c r="S268" t="s">
        <v>2265</v>
      </c>
      <c r="T268" t="s">
        <v>51</v>
      </c>
      <c r="U268" t="s">
        <v>39</v>
      </c>
      <c r="V268" t="s">
        <v>39</v>
      </c>
      <c r="W268" t="s">
        <v>52</v>
      </c>
      <c r="X268">
        <v>2022</v>
      </c>
      <c r="Y268" t="s">
        <v>40</v>
      </c>
      <c r="Z268" t="s">
        <v>41</v>
      </c>
    </row>
    <row r="269" spans="1:26">
      <c r="A269" t="s">
        <v>799</v>
      </c>
      <c r="B269" t="s">
        <v>108</v>
      </c>
      <c r="C269" t="s">
        <v>164</v>
      </c>
      <c r="D269" t="s">
        <v>85</v>
      </c>
      <c r="E269" t="s">
        <v>208</v>
      </c>
      <c r="F269" t="s">
        <v>31</v>
      </c>
      <c r="G269" t="s">
        <v>58</v>
      </c>
      <c r="H269">
        <v>4.4000000000000004</v>
      </c>
      <c r="I269">
        <v>14.3</v>
      </c>
      <c r="J269" t="s">
        <v>20</v>
      </c>
      <c r="K269" t="s">
        <v>800</v>
      </c>
      <c r="L269" t="s">
        <v>98</v>
      </c>
      <c r="M269" t="s">
        <v>352</v>
      </c>
      <c r="N269" t="s">
        <v>171</v>
      </c>
      <c r="O269">
        <v>180</v>
      </c>
      <c r="P269" t="s">
        <v>2265</v>
      </c>
      <c r="Q269">
        <v>0</v>
      </c>
      <c r="R269">
        <v>0</v>
      </c>
      <c r="S269" t="s">
        <v>2265</v>
      </c>
      <c r="T269" t="s">
        <v>81</v>
      </c>
      <c r="U269" t="s">
        <v>39</v>
      </c>
      <c r="V269" t="s">
        <v>52</v>
      </c>
      <c r="W269" t="s">
        <v>52</v>
      </c>
      <c r="X269">
        <v>2024</v>
      </c>
      <c r="Y269" t="s">
        <v>53</v>
      </c>
      <c r="Z269" t="s">
        <v>54</v>
      </c>
    </row>
    <row r="270" spans="1:26">
      <c r="A270" t="s">
        <v>801</v>
      </c>
      <c r="B270" t="s">
        <v>108</v>
      </c>
      <c r="C270" t="s">
        <v>164</v>
      </c>
      <c r="D270" t="s">
        <v>77</v>
      </c>
      <c r="E270" t="s">
        <v>94</v>
      </c>
      <c r="F270" t="s">
        <v>109</v>
      </c>
      <c r="G270" t="s">
        <v>32</v>
      </c>
      <c r="H270">
        <v>9.6999999999999993</v>
      </c>
      <c r="I270">
        <v>6.6</v>
      </c>
      <c r="J270" t="s">
        <v>96</v>
      </c>
      <c r="K270" t="s">
        <v>773</v>
      </c>
      <c r="L270" t="s">
        <v>126</v>
      </c>
      <c r="M270" t="s">
        <v>690</v>
      </c>
      <c r="N270" t="s">
        <v>71</v>
      </c>
      <c r="O270">
        <v>51</v>
      </c>
      <c r="P270" t="s">
        <v>72</v>
      </c>
      <c r="Q270">
        <v>4225</v>
      </c>
      <c r="R270">
        <v>500</v>
      </c>
      <c r="S270" t="s">
        <v>152</v>
      </c>
      <c r="T270" t="s">
        <v>62</v>
      </c>
      <c r="U270" t="s">
        <v>39</v>
      </c>
      <c r="V270" t="s">
        <v>52</v>
      </c>
      <c r="W270" t="s">
        <v>39</v>
      </c>
      <c r="X270">
        <v>2024</v>
      </c>
      <c r="Y270" t="s">
        <v>82</v>
      </c>
      <c r="Z270" t="s">
        <v>83</v>
      </c>
    </row>
    <row r="271" spans="1:26">
      <c r="A271" t="s">
        <v>802</v>
      </c>
      <c r="B271" t="s">
        <v>93</v>
      </c>
      <c r="C271" t="s">
        <v>67</v>
      </c>
      <c r="D271" t="s">
        <v>77</v>
      </c>
      <c r="E271" t="s">
        <v>220</v>
      </c>
      <c r="F271" t="s">
        <v>109</v>
      </c>
      <c r="G271" t="s">
        <v>32</v>
      </c>
      <c r="H271">
        <v>5.5</v>
      </c>
      <c r="I271">
        <v>12</v>
      </c>
      <c r="J271" t="s">
        <v>33</v>
      </c>
      <c r="K271" t="s">
        <v>803</v>
      </c>
      <c r="L271" t="s">
        <v>35</v>
      </c>
      <c r="M271" t="s">
        <v>804</v>
      </c>
      <c r="N271" t="s">
        <v>50</v>
      </c>
      <c r="O271">
        <v>66</v>
      </c>
      <c r="P271" t="s">
        <v>2265</v>
      </c>
      <c r="Q271">
        <v>0</v>
      </c>
      <c r="R271">
        <v>0</v>
      </c>
      <c r="S271" t="s">
        <v>2265</v>
      </c>
      <c r="T271" t="s">
        <v>136</v>
      </c>
      <c r="U271" t="s">
        <v>39</v>
      </c>
      <c r="V271" t="s">
        <v>52</v>
      </c>
      <c r="W271" t="s">
        <v>52</v>
      </c>
      <c r="X271">
        <v>2023</v>
      </c>
      <c r="Y271" t="s">
        <v>312</v>
      </c>
      <c r="Z271" t="s">
        <v>83</v>
      </c>
    </row>
    <row r="272" spans="1:26">
      <c r="A272" t="s">
        <v>805</v>
      </c>
      <c r="B272" t="s">
        <v>66</v>
      </c>
      <c r="C272" t="s">
        <v>121</v>
      </c>
      <c r="D272" t="s">
        <v>77</v>
      </c>
      <c r="E272" t="s">
        <v>216</v>
      </c>
      <c r="F272" t="s">
        <v>95</v>
      </c>
      <c r="G272" t="s">
        <v>32</v>
      </c>
      <c r="H272">
        <v>8.1</v>
      </c>
      <c r="I272">
        <v>17.3</v>
      </c>
      <c r="J272" t="s">
        <v>20</v>
      </c>
      <c r="K272" t="s">
        <v>785</v>
      </c>
      <c r="L272" t="s">
        <v>60</v>
      </c>
      <c r="M272" t="s">
        <v>806</v>
      </c>
      <c r="N272" t="s">
        <v>171</v>
      </c>
      <c r="O272">
        <v>91</v>
      </c>
      <c r="P272" t="s">
        <v>2265</v>
      </c>
      <c r="Q272">
        <v>0</v>
      </c>
      <c r="R272">
        <v>0</v>
      </c>
      <c r="S272" t="s">
        <v>2265</v>
      </c>
      <c r="T272" t="s">
        <v>136</v>
      </c>
      <c r="U272" t="s">
        <v>39</v>
      </c>
      <c r="V272" t="s">
        <v>39</v>
      </c>
      <c r="W272" t="s">
        <v>52</v>
      </c>
      <c r="X272">
        <v>2023</v>
      </c>
      <c r="Y272" t="s">
        <v>211</v>
      </c>
      <c r="Z272" t="s">
        <v>41</v>
      </c>
    </row>
    <row r="273" spans="1:26">
      <c r="A273" t="s">
        <v>807</v>
      </c>
      <c r="B273" t="s">
        <v>93</v>
      </c>
      <c r="C273" t="s">
        <v>173</v>
      </c>
      <c r="D273" t="s">
        <v>85</v>
      </c>
      <c r="E273" t="s">
        <v>138</v>
      </c>
      <c r="F273" t="s">
        <v>31</v>
      </c>
      <c r="G273" t="s">
        <v>32</v>
      </c>
      <c r="H273">
        <v>2.8</v>
      </c>
      <c r="I273">
        <v>11.4</v>
      </c>
      <c r="J273" t="s">
        <v>33</v>
      </c>
      <c r="K273" t="s">
        <v>302</v>
      </c>
      <c r="L273" t="s">
        <v>126</v>
      </c>
      <c r="M273" t="s">
        <v>80</v>
      </c>
      <c r="N273" t="s">
        <v>71</v>
      </c>
      <c r="O273">
        <v>19</v>
      </c>
      <c r="P273" t="s">
        <v>72</v>
      </c>
      <c r="Q273">
        <v>1163</v>
      </c>
      <c r="R273">
        <v>0</v>
      </c>
      <c r="S273" t="s">
        <v>90</v>
      </c>
      <c r="T273" t="s">
        <v>136</v>
      </c>
      <c r="U273" t="s">
        <v>39</v>
      </c>
      <c r="V273" t="s">
        <v>39</v>
      </c>
      <c r="W273" t="s">
        <v>39</v>
      </c>
      <c r="X273">
        <v>2024</v>
      </c>
      <c r="Y273" t="s">
        <v>74</v>
      </c>
      <c r="Z273" t="s">
        <v>54</v>
      </c>
    </row>
    <row r="274" spans="1:26">
      <c r="A274" t="s">
        <v>808</v>
      </c>
      <c r="B274" t="s">
        <v>108</v>
      </c>
      <c r="C274" t="s">
        <v>76</v>
      </c>
      <c r="D274" t="s">
        <v>77</v>
      </c>
      <c r="E274" t="s">
        <v>363</v>
      </c>
      <c r="F274" t="s">
        <v>238</v>
      </c>
      <c r="G274" t="s">
        <v>32</v>
      </c>
      <c r="H274">
        <v>4.8</v>
      </c>
      <c r="I274">
        <v>3.8</v>
      </c>
      <c r="J274" t="s">
        <v>20</v>
      </c>
      <c r="K274" t="s">
        <v>495</v>
      </c>
      <c r="L274" t="s">
        <v>35</v>
      </c>
      <c r="M274" t="s">
        <v>809</v>
      </c>
      <c r="N274" t="s">
        <v>71</v>
      </c>
      <c r="O274">
        <v>180</v>
      </c>
      <c r="P274" t="s">
        <v>230</v>
      </c>
      <c r="Q274">
        <v>4725</v>
      </c>
      <c r="R274">
        <v>0</v>
      </c>
      <c r="S274" t="s">
        <v>152</v>
      </c>
      <c r="T274" t="s">
        <v>62</v>
      </c>
      <c r="U274" t="s">
        <v>39</v>
      </c>
      <c r="V274" t="s">
        <v>39</v>
      </c>
      <c r="W274" t="s">
        <v>52</v>
      </c>
      <c r="X274">
        <v>2023</v>
      </c>
      <c r="Y274" t="s">
        <v>53</v>
      </c>
      <c r="Z274" t="s">
        <v>54</v>
      </c>
    </row>
    <row r="275" spans="1:26">
      <c r="A275" t="s">
        <v>810</v>
      </c>
      <c r="B275" t="s">
        <v>116</v>
      </c>
      <c r="C275" t="s">
        <v>76</v>
      </c>
      <c r="D275" t="s">
        <v>29</v>
      </c>
      <c r="E275" t="s">
        <v>45</v>
      </c>
      <c r="F275" t="s">
        <v>46</v>
      </c>
      <c r="G275" t="s">
        <v>32</v>
      </c>
      <c r="H275">
        <v>1.7</v>
      </c>
      <c r="I275">
        <v>29.4</v>
      </c>
      <c r="J275" t="s">
        <v>96</v>
      </c>
      <c r="K275" t="s">
        <v>811</v>
      </c>
      <c r="L275" t="s">
        <v>126</v>
      </c>
      <c r="M275" t="s">
        <v>812</v>
      </c>
      <c r="N275" t="s">
        <v>50</v>
      </c>
      <c r="O275">
        <v>73</v>
      </c>
      <c r="P275" t="s">
        <v>2265</v>
      </c>
      <c r="Q275">
        <v>0</v>
      </c>
      <c r="R275">
        <v>0</v>
      </c>
      <c r="S275" t="s">
        <v>2265</v>
      </c>
      <c r="T275" t="s">
        <v>136</v>
      </c>
      <c r="U275" t="s">
        <v>39</v>
      </c>
      <c r="V275" t="s">
        <v>52</v>
      </c>
      <c r="W275" t="s">
        <v>52</v>
      </c>
      <c r="X275">
        <v>2023</v>
      </c>
      <c r="Y275" t="s">
        <v>53</v>
      </c>
      <c r="Z275" t="s">
        <v>54</v>
      </c>
    </row>
    <row r="276" spans="1:26">
      <c r="A276" t="s">
        <v>813</v>
      </c>
      <c r="B276" t="s">
        <v>93</v>
      </c>
      <c r="C276" t="s">
        <v>67</v>
      </c>
      <c r="D276" t="s">
        <v>77</v>
      </c>
      <c r="E276" t="s">
        <v>216</v>
      </c>
      <c r="F276" t="s">
        <v>149</v>
      </c>
      <c r="G276" t="s">
        <v>58</v>
      </c>
      <c r="H276">
        <v>6.3</v>
      </c>
      <c r="I276">
        <v>22.6</v>
      </c>
      <c r="J276" t="s">
        <v>96</v>
      </c>
      <c r="K276" t="s">
        <v>279</v>
      </c>
      <c r="L276" t="s">
        <v>35</v>
      </c>
      <c r="M276" t="s">
        <v>127</v>
      </c>
      <c r="N276" t="s">
        <v>100</v>
      </c>
      <c r="O276">
        <v>162</v>
      </c>
      <c r="P276" t="s">
        <v>2265</v>
      </c>
      <c r="Q276">
        <v>0</v>
      </c>
      <c r="R276">
        <v>0</v>
      </c>
      <c r="S276" t="s">
        <v>2265</v>
      </c>
      <c r="T276" t="s">
        <v>136</v>
      </c>
      <c r="U276" t="s">
        <v>39</v>
      </c>
      <c r="V276" t="s">
        <v>52</v>
      </c>
      <c r="W276" t="s">
        <v>52</v>
      </c>
      <c r="X276">
        <v>2024</v>
      </c>
      <c r="Y276" t="s">
        <v>40</v>
      </c>
      <c r="Z276" t="s">
        <v>41</v>
      </c>
    </row>
    <row r="277" spans="1:26">
      <c r="A277" t="s">
        <v>814</v>
      </c>
      <c r="B277" t="s">
        <v>93</v>
      </c>
      <c r="C277" t="s">
        <v>121</v>
      </c>
      <c r="D277" t="s">
        <v>29</v>
      </c>
      <c r="E277" t="s">
        <v>45</v>
      </c>
      <c r="F277" t="s">
        <v>109</v>
      </c>
      <c r="G277" t="s">
        <v>58</v>
      </c>
      <c r="H277">
        <v>9.1</v>
      </c>
      <c r="I277">
        <v>5.2</v>
      </c>
      <c r="J277" t="s">
        <v>156</v>
      </c>
      <c r="K277" t="s">
        <v>815</v>
      </c>
      <c r="L277" t="s">
        <v>126</v>
      </c>
      <c r="M277" t="s">
        <v>728</v>
      </c>
      <c r="N277" t="s">
        <v>71</v>
      </c>
      <c r="O277">
        <v>3</v>
      </c>
      <c r="P277" t="s">
        <v>112</v>
      </c>
      <c r="Q277">
        <v>3643</v>
      </c>
      <c r="R277">
        <v>5000</v>
      </c>
      <c r="S277" t="s">
        <v>152</v>
      </c>
      <c r="T277" t="s">
        <v>38</v>
      </c>
      <c r="U277" t="s">
        <v>52</v>
      </c>
      <c r="V277" t="s">
        <v>52</v>
      </c>
      <c r="W277" t="s">
        <v>52</v>
      </c>
      <c r="X277">
        <v>2023</v>
      </c>
      <c r="Y277" t="s">
        <v>114</v>
      </c>
      <c r="Z277" t="s">
        <v>41</v>
      </c>
    </row>
    <row r="278" spans="1:26">
      <c r="A278" t="s">
        <v>816</v>
      </c>
      <c r="B278" t="s">
        <v>66</v>
      </c>
      <c r="C278" t="s">
        <v>44</v>
      </c>
      <c r="D278" t="s">
        <v>77</v>
      </c>
      <c r="E278" t="s">
        <v>260</v>
      </c>
      <c r="F278" t="s">
        <v>57</v>
      </c>
      <c r="G278" t="s">
        <v>58</v>
      </c>
      <c r="H278">
        <v>4.8</v>
      </c>
      <c r="I278">
        <v>6.1</v>
      </c>
      <c r="J278" t="s">
        <v>33</v>
      </c>
      <c r="K278" t="s">
        <v>315</v>
      </c>
      <c r="L278" t="s">
        <v>35</v>
      </c>
      <c r="M278" t="s">
        <v>817</v>
      </c>
      <c r="N278" t="s">
        <v>100</v>
      </c>
      <c r="O278">
        <v>106</v>
      </c>
      <c r="P278" t="s">
        <v>2265</v>
      </c>
      <c r="Q278">
        <v>0</v>
      </c>
      <c r="R278">
        <v>0</v>
      </c>
      <c r="S278" t="s">
        <v>2265</v>
      </c>
      <c r="T278" t="s">
        <v>136</v>
      </c>
      <c r="U278" t="s">
        <v>39</v>
      </c>
      <c r="V278" t="s">
        <v>52</v>
      </c>
      <c r="W278" t="s">
        <v>52</v>
      </c>
      <c r="X278">
        <v>2023</v>
      </c>
      <c r="Y278" t="s">
        <v>106</v>
      </c>
      <c r="Z278" t="s">
        <v>83</v>
      </c>
    </row>
    <row r="279" spans="1:26">
      <c r="A279" t="s">
        <v>818</v>
      </c>
      <c r="B279" t="s">
        <v>43</v>
      </c>
      <c r="C279" t="s">
        <v>173</v>
      </c>
      <c r="D279" t="s">
        <v>29</v>
      </c>
      <c r="E279" t="s">
        <v>94</v>
      </c>
      <c r="F279" t="s">
        <v>95</v>
      </c>
      <c r="G279" t="s">
        <v>32</v>
      </c>
      <c r="H279">
        <v>2.2999999999999998</v>
      </c>
      <c r="I279">
        <v>2.9</v>
      </c>
      <c r="J279" t="s">
        <v>20</v>
      </c>
      <c r="K279" t="s">
        <v>710</v>
      </c>
      <c r="L279" t="s">
        <v>126</v>
      </c>
      <c r="M279" t="s">
        <v>127</v>
      </c>
      <c r="N279" t="s">
        <v>100</v>
      </c>
      <c r="O279">
        <v>69</v>
      </c>
      <c r="P279" t="s">
        <v>2265</v>
      </c>
      <c r="Q279">
        <v>0</v>
      </c>
      <c r="R279">
        <v>0</v>
      </c>
      <c r="S279" t="s">
        <v>2265</v>
      </c>
      <c r="T279" t="s">
        <v>51</v>
      </c>
      <c r="U279" t="s">
        <v>52</v>
      </c>
      <c r="V279" t="s">
        <v>39</v>
      </c>
      <c r="W279" t="s">
        <v>52</v>
      </c>
      <c r="X279">
        <v>2024</v>
      </c>
      <c r="Y279" t="s">
        <v>63</v>
      </c>
      <c r="Z279" t="s">
        <v>64</v>
      </c>
    </row>
    <row r="280" spans="1:26">
      <c r="A280" t="s">
        <v>819</v>
      </c>
      <c r="B280" t="s">
        <v>108</v>
      </c>
      <c r="C280" t="s">
        <v>76</v>
      </c>
      <c r="D280" t="s">
        <v>77</v>
      </c>
      <c r="E280" t="s">
        <v>216</v>
      </c>
      <c r="F280" t="s">
        <v>124</v>
      </c>
      <c r="G280" t="s">
        <v>58</v>
      </c>
      <c r="H280">
        <v>3.5</v>
      </c>
      <c r="I280">
        <v>4.8</v>
      </c>
      <c r="J280" t="s">
        <v>33</v>
      </c>
      <c r="K280" t="s">
        <v>820</v>
      </c>
      <c r="L280" t="s">
        <v>35</v>
      </c>
      <c r="M280" t="s">
        <v>821</v>
      </c>
      <c r="N280" t="s">
        <v>71</v>
      </c>
      <c r="O280">
        <v>137</v>
      </c>
      <c r="P280" t="s">
        <v>112</v>
      </c>
      <c r="Q280">
        <v>4523</v>
      </c>
      <c r="R280">
        <v>0</v>
      </c>
      <c r="S280" t="s">
        <v>113</v>
      </c>
      <c r="T280" t="s">
        <v>51</v>
      </c>
      <c r="U280" t="s">
        <v>52</v>
      </c>
      <c r="V280" t="s">
        <v>52</v>
      </c>
      <c r="W280" t="s">
        <v>52</v>
      </c>
      <c r="X280">
        <v>2022</v>
      </c>
      <c r="Y280" t="s">
        <v>74</v>
      </c>
      <c r="Z280" t="s">
        <v>54</v>
      </c>
    </row>
    <row r="281" spans="1:26">
      <c r="A281" t="s">
        <v>822</v>
      </c>
      <c r="B281" t="s">
        <v>27</v>
      </c>
      <c r="C281" t="s">
        <v>121</v>
      </c>
      <c r="D281" t="s">
        <v>122</v>
      </c>
      <c r="E281" t="s">
        <v>130</v>
      </c>
      <c r="F281" t="s">
        <v>68</v>
      </c>
      <c r="G281" t="s">
        <v>58</v>
      </c>
      <c r="H281">
        <v>3.3</v>
      </c>
      <c r="I281">
        <v>14</v>
      </c>
      <c r="J281" t="s">
        <v>96</v>
      </c>
      <c r="K281" t="s">
        <v>468</v>
      </c>
      <c r="L281" t="s">
        <v>60</v>
      </c>
      <c r="M281" t="s">
        <v>823</v>
      </c>
      <c r="N281" t="s">
        <v>71</v>
      </c>
      <c r="O281">
        <v>85</v>
      </c>
      <c r="P281" t="s">
        <v>112</v>
      </c>
      <c r="Q281">
        <v>1098</v>
      </c>
      <c r="R281">
        <v>0</v>
      </c>
      <c r="S281" t="s">
        <v>73</v>
      </c>
      <c r="T281" t="s">
        <v>38</v>
      </c>
      <c r="U281" t="s">
        <v>39</v>
      </c>
      <c r="V281" t="s">
        <v>52</v>
      </c>
      <c r="W281" t="s">
        <v>52</v>
      </c>
      <c r="X281">
        <v>2022</v>
      </c>
      <c r="Y281" t="s">
        <v>312</v>
      </c>
      <c r="Z281" t="s">
        <v>83</v>
      </c>
    </row>
    <row r="282" spans="1:26">
      <c r="A282" t="s">
        <v>824</v>
      </c>
      <c r="B282" t="s">
        <v>66</v>
      </c>
      <c r="C282" t="s">
        <v>173</v>
      </c>
      <c r="D282" t="s">
        <v>77</v>
      </c>
      <c r="E282" t="s">
        <v>220</v>
      </c>
      <c r="F282" t="s">
        <v>46</v>
      </c>
      <c r="G282" t="s">
        <v>58</v>
      </c>
      <c r="H282">
        <v>11.8</v>
      </c>
      <c r="I282">
        <v>16.8</v>
      </c>
      <c r="J282" t="s">
        <v>156</v>
      </c>
      <c r="K282" t="s">
        <v>192</v>
      </c>
      <c r="L282" t="s">
        <v>98</v>
      </c>
      <c r="M282" t="s">
        <v>825</v>
      </c>
      <c r="N282" t="s">
        <v>71</v>
      </c>
      <c r="O282">
        <v>118</v>
      </c>
      <c r="P282" t="s">
        <v>230</v>
      </c>
      <c r="Q282">
        <v>7269</v>
      </c>
      <c r="R282">
        <v>2000</v>
      </c>
      <c r="S282" t="s">
        <v>73</v>
      </c>
      <c r="T282" t="s">
        <v>51</v>
      </c>
      <c r="U282" t="s">
        <v>52</v>
      </c>
      <c r="V282" t="s">
        <v>52</v>
      </c>
      <c r="W282" t="s">
        <v>52</v>
      </c>
      <c r="X282">
        <v>2023</v>
      </c>
      <c r="Y282" t="s">
        <v>82</v>
      </c>
      <c r="Z282" t="s">
        <v>83</v>
      </c>
    </row>
    <row r="283" spans="1:26">
      <c r="A283" t="s">
        <v>826</v>
      </c>
      <c r="B283" t="s">
        <v>116</v>
      </c>
      <c r="C283" t="s">
        <v>164</v>
      </c>
      <c r="D283" t="s">
        <v>77</v>
      </c>
      <c r="E283" t="s">
        <v>260</v>
      </c>
      <c r="F283" t="s">
        <v>160</v>
      </c>
      <c r="G283" t="s">
        <v>58</v>
      </c>
      <c r="H283">
        <v>2.9</v>
      </c>
      <c r="I283">
        <v>15.5</v>
      </c>
      <c r="J283" t="s">
        <v>144</v>
      </c>
      <c r="K283" t="s">
        <v>564</v>
      </c>
      <c r="L283" t="s">
        <v>48</v>
      </c>
      <c r="M283" t="s">
        <v>304</v>
      </c>
      <c r="N283" t="s">
        <v>37</v>
      </c>
      <c r="O283">
        <v>171</v>
      </c>
      <c r="P283" t="s">
        <v>2265</v>
      </c>
      <c r="Q283">
        <v>0</v>
      </c>
      <c r="R283">
        <v>0</v>
      </c>
      <c r="S283" t="s">
        <v>2265</v>
      </c>
      <c r="T283" t="s">
        <v>38</v>
      </c>
      <c r="U283" t="s">
        <v>39</v>
      </c>
      <c r="V283" t="s">
        <v>52</v>
      </c>
      <c r="W283" t="s">
        <v>52</v>
      </c>
      <c r="X283">
        <v>2022</v>
      </c>
      <c r="Y283" t="s">
        <v>74</v>
      </c>
      <c r="Z283" t="s">
        <v>54</v>
      </c>
    </row>
    <row r="284" spans="1:26">
      <c r="A284" t="s">
        <v>827</v>
      </c>
      <c r="B284" t="s">
        <v>93</v>
      </c>
      <c r="C284" t="s">
        <v>76</v>
      </c>
      <c r="D284" t="s">
        <v>77</v>
      </c>
      <c r="E284" t="s">
        <v>216</v>
      </c>
      <c r="F284" t="s">
        <v>238</v>
      </c>
      <c r="G284" t="s">
        <v>32</v>
      </c>
      <c r="H284">
        <v>6</v>
      </c>
      <c r="I284">
        <v>24.2</v>
      </c>
      <c r="J284" t="s">
        <v>156</v>
      </c>
      <c r="K284" t="s">
        <v>828</v>
      </c>
      <c r="L284" t="s">
        <v>48</v>
      </c>
      <c r="M284" t="s">
        <v>829</v>
      </c>
      <c r="N284" t="s">
        <v>37</v>
      </c>
      <c r="O284">
        <v>23</v>
      </c>
      <c r="P284" t="s">
        <v>2265</v>
      </c>
      <c r="Q284">
        <v>0</v>
      </c>
      <c r="R284">
        <v>0</v>
      </c>
      <c r="S284" t="s">
        <v>2265</v>
      </c>
      <c r="T284" t="s">
        <v>62</v>
      </c>
      <c r="U284" t="s">
        <v>39</v>
      </c>
      <c r="V284" t="s">
        <v>39</v>
      </c>
      <c r="W284" t="s">
        <v>52</v>
      </c>
      <c r="X284">
        <v>2024</v>
      </c>
      <c r="Y284" t="s">
        <v>106</v>
      </c>
      <c r="Z284" t="s">
        <v>83</v>
      </c>
    </row>
    <row r="285" spans="1:26">
      <c r="A285" t="s">
        <v>830</v>
      </c>
      <c r="B285" t="s">
        <v>43</v>
      </c>
      <c r="C285" t="s">
        <v>173</v>
      </c>
      <c r="D285" t="s">
        <v>77</v>
      </c>
      <c r="E285" t="s">
        <v>260</v>
      </c>
      <c r="F285" t="s">
        <v>238</v>
      </c>
      <c r="G285" t="s">
        <v>32</v>
      </c>
      <c r="H285">
        <v>8.3000000000000007</v>
      </c>
      <c r="I285">
        <v>12.9</v>
      </c>
      <c r="J285" t="s">
        <v>156</v>
      </c>
      <c r="K285" t="s">
        <v>227</v>
      </c>
      <c r="L285" t="s">
        <v>126</v>
      </c>
      <c r="M285" t="s">
        <v>254</v>
      </c>
      <c r="N285" t="s">
        <v>37</v>
      </c>
      <c r="O285">
        <v>113</v>
      </c>
      <c r="P285" t="s">
        <v>2265</v>
      </c>
      <c r="Q285">
        <v>0</v>
      </c>
      <c r="R285">
        <v>0</v>
      </c>
      <c r="S285" t="s">
        <v>2265</v>
      </c>
      <c r="T285" t="s">
        <v>62</v>
      </c>
      <c r="U285" t="s">
        <v>39</v>
      </c>
      <c r="V285" t="s">
        <v>52</v>
      </c>
      <c r="W285" t="s">
        <v>52</v>
      </c>
      <c r="X285">
        <v>2023</v>
      </c>
      <c r="Y285" t="s">
        <v>63</v>
      </c>
      <c r="Z285" t="s">
        <v>64</v>
      </c>
    </row>
    <row r="286" spans="1:26">
      <c r="A286" t="s">
        <v>831</v>
      </c>
      <c r="B286" t="s">
        <v>27</v>
      </c>
      <c r="C286" t="s">
        <v>164</v>
      </c>
      <c r="D286" t="s">
        <v>77</v>
      </c>
      <c r="E286" t="s">
        <v>216</v>
      </c>
      <c r="F286" t="s">
        <v>95</v>
      </c>
      <c r="G286" t="s">
        <v>58</v>
      </c>
      <c r="H286">
        <v>10.4</v>
      </c>
      <c r="I286">
        <v>21.2</v>
      </c>
      <c r="J286" t="s">
        <v>144</v>
      </c>
      <c r="K286" t="s">
        <v>832</v>
      </c>
      <c r="L286" t="s">
        <v>60</v>
      </c>
      <c r="M286" t="s">
        <v>833</v>
      </c>
      <c r="N286" t="s">
        <v>50</v>
      </c>
      <c r="O286">
        <v>83</v>
      </c>
      <c r="P286" t="s">
        <v>2265</v>
      </c>
      <c r="Q286">
        <v>0</v>
      </c>
      <c r="R286">
        <v>500</v>
      </c>
      <c r="S286" t="s">
        <v>2265</v>
      </c>
      <c r="T286" t="s">
        <v>51</v>
      </c>
      <c r="U286" t="s">
        <v>39</v>
      </c>
      <c r="V286" t="s">
        <v>52</v>
      </c>
      <c r="W286" t="s">
        <v>39</v>
      </c>
      <c r="X286">
        <v>2023</v>
      </c>
      <c r="Y286" t="s">
        <v>63</v>
      </c>
      <c r="Z286" t="s">
        <v>64</v>
      </c>
    </row>
    <row r="287" spans="1:26">
      <c r="A287" t="s">
        <v>834</v>
      </c>
      <c r="B287" t="s">
        <v>66</v>
      </c>
      <c r="C287" t="s">
        <v>28</v>
      </c>
      <c r="D287" t="s">
        <v>29</v>
      </c>
      <c r="E287" t="s">
        <v>117</v>
      </c>
      <c r="F287" t="s">
        <v>109</v>
      </c>
      <c r="G287" t="s">
        <v>32</v>
      </c>
      <c r="H287">
        <v>9.3000000000000007</v>
      </c>
      <c r="I287">
        <v>8.6999999999999993</v>
      </c>
      <c r="J287" t="s">
        <v>33</v>
      </c>
      <c r="K287" t="s">
        <v>835</v>
      </c>
      <c r="L287" t="s">
        <v>140</v>
      </c>
      <c r="M287" t="s">
        <v>836</v>
      </c>
      <c r="N287" t="s">
        <v>171</v>
      </c>
      <c r="O287">
        <v>5</v>
      </c>
      <c r="P287" t="s">
        <v>2265</v>
      </c>
      <c r="Q287">
        <v>0</v>
      </c>
      <c r="R287">
        <v>0</v>
      </c>
      <c r="S287" t="s">
        <v>2265</v>
      </c>
      <c r="T287" t="s">
        <v>136</v>
      </c>
      <c r="U287" t="s">
        <v>39</v>
      </c>
      <c r="V287" t="s">
        <v>52</v>
      </c>
      <c r="W287" t="s">
        <v>52</v>
      </c>
      <c r="X287">
        <v>2023</v>
      </c>
      <c r="Y287" t="s">
        <v>106</v>
      </c>
      <c r="Z287" t="s">
        <v>83</v>
      </c>
    </row>
    <row r="288" spans="1:26">
      <c r="A288" t="s">
        <v>837</v>
      </c>
      <c r="B288" t="s">
        <v>43</v>
      </c>
      <c r="C288" t="s">
        <v>164</v>
      </c>
      <c r="D288" t="s">
        <v>122</v>
      </c>
      <c r="E288" t="s">
        <v>130</v>
      </c>
      <c r="F288" t="s">
        <v>238</v>
      </c>
      <c r="G288" t="s">
        <v>58</v>
      </c>
      <c r="H288">
        <v>0.9</v>
      </c>
      <c r="I288">
        <v>29.3</v>
      </c>
      <c r="J288" t="s">
        <v>33</v>
      </c>
      <c r="K288" t="s">
        <v>320</v>
      </c>
      <c r="L288" t="s">
        <v>126</v>
      </c>
      <c r="M288" t="s">
        <v>838</v>
      </c>
      <c r="N288" t="s">
        <v>71</v>
      </c>
      <c r="O288">
        <v>29</v>
      </c>
      <c r="P288" t="s">
        <v>89</v>
      </c>
      <c r="Q288">
        <v>2643</v>
      </c>
      <c r="R288">
        <v>2000</v>
      </c>
      <c r="S288" t="s">
        <v>73</v>
      </c>
      <c r="T288" t="s">
        <v>38</v>
      </c>
      <c r="U288" t="s">
        <v>52</v>
      </c>
      <c r="V288" t="s">
        <v>52</v>
      </c>
      <c r="W288" t="s">
        <v>52</v>
      </c>
      <c r="X288">
        <v>2023</v>
      </c>
      <c r="Y288" t="s">
        <v>91</v>
      </c>
      <c r="Z288" t="s">
        <v>64</v>
      </c>
    </row>
    <row r="289" spans="1:26">
      <c r="A289" t="s">
        <v>839</v>
      </c>
      <c r="B289" t="s">
        <v>116</v>
      </c>
      <c r="C289" t="s">
        <v>102</v>
      </c>
      <c r="D289" t="s">
        <v>29</v>
      </c>
      <c r="E289" t="s">
        <v>244</v>
      </c>
      <c r="F289" t="s">
        <v>149</v>
      </c>
      <c r="G289" t="s">
        <v>58</v>
      </c>
      <c r="H289">
        <v>2.7</v>
      </c>
      <c r="I289">
        <v>25.3</v>
      </c>
      <c r="J289" t="s">
        <v>144</v>
      </c>
      <c r="K289" t="s">
        <v>178</v>
      </c>
      <c r="L289" t="s">
        <v>98</v>
      </c>
      <c r="M289" t="s">
        <v>840</v>
      </c>
      <c r="N289" t="s">
        <v>171</v>
      </c>
      <c r="O289">
        <v>13</v>
      </c>
      <c r="P289" t="s">
        <v>2265</v>
      </c>
      <c r="Q289">
        <v>0</v>
      </c>
      <c r="R289">
        <v>0</v>
      </c>
      <c r="S289" t="s">
        <v>2265</v>
      </c>
      <c r="T289" t="s">
        <v>38</v>
      </c>
      <c r="U289" t="s">
        <v>39</v>
      </c>
      <c r="V289" t="s">
        <v>52</v>
      </c>
      <c r="W289" t="s">
        <v>52</v>
      </c>
      <c r="X289">
        <v>2023</v>
      </c>
      <c r="Y289" t="s">
        <v>153</v>
      </c>
      <c r="Z289" t="s">
        <v>54</v>
      </c>
    </row>
    <row r="290" spans="1:26">
      <c r="A290" t="s">
        <v>841</v>
      </c>
      <c r="B290" t="s">
        <v>27</v>
      </c>
      <c r="C290" t="s">
        <v>28</v>
      </c>
      <c r="D290" t="s">
        <v>122</v>
      </c>
      <c r="E290" t="s">
        <v>123</v>
      </c>
      <c r="F290" t="s">
        <v>95</v>
      </c>
      <c r="G290" t="s">
        <v>58</v>
      </c>
      <c r="H290">
        <v>3.7</v>
      </c>
      <c r="I290">
        <v>33.1</v>
      </c>
      <c r="J290" t="s">
        <v>20</v>
      </c>
      <c r="K290" t="s">
        <v>842</v>
      </c>
      <c r="L290" t="s">
        <v>126</v>
      </c>
      <c r="M290" t="s">
        <v>843</v>
      </c>
      <c r="N290" t="s">
        <v>71</v>
      </c>
      <c r="O290">
        <v>136</v>
      </c>
      <c r="P290" t="s">
        <v>89</v>
      </c>
      <c r="Q290">
        <v>788</v>
      </c>
      <c r="R290">
        <v>5000</v>
      </c>
      <c r="S290" t="s">
        <v>113</v>
      </c>
      <c r="T290" t="s">
        <v>62</v>
      </c>
      <c r="U290" t="s">
        <v>39</v>
      </c>
      <c r="V290" t="s">
        <v>52</v>
      </c>
      <c r="W290" t="s">
        <v>52</v>
      </c>
      <c r="X290">
        <v>2023</v>
      </c>
      <c r="Y290" t="s">
        <v>153</v>
      </c>
      <c r="Z290" t="s">
        <v>54</v>
      </c>
    </row>
    <row r="291" spans="1:26">
      <c r="A291" t="s">
        <v>844</v>
      </c>
      <c r="B291" t="s">
        <v>108</v>
      </c>
      <c r="C291" t="s">
        <v>28</v>
      </c>
      <c r="D291" t="s">
        <v>29</v>
      </c>
      <c r="E291" t="s">
        <v>94</v>
      </c>
      <c r="F291" t="s">
        <v>68</v>
      </c>
      <c r="G291" t="s">
        <v>58</v>
      </c>
      <c r="H291">
        <v>8.1</v>
      </c>
      <c r="I291">
        <v>24.7</v>
      </c>
      <c r="J291" t="s">
        <v>20</v>
      </c>
      <c r="K291" t="s">
        <v>845</v>
      </c>
      <c r="L291" t="s">
        <v>126</v>
      </c>
      <c r="M291" t="s">
        <v>846</v>
      </c>
      <c r="N291" t="s">
        <v>171</v>
      </c>
      <c r="O291">
        <v>28</v>
      </c>
      <c r="P291" t="s">
        <v>2265</v>
      </c>
      <c r="Q291">
        <v>0</v>
      </c>
      <c r="R291">
        <v>0</v>
      </c>
      <c r="S291" t="s">
        <v>2265</v>
      </c>
      <c r="T291" t="s">
        <v>62</v>
      </c>
      <c r="U291" t="s">
        <v>39</v>
      </c>
      <c r="V291" t="s">
        <v>52</v>
      </c>
      <c r="W291" t="s">
        <v>52</v>
      </c>
      <c r="X291">
        <v>2024</v>
      </c>
      <c r="Y291" t="s">
        <v>74</v>
      </c>
      <c r="Z291" t="s">
        <v>54</v>
      </c>
    </row>
    <row r="292" spans="1:26">
      <c r="A292" t="s">
        <v>847</v>
      </c>
      <c r="B292" t="s">
        <v>93</v>
      </c>
      <c r="C292" t="s">
        <v>44</v>
      </c>
      <c r="D292" t="s">
        <v>29</v>
      </c>
      <c r="E292" t="s">
        <v>244</v>
      </c>
      <c r="F292" t="s">
        <v>57</v>
      </c>
      <c r="G292" t="s">
        <v>32</v>
      </c>
      <c r="H292">
        <v>6.6</v>
      </c>
      <c r="I292">
        <v>34.9</v>
      </c>
      <c r="J292" t="s">
        <v>20</v>
      </c>
      <c r="K292" t="s">
        <v>848</v>
      </c>
      <c r="L292" t="s">
        <v>48</v>
      </c>
      <c r="M292" t="s">
        <v>849</v>
      </c>
      <c r="N292" t="s">
        <v>171</v>
      </c>
      <c r="O292">
        <v>91</v>
      </c>
      <c r="P292" t="s">
        <v>2265</v>
      </c>
      <c r="Q292">
        <v>0</v>
      </c>
      <c r="R292">
        <v>0</v>
      </c>
      <c r="S292" t="s">
        <v>2265</v>
      </c>
      <c r="T292" t="s">
        <v>62</v>
      </c>
      <c r="U292" t="s">
        <v>39</v>
      </c>
      <c r="V292" t="s">
        <v>52</v>
      </c>
      <c r="W292" t="s">
        <v>52</v>
      </c>
      <c r="X292">
        <v>2024</v>
      </c>
      <c r="Y292" t="s">
        <v>153</v>
      </c>
      <c r="Z292" t="s">
        <v>54</v>
      </c>
    </row>
    <row r="293" spans="1:26">
      <c r="A293" t="s">
        <v>850</v>
      </c>
      <c r="B293" t="s">
        <v>93</v>
      </c>
      <c r="C293" t="s">
        <v>76</v>
      </c>
      <c r="D293" t="s">
        <v>122</v>
      </c>
      <c r="E293" t="s">
        <v>130</v>
      </c>
      <c r="F293" t="s">
        <v>160</v>
      </c>
      <c r="G293" t="s">
        <v>58</v>
      </c>
      <c r="H293">
        <v>7.2</v>
      </c>
      <c r="I293">
        <v>18.399999999999999</v>
      </c>
      <c r="J293" t="s">
        <v>33</v>
      </c>
      <c r="K293" t="s">
        <v>49</v>
      </c>
      <c r="L293" t="s">
        <v>60</v>
      </c>
      <c r="M293" t="s">
        <v>407</v>
      </c>
      <c r="N293" t="s">
        <v>71</v>
      </c>
      <c r="O293">
        <v>102</v>
      </c>
      <c r="P293" t="s">
        <v>230</v>
      </c>
      <c r="Q293">
        <v>641</v>
      </c>
      <c r="R293">
        <v>0</v>
      </c>
      <c r="S293" t="s">
        <v>152</v>
      </c>
      <c r="T293" t="s">
        <v>62</v>
      </c>
      <c r="U293" t="s">
        <v>39</v>
      </c>
      <c r="V293" t="s">
        <v>39</v>
      </c>
      <c r="W293" t="s">
        <v>39</v>
      </c>
      <c r="X293">
        <v>2024</v>
      </c>
      <c r="Y293" t="s">
        <v>40</v>
      </c>
      <c r="Z293" t="s">
        <v>41</v>
      </c>
    </row>
    <row r="294" spans="1:26">
      <c r="A294" t="s">
        <v>851</v>
      </c>
      <c r="B294" t="s">
        <v>43</v>
      </c>
      <c r="C294" t="s">
        <v>173</v>
      </c>
      <c r="D294" t="s">
        <v>77</v>
      </c>
      <c r="E294" t="s">
        <v>260</v>
      </c>
      <c r="F294" t="s">
        <v>160</v>
      </c>
      <c r="G294" t="s">
        <v>58</v>
      </c>
      <c r="H294">
        <v>4.5</v>
      </c>
      <c r="I294">
        <v>20.6</v>
      </c>
      <c r="J294" t="s">
        <v>20</v>
      </c>
      <c r="K294" t="s">
        <v>852</v>
      </c>
      <c r="L294" t="s">
        <v>126</v>
      </c>
      <c r="M294" t="s">
        <v>853</v>
      </c>
      <c r="N294" t="s">
        <v>61</v>
      </c>
      <c r="O294">
        <v>36</v>
      </c>
      <c r="P294" t="s">
        <v>2265</v>
      </c>
      <c r="Q294">
        <v>0</v>
      </c>
      <c r="R294">
        <v>0</v>
      </c>
      <c r="S294" t="s">
        <v>2265</v>
      </c>
      <c r="T294" t="s">
        <v>62</v>
      </c>
      <c r="U294" t="s">
        <v>39</v>
      </c>
      <c r="V294" t="s">
        <v>52</v>
      </c>
      <c r="W294" t="s">
        <v>39</v>
      </c>
      <c r="X294">
        <v>2022</v>
      </c>
      <c r="Y294" t="s">
        <v>128</v>
      </c>
      <c r="Z294" t="s">
        <v>64</v>
      </c>
    </row>
    <row r="295" spans="1:26">
      <c r="A295" t="s">
        <v>854</v>
      </c>
      <c r="B295" t="s">
        <v>27</v>
      </c>
      <c r="C295" t="s">
        <v>44</v>
      </c>
      <c r="D295" t="s">
        <v>122</v>
      </c>
      <c r="E295" t="s">
        <v>130</v>
      </c>
      <c r="F295" t="s">
        <v>95</v>
      </c>
      <c r="G295" t="s">
        <v>58</v>
      </c>
      <c r="H295">
        <v>3.7</v>
      </c>
      <c r="I295">
        <v>25.7</v>
      </c>
      <c r="J295" t="s">
        <v>96</v>
      </c>
      <c r="K295" t="s">
        <v>855</v>
      </c>
      <c r="L295" t="s">
        <v>60</v>
      </c>
      <c r="M295" t="s">
        <v>258</v>
      </c>
      <c r="N295" t="s">
        <v>71</v>
      </c>
      <c r="O295">
        <v>125</v>
      </c>
      <c r="P295" t="s">
        <v>72</v>
      </c>
      <c r="Q295">
        <v>2938</v>
      </c>
      <c r="R295">
        <v>2000</v>
      </c>
      <c r="S295" t="s">
        <v>90</v>
      </c>
      <c r="T295" t="s">
        <v>136</v>
      </c>
      <c r="U295" t="s">
        <v>39</v>
      </c>
      <c r="V295" t="s">
        <v>39</v>
      </c>
      <c r="W295" t="s">
        <v>39</v>
      </c>
      <c r="X295">
        <v>2022</v>
      </c>
      <c r="Y295" t="s">
        <v>63</v>
      </c>
      <c r="Z295" t="s">
        <v>64</v>
      </c>
    </row>
    <row r="296" spans="1:26">
      <c r="A296" t="s">
        <v>856</v>
      </c>
      <c r="B296" t="s">
        <v>66</v>
      </c>
      <c r="C296" t="s">
        <v>102</v>
      </c>
      <c r="D296" t="s">
        <v>85</v>
      </c>
      <c r="E296" t="s">
        <v>174</v>
      </c>
      <c r="F296" t="s">
        <v>68</v>
      </c>
      <c r="G296" t="s">
        <v>58</v>
      </c>
      <c r="H296">
        <v>6.8</v>
      </c>
      <c r="I296">
        <v>11.8</v>
      </c>
      <c r="J296" t="s">
        <v>156</v>
      </c>
      <c r="K296" t="s">
        <v>728</v>
      </c>
      <c r="L296" t="s">
        <v>98</v>
      </c>
      <c r="M296" t="s">
        <v>857</v>
      </c>
      <c r="N296" t="s">
        <v>71</v>
      </c>
      <c r="O296">
        <v>135</v>
      </c>
      <c r="P296" t="s">
        <v>112</v>
      </c>
      <c r="Q296">
        <v>1807</v>
      </c>
      <c r="R296">
        <v>1000</v>
      </c>
      <c r="S296" t="s">
        <v>90</v>
      </c>
      <c r="T296" t="s">
        <v>62</v>
      </c>
      <c r="U296" t="s">
        <v>39</v>
      </c>
      <c r="V296" t="s">
        <v>39</v>
      </c>
      <c r="W296" t="s">
        <v>52</v>
      </c>
      <c r="X296">
        <v>2023</v>
      </c>
      <c r="Y296" t="s">
        <v>114</v>
      </c>
      <c r="Z296" t="s">
        <v>41</v>
      </c>
    </row>
    <row r="297" spans="1:26">
      <c r="A297" t="s">
        <v>858</v>
      </c>
      <c r="B297" t="s">
        <v>27</v>
      </c>
      <c r="C297" t="s">
        <v>44</v>
      </c>
      <c r="D297" t="s">
        <v>29</v>
      </c>
      <c r="E297" t="s">
        <v>195</v>
      </c>
      <c r="F297" t="s">
        <v>160</v>
      </c>
      <c r="G297" t="s">
        <v>58</v>
      </c>
      <c r="H297">
        <v>5.8</v>
      </c>
      <c r="I297">
        <v>26.2</v>
      </c>
      <c r="J297" t="s">
        <v>144</v>
      </c>
      <c r="K297" t="s">
        <v>859</v>
      </c>
      <c r="L297" t="s">
        <v>140</v>
      </c>
      <c r="M297" t="s">
        <v>746</v>
      </c>
      <c r="N297" t="s">
        <v>71</v>
      </c>
      <c r="O297">
        <v>38</v>
      </c>
      <c r="P297" t="s">
        <v>112</v>
      </c>
      <c r="Q297">
        <v>2876</v>
      </c>
      <c r="R297">
        <v>0</v>
      </c>
      <c r="S297" t="s">
        <v>113</v>
      </c>
      <c r="T297" t="s">
        <v>81</v>
      </c>
      <c r="U297" t="s">
        <v>52</v>
      </c>
      <c r="V297" t="s">
        <v>52</v>
      </c>
      <c r="W297" t="s">
        <v>52</v>
      </c>
      <c r="X297">
        <v>2024</v>
      </c>
      <c r="Y297" t="s">
        <v>312</v>
      </c>
      <c r="Z297" t="s">
        <v>83</v>
      </c>
    </row>
    <row r="298" spans="1:26">
      <c r="A298" t="s">
        <v>860</v>
      </c>
      <c r="B298" t="s">
        <v>93</v>
      </c>
      <c r="C298" t="s">
        <v>28</v>
      </c>
      <c r="D298" t="s">
        <v>77</v>
      </c>
      <c r="E298" t="s">
        <v>94</v>
      </c>
      <c r="F298" t="s">
        <v>95</v>
      </c>
      <c r="G298" t="s">
        <v>32</v>
      </c>
      <c r="H298">
        <v>1</v>
      </c>
      <c r="I298">
        <v>27.3</v>
      </c>
      <c r="J298" t="s">
        <v>144</v>
      </c>
      <c r="K298" t="s">
        <v>861</v>
      </c>
      <c r="L298" t="s">
        <v>60</v>
      </c>
      <c r="M298" t="s">
        <v>862</v>
      </c>
      <c r="N298" t="s">
        <v>37</v>
      </c>
      <c r="O298">
        <v>144</v>
      </c>
      <c r="P298" t="s">
        <v>2265</v>
      </c>
      <c r="Q298">
        <v>0</v>
      </c>
      <c r="R298">
        <v>0</v>
      </c>
      <c r="S298" t="s">
        <v>2265</v>
      </c>
      <c r="T298" t="s">
        <v>51</v>
      </c>
      <c r="U298" t="s">
        <v>39</v>
      </c>
      <c r="V298" t="s">
        <v>52</v>
      </c>
      <c r="W298" t="s">
        <v>52</v>
      </c>
      <c r="X298">
        <v>2023</v>
      </c>
      <c r="Y298" t="s">
        <v>82</v>
      </c>
      <c r="Z298" t="s">
        <v>83</v>
      </c>
    </row>
    <row r="299" spans="1:26">
      <c r="A299" t="s">
        <v>863</v>
      </c>
      <c r="B299" t="s">
        <v>108</v>
      </c>
      <c r="C299" t="s">
        <v>164</v>
      </c>
      <c r="D299" t="s">
        <v>77</v>
      </c>
      <c r="E299" t="s">
        <v>220</v>
      </c>
      <c r="F299" t="s">
        <v>149</v>
      </c>
      <c r="G299" t="s">
        <v>58</v>
      </c>
      <c r="H299">
        <v>7.4</v>
      </c>
      <c r="I299">
        <v>34.700000000000003</v>
      </c>
      <c r="J299" t="s">
        <v>96</v>
      </c>
      <c r="K299" t="s">
        <v>728</v>
      </c>
      <c r="L299" t="s">
        <v>48</v>
      </c>
      <c r="M299" t="s">
        <v>509</v>
      </c>
      <c r="N299" t="s">
        <v>171</v>
      </c>
      <c r="O299">
        <v>44</v>
      </c>
      <c r="P299" t="s">
        <v>2265</v>
      </c>
      <c r="Q299">
        <v>0</v>
      </c>
      <c r="R299">
        <v>0</v>
      </c>
      <c r="S299" t="s">
        <v>2265</v>
      </c>
      <c r="T299" t="s">
        <v>81</v>
      </c>
      <c r="U299" t="s">
        <v>39</v>
      </c>
      <c r="V299" t="s">
        <v>39</v>
      </c>
      <c r="W299" t="s">
        <v>39</v>
      </c>
      <c r="X299">
        <v>2023</v>
      </c>
      <c r="Y299" t="s">
        <v>114</v>
      </c>
      <c r="Z299" t="s">
        <v>41</v>
      </c>
    </row>
    <row r="300" spans="1:26">
      <c r="A300" t="s">
        <v>864</v>
      </c>
      <c r="B300" t="s">
        <v>116</v>
      </c>
      <c r="C300" t="s">
        <v>173</v>
      </c>
      <c r="D300" t="s">
        <v>29</v>
      </c>
      <c r="E300" t="s">
        <v>94</v>
      </c>
      <c r="F300" t="s">
        <v>149</v>
      </c>
      <c r="G300" t="s">
        <v>32</v>
      </c>
      <c r="H300">
        <v>3.5</v>
      </c>
      <c r="I300">
        <v>12.3</v>
      </c>
      <c r="J300" t="s">
        <v>33</v>
      </c>
      <c r="K300" t="s">
        <v>865</v>
      </c>
      <c r="L300" t="s">
        <v>60</v>
      </c>
      <c r="M300" t="s">
        <v>326</v>
      </c>
      <c r="N300" t="s">
        <v>71</v>
      </c>
      <c r="O300">
        <v>63</v>
      </c>
      <c r="P300" t="s">
        <v>89</v>
      </c>
      <c r="Q300">
        <v>4909</v>
      </c>
      <c r="R300">
        <v>5000</v>
      </c>
      <c r="S300" t="s">
        <v>113</v>
      </c>
      <c r="T300" t="s">
        <v>81</v>
      </c>
      <c r="U300" t="s">
        <v>39</v>
      </c>
      <c r="V300" t="s">
        <v>52</v>
      </c>
      <c r="W300" t="s">
        <v>52</v>
      </c>
      <c r="X300">
        <v>2022</v>
      </c>
      <c r="Y300" t="s">
        <v>74</v>
      </c>
      <c r="Z300" t="s">
        <v>54</v>
      </c>
    </row>
    <row r="301" spans="1:26">
      <c r="A301" t="s">
        <v>866</v>
      </c>
      <c r="B301" t="s">
        <v>66</v>
      </c>
      <c r="C301" t="s">
        <v>173</v>
      </c>
      <c r="D301" t="s">
        <v>77</v>
      </c>
      <c r="E301" t="s">
        <v>216</v>
      </c>
      <c r="F301" t="s">
        <v>238</v>
      </c>
      <c r="G301" t="s">
        <v>32</v>
      </c>
      <c r="H301">
        <v>0.8</v>
      </c>
      <c r="I301">
        <v>7.4</v>
      </c>
      <c r="J301" t="s">
        <v>156</v>
      </c>
      <c r="K301" t="s">
        <v>867</v>
      </c>
      <c r="L301" t="s">
        <v>35</v>
      </c>
      <c r="M301" t="s">
        <v>868</v>
      </c>
      <c r="N301" t="s">
        <v>71</v>
      </c>
      <c r="O301">
        <v>97</v>
      </c>
      <c r="P301" t="s">
        <v>230</v>
      </c>
      <c r="Q301">
        <v>5092</v>
      </c>
      <c r="R301">
        <v>0</v>
      </c>
      <c r="S301" t="s">
        <v>90</v>
      </c>
      <c r="T301" t="s">
        <v>51</v>
      </c>
      <c r="U301" t="s">
        <v>39</v>
      </c>
      <c r="V301" t="s">
        <v>39</v>
      </c>
      <c r="W301" t="s">
        <v>39</v>
      </c>
      <c r="X301">
        <v>2022</v>
      </c>
      <c r="Y301" t="s">
        <v>82</v>
      </c>
      <c r="Z301" t="s">
        <v>83</v>
      </c>
    </row>
    <row r="302" spans="1:26">
      <c r="A302" t="s">
        <v>869</v>
      </c>
      <c r="B302" t="s">
        <v>93</v>
      </c>
      <c r="C302" t="s">
        <v>121</v>
      </c>
      <c r="D302" t="s">
        <v>29</v>
      </c>
      <c r="E302" t="s">
        <v>195</v>
      </c>
      <c r="F302" t="s">
        <v>31</v>
      </c>
      <c r="G302" t="s">
        <v>58</v>
      </c>
      <c r="H302">
        <v>6.2</v>
      </c>
      <c r="I302">
        <v>25</v>
      </c>
      <c r="J302" t="s">
        <v>33</v>
      </c>
      <c r="K302" t="s">
        <v>870</v>
      </c>
      <c r="L302" t="s">
        <v>48</v>
      </c>
      <c r="M302" t="s">
        <v>871</v>
      </c>
      <c r="N302" t="s">
        <v>100</v>
      </c>
      <c r="O302">
        <v>60</v>
      </c>
      <c r="P302" t="s">
        <v>2265</v>
      </c>
      <c r="Q302">
        <v>0</v>
      </c>
      <c r="R302">
        <v>0</v>
      </c>
      <c r="S302" t="s">
        <v>2265</v>
      </c>
      <c r="T302" t="s">
        <v>62</v>
      </c>
      <c r="U302" t="s">
        <v>52</v>
      </c>
      <c r="V302" t="s">
        <v>52</v>
      </c>
      <c r="W302" t="s">
        <v>39</v>
      </c>
      <c r="X302">
        <v>2024</v>
      </c>
      <c r="Y302" t="s">
        <v>312</v>
      </c>
      <c r="Z302" t="s">
        <v>83</v>
      </c>
    </row>
    <row r="303" spans="1:26">
      <c r="A303" t="s">
        <v>872</v>
      </c>
      <c r="B303" t="s">
        <v>116</v>
      </c>
      <c r="C303" t="s">
        <v>67</v>
      </c>
      <c r="D303" t="s">
        <v>77</v>
      </c>
      <c r="E303" t="s">
        <v>363</v>
      </c>
      <c r="F303" t="s">
        <v>46</v>
      </c>
      <c r="G303" t="s">
        <v>32</v>
      </c>
      <c r="H303">
        <v>5.9</v>
      </c>
      <c r="I303">
        <v>26.2</v>
      </c>
      <c r="J303" t="s">
        <v>156</v>
      </c>
      <c r="K303" t="s">
        <v>873</v>
      </c>
      <c r="L303" t="s">
        <v>60</v>
      </c>
      <c r="M303" t="s">
        <v>127</v>
      </c>
      <c r="N303" t="s">
        <v>171</v>
      </c>
      <c r="O303">
        <v>79</v>
      </c>
      <c r="P303" t="s">
        <v>2265</v>
      </c>
      <c r="Q303">
        <v>0</v>
      </c>
      <c r="R303">
        <v>0</v>
      </c>
      <c r="S303" t="s">
        <v>2265</v>
      </c>
      <c r="T303" t="s">
        <v>81</v>
      </c>
      <c r="U303" t="s">
        <v>39</v>
      </c>
      <c r="V303" t="s">
        <v>39</v>
      </c>
      <c r="W303" t="s">
        <v>52</v>
      </c>
      <c r="X303">
        <v>2024</v>
      </c>
      <c r="Y303" t="s">
        <v>63</v>
      </c>
      <c r="Z303" t="s">
        <v>64</v>
      </c>
    </row>
    <row r="304" spans="1:26">
      <c r="A304" t="s">
        <v>874</v>
      </c>
      <c r="B304" t="s">
        <v>108</v>
      </c>
      <c r="C304" t="s">
        <v>102</v>
      </c>
      <c r="D304" t="s">
        <v>85</v>
      </c>
      <c r="E304" t="s">
        <v>174</v>
      </c>
      <c r="F304" t="s">
        <v>57</v>
      </c>
      <c r="G304" t="s">
        <v>58</v>
      </c>
      <c r="H304">
        <v>7.9</v>
      </c>
      <c r="I304">
        <v>3.5</v>
      </c>
      <c r="J304" t="s">
        <v>20</v>
      </c>
      <c r="K304" t="s">
        <v>324</v>
      </c>
      <c r="L304" t="s">
        <v>48</v>
      </c>
      <c r="M304" t="s">
        <v>875</v>
      </c>
      <c r="N304" t="s">
        <v>71</v>
      </c>
      <c r="O304">
        <v>58</v>
      </c>
      <c r="P304" t="s">
        <v>112</v>
      </c>
      <c r="Q304">
        <v>1899</v>
      </c>
      <c r="R304">
        <v>500</v>
      </c>
      <c r="S304" t="s">
        <v>152</v>
      </c>
      <c r="T304" t="s">
        <v>62</v>
      </c>
      <c r="U304" t="s">
        <v>39</v>
      </c>
      <c r="V304" t="s">
        <v>52</v>
      </c>
      <c r="W304" t="s">
        <v>52</v>
      </c>
      <c r="X304">
        <v>2023</v>
      </c>
      <c r="Y304" t="s">
        <v>40</v>
      </c>
      <c r="Z304" t="s">
        <v>41</v>
      </c>
    </row>
    <row r="305" spans="1:26">
      <c r="A305" t="s">
        <v>876</v>
      </c>
      <c r="B305" t="s">
        <v>43</v>
      </c>
      <c r="C305" t="s">
        <v>44</v>
      </c>
      <c r="D305" t="s">
        <v>77</v>
      </c>
      <c r="E305" t="s">
        <v>216</v>
      </c>
      <c r="F305" t="s">
        <v>68</v>
      </c>
      <c r="G305" t="s">
        <v>58</v>
      </c>
      <c r="H305">
        <v>8.3000000000000007</v>
      </c>
      <c r="I305">
        <v>31.5</v>
      </c>
      <c r="J305" t="s">
        <v>33</v>
      </c>
      <c r="K305" t="s">
        <v>413</v>
      </c>
      <c r="L305" t="s">
        <v>35</v>
      </c>
      <c r="M305" t="s">
        <v>877</v>
      </c>
      <c r="N305" t="s">
        <v>61</v>
      </c>
      <c r="O305">
        <v>36</v>
      </c>
      <c r="P305" t="s">
        <v>2265</v>
      </c>
      <c r="Q305">
        <v>0</v>
      </c>
      <c r="R305">
        <v>0</v>
      </c>
      <c r="S305" t="s">
        <v>2265</v>
      </c>
      <c r="T305" t="s">
        <v>62</v>
      </c>
      <c r="U305" t="s">
        <v>39</v>
      </c>
      <c r="V305" t="s">
        <v>39</v>
      </c>
      <c r="W305" t="s">
        <v>52</v>
      </c>
      <c r="X305">
        <v>2023</v>
      </c>
      <c r="Y305" t="s">
        <v>82</v>
      </c>
      <c r="Z305" t="s">
        <v>83</v>
      </c>
    </row>
    <row r="306" spans="1:26">
      <c r="A306" t="s">
        <v>878</v>
      </c>
      <c r="B306" t="s">
        <v>66</v>
      </c>
      <c r="C306" t="s">
        <v>173</v>
      </c>
      <c r="D306" t="s">
        <v>77</v>
      </c>
      <c r="E306" t="s">
        <v>220</v>
      </c>
      <c r="F306" t="s">
        <v>68</v>
      </c>
      <c r="G306" t="s">
        <v>58</v>
      </c>
      <c r="H306">
        <v>3.7</v>
      </c>
      <c r="I306">
        <v>26.2</v>
      </c>
      <c r="J306" t="s">
        <v>33</v>
      </c>
      <c r="K306" t="s">
        <v>879</v>
      </c>
      <c r="L306" t="s">
        <v>48</v>
      </c>
      <c r="M306" t="s">
        <v>307</v>
      </c>
      <c r="N306" t="s">
        <v>100</v>
      </c>
      <c r="O306">
        <v>106</v>
      </c>
      <c r="P306" t="s">
        <v>2265</v>
      </c>
      <c r="Q306">
        <v>0</v>
      </c>
      <c r="R306">
        <v>0</v>
      </c>
      <c r="S306" t="s">
        <v>2265</v>
      </c>
      <c r="T306" t="s">
        <v>81</v>
      </c>
      <c r="U306" t="s">
        <v>39</v>
      </c>
      <c r="V306" t="s">
        <v>52</v>
      </c>
      <c r="W306" t="s">
        <v>52</v>
      </c>
      <c r="X306">
        <v>2023</v>
      </c>
      <c r="Y306" t="s">
        <v>91</v>
      </c>
      <c r="Z306" t="s">
        <v>64</v>
      </c>
    </row>
    <row r="307" spans="1:26">
      <c r="A307" t="s">
        <v>880</v>
      </c>
      <c r="B307" t="s">
        <v>27</v>
      </c>
      <c r="C307" t="s">
        <v>121</v>
      </c>
      <c r="D307" t="s">
        <v>77</v>
      </c>
      <c r="E307" t="s">
        <v>363</v>
      </c>
      <c r="F307" t="s">
        <v>46</v>
      </c>
      <c r="G307" t="s">
        <v>58</v>
      </c>
      <c r="H307">
        <v>8.3000000000000007</v>
      </c>
      <c r="I307">
        <v>16.899999999999999</v>
      </c>
      <c r="J307" t="s">
        <v>96</v>
      </c>
      <c r="K307" t="s">
        <v>881</v>
      </c>
      <c r="L307" t="s">
        <v>126</v>
      </c>
      <c r="M307" t="s">
        <v>882</v>
      </c>
      <c r="N307" t="s">
        <v>71</v>
      </c>
      <c r="O307">
        <v>60</v>
      </c>
      <c r="P307" t="s">
        <v>112</v>
      </c>
      <c r="Q307">
        <v>5943</v>
      </c>
      <c r="R307">
        <v>0</v>
      </c>
      <c r="S307" t="s">
        <v>90</v>
      </c>
      <c r="T307" t="s">
        <v>81</v>
      </c>
      <c r="U307" t="s">
        <v>39</v>
      </c>
      <c r="V307" t="s">
        <v>39</v>
      </c>
      <c r="W307" t="s">
        <v>52</v>
      </c>
      <c r="X307">
        <v>2023</v>
      </c>
      <c r="Y307" t="s">
        <v>74</v>
      </c>
      <c r="Z307" t="s">
        <v>54</v>
      </c>
    </row>
    <row r="308" spans="1:26">
      <c r="A308" t="s">
        <v>883</v>
      </c>
      <c r="B308" t="s">
        <v>43</v>
      </c>
      <c r="C308" t="s">
        <v>102</v>
      </c>
      <c r="D308" t="s">
        <v>77</v>
      </c>
      <c r="E308" t="s">
        <v>94</v>
      </c>
      <c r="F308" t="s">
        <v>95</v>
      </c>
      <c r="G308" t="s">
        <v>58</v>
      </c>
      <c r="H308">
        <v>2.7</v>
      </c>
      <c r="I308">
        <v>23.7</v>
      </c>
      <c r="J308" t="s">
        <v>144</v>
      </c>
      <c r="K308" t="s">
        <v>884</v>
      </c>
      <c r="L308" t="s">
        <v>140</v>
      </c>
      <c r="M308" t="s">
        <v>885</v>
      </c>
      <c r="N308" t="s">
        <v>100</v>
      </c>
      <c r="O308">
        <v>70</v>
      </c>
      <c r="P308" t="s">
        <v>2265</v>
      </c>
      <c r="Q308">
        <v>0</v>
      </c>
      <c r="R308">
        <v>0</v>
      </c>
      <c r="S308" t="s">
        <v>2265</v>
      </c>
      <c r="T308" t="s">
        <v>136</v>
      </c>
      <c r="U308" t="s">
        <v>39</v>
      </c>
      <c r="V308" t="s">
        <v>52</v>
      </c>
      <c r="W308" t="s">
        <v>52</v>
      </c>
      <c r="X308">
        <v>2022</v>
      </c>
      <c r="Y308" t="s">
        <v>106</v>
      </c>
      <c r="Z308" t="s">
        <v>83</v>
      </c>
    </row>
    <row r="309" spans="1:26">
      <c r="A309" t="s">
        <v>886</v>
      </c>
      <c r="B309" t="s">
        <v>66</v>
      </c>
      <c r="C309" t="s">
        <v>76</v>
      </c>
      <c r="D309" t="s">
        <v>85</v>
      </c>
      <c r="E309" t="s">
        <v>86</v>
      </c>
      <c r="F309" t="s">
        <v>109</v>
      </c>
      <c r="G309" t="s">
        <v>58</v>
      </c>
      <c r="H309">
        <v>8.6999999999999993</v>
      </c>
      <c r="I309">
        <v>14.1</v>
      </c>
      <c r="J309" t="s">
        <v>144</v>
      </c>
      <c r="K309" t="s">
        <v>887</v>
      </c>
      <c r="L309" t="s">
        <v>126</v>
      </c>
      <c r="M309" t="s">
        <v>888</v>
      </c>
      <c r="N309" t="s">
        <v>100</v>
      </c>
      <c r="O309">
        <v>156</v>
      </c>
      <c r="P309" t="s">
        <v>2265</v>
      </c>
      <c r="Q309">
        <v>0</v>
      </c>
      <c r="R309">
        <v>0</v>
      </c>
      <c r="S309" t="s">
        <v>2265</v>
      </c>
      <c r="T309" t="s">
        <v>38</v>
      </c>
      <c r="U309" t="s">
        <v>39</v>
      </c>
      <c r="V309" t="s">
        <v>52</v>
      </c>
      <c r="W309" t="s">
        <v>52</v>
      </c>
      <c r="X309">
        <v>2022</v>
      </c>
      <c r="Y309" t="s">
        <v>312</v>
      </c>
      <c r="Z309" t="s">
        <v>83</v>
      </c>
    </row>
    <row r="310" spans="1:26">
      <c r="A310" t="s">
        <v>889</v>
      </c>
      <c r="B310" t="s">
        <v>93</v>
      </c>
      <c r="C310" t="s">
        <v>121</v>
      </c>
      <c r="D310" t="s">
        <v>77</v>
      </c>
      <c r="E310" t="s">
        <v>94</v>
      </c>
      <c r="F310" t="s">
        <v>68</v>
      </c>
      <c r="G310" t="s">
        <v>32</v>
      </c>
      <c r="H310">
        <v>5.3</v>
      </c>
      <c r="I310">
        <v>31</v>
      </c>
      <c r="J310" t="s">
        <v>33</v>
      </c>
      <c r="K310" t="s">
        <v>890</v>
      </c>
      <c r="L310" t="s">
        <v>140</v>
      </c>
      <c r="M310" t="s">
        <v>127</v>
      </c>
      <c r="N310" t="s">
        <v>71</v>
      </c>
      <c r="O310">
        <v>162</v>
      </c>
      <c r="P310" t="s">
        <v>230</v>
      </c>
      <c r="Q310">
        <v>4555</v>
      </c>
      <c r="R310">
        <v>0</v>
      </c>
      <c r="S310" t="s">
        <v>113</v>
      </c>
      <c r="T310" t="s">
        <v>136</v>
      </c>
      <c r="U310" t="s">
        <v>52</v>
      </c>
      <c r="V310" t="s">
        <v>39</v>
      </c>
      <c r="W310" t="s">
        <v>39</v>
      </c>
      <c r="X310">
        <v>2024</v>
      </c>
      <c r="Y310" t="s">
        <v>128</v>
      </c>
      <c r="Z310" t="s">
        <v>64</v>
      </c>
    </row>
    <row r="311" spans="1:26">
      <c r="A311" t="s">
        <v>891</v>
      </c>
      <c r="B311" t="s">
        <v>27</v>
      </c>
      <c r="C311" t="s">
        <v>102</v>
      </c>
      <c r="D311" t="s">
        <v>77</v>
      </c>
      <c r="E311" t="s">
        <v>216</v>
      </c>
      <c r="F311" t="s">
        <v>149</v>
      </c>
      <c r="G311" t="s">
        <v>58</v>
      </c>
      <c r="H311">
        <v>5.5</v>
      </c>
      <c r="I311">
        <v>6.7</v>
      </c>
      <c r="J311" t="s">
        <v>33</v>
      </c>
      <c r="K311" t="s">
        <v>892</v>
      </c>
      <c r="L311" t="s">
        <v>60</v>
      </c>
      <c r="M311" t="s">
        <v>370</v>
      </c>
      <c r="N311" t="s">
        <v>171</v>
      </c>
      <c r="O311">
        <v>106</v>
      </c>
      <c r="P311" t="s">
        <v>2265</v>
      </c>
      <c r="Q311">
        <v>0</v>
      </c>
      <c r="R311">
        <v>0</v>
      </c>
      <c r="S311" t="s">
        <v>2265</v>
      </c>
      <c r="T311" t="s">
        <v>81</v>
      </c>
      <c r="U311" t="s">
        <v>39</v>
      </c>
      <c r="V311" t="s">
        <v>39</v>
      </c>
      <c r="W311" t="s">
        <v>39</v>
      </c>
      <c r="X311">
        <v>2024</v>
      </c>
      <c r="Y311" t="s">
        <v>312</v>
      </c>
      <c r="Z311" t="s">
        <v>83</v>
      </c>
    </row>
    <row r="312" spans="1:26">
      <c r="A312" t="s">
        <v>893</v>
      </c>
      <c r="B312" t="s">
        <v>27</v>
      </c>
      <c r="C312" t="s">
        <v>164</v>
      </c>
      <c r="D312" t="s">
        <v>77</v>
      </c>
      <c r="E312" t="s">
        <v>260</v>
      </c>
      <c r="F312" t="s">
        <v>57</v>
      </c>
      <c r="G312" t="s">
        <v>32</v>
      </c>
      <c r="H312">
        <v>8.6999999999999993</v>
      </c>
      <c r="I312">
        <v>34.1</v>
      </c>
      <c r="J312" t="s">
        <v>33</v>
      </c>
      <c r="K312" t="s">
        <v>326</v>
      </c>
      <c r="L312" t="s">
        <v>48</v>
      </c>
      <c r="M312" t="s">
        <v>687</v>
      </c>
      <c r="N312" t="s">
        <v>100</v>
      </c>
      <c r="O312">
        <v>135</v>
      </c>
      <c r="P312" t="s">
        <v>2265</v>
      </c>
      <c r="Q312">
        <v>0</v>
      </c>
      <c r="R312">
        <v>0</v>
      </c>
      <c r="S312" t="s">
        <v>2265</v>
      </c>
      <c r="T312" t="s">
        <v>51</v>
      </c>
      <c r="U312" t="s">
        <v>39</v>
      </c>
      <c r="V312" t="s">
        <v>39</v>
      </c>
      <c r="W312" t="s">
        <v>52</v>
      </c>
      <c r="X312">
        <v>2022</v>
      </c>
      <c r="Y312" t="s">
        <v>153</v>
      </c>
      <c r="Z312" t="s">
        <v>54</v>
      </c>
    </row>
    <row r="313" spans="1:26">
      <c r="A313" t="s">
        <v>894</v>
      </c>
      <c r="B313" t="s">
        <v>93</v>
      </c>
      <c r="C313" t="s">
        <v>164</v>
      </c>
      <c r="D313" t="s">
        <v>77</v>
      </c>
      <c r="E313" t="s">
        <v>220</v>
      </c>
      <c r="F313" t="s">
        <v>95</v>
      </c>
      <c r="G313" t="s">
        <v>58</v>
      </c>
      <c r="H313">
        <v>8.8000000000000007</v>
      </c>
      <c r="I313">
        <v>33.700000000000003</v>
      </c>
      <c r="J313" t="s">
        <v>33</v>
      </c>
      <c r="K313" t="s">
        <v>47</v>
      </c>
      <c r="L313" t="s">
        <v>35</v>
      </c>
      <c r="M313" t="s">
        <v>650</v>
      </c>
      <c r="N313" t="s">
        <v>61</v>
      </c>
      <c r="O313">
        <v>79</v>
      </c>
      <c r="P313" t="s">
        <v>2265</v>
      </c>
      <c r="Q313">
        <v>0</v>
      </c>
      <c r="R313">
        <v>0</v>
      </c>
      <c r="S313" t="s">
        <v>2265</v>
      </c>
      <c r="T313" t="s">
        <v>62</v>
      </c>
      <c r="U313" t="s">
        <v>39</v>
      </c>
      <c r="V313" t="s">
        <v>39</v>
      </c>
      <c r="W313" t="s">
        <v>52</v>
      </c>
      <c r="X313">
        <v>2024</v>
      </c>
      <c r="Y313" t="s">
        <v>53</v>
      </c>
      <c r="Z313" t="s">
        <v>54</v>
      </c>
    </row>
    <row r="314" spans="1:26">
      <c r="A314" t="s">
        <v>895</v>
      </c>
      <c r="B314" t="s">
        <v>108</v>
      </c>
      <c r="C314" t="s">
        <v>44</v>
      </c>
      <c r="D314" t="s">
        <v>77</v>
      </c>
      <c r="E314" t="s">
        <v>78</v>
      </c>
      <c r="F314" t="s">
        <v>149</v>
      </c>
      <c r="G314" t="s">
        <v>58</v>
      </c>
      <c r="H314">
        <v>2.7</v>
      </c>
      <c r="I314">
        <v>23.3</v>
      </c>
      <c r="J314" t="s">
        <v>20</v>
      </c>
      <c r="K314" t="s">
        <v>896</v>
      </c>
      <c r="L314" t="s">
        <v>140</v>
      </c>
      <c r="M314" t="s">
        <v>378</v>
      </c>
      <c r="N314" t="s">
        <v>50</v>
      </c>
      <c r="O314">
        <v>156</v>
      </c>
      <c r="P314" t="s">
        <v>2265</v>
      </c>
      <c r="Q314">
        <v>0</v>
      </c>
      <c r="R314">
        <v>0</v>
      </c>
      <c r="S314" t="s">
        <v>2265</v>
      </c>
      <c r="T314" t="s">
        <v>38</v>
      </c>
      <c r="U314" t="s">
        <v>39</v>
      </c>
      <c r="V314" t="s">
        <v>52</v>
      </c>
      <c r="W314" t="s">
        <v>52</v>
      </c>
      <c r="X314">
        <v>2022</v>
      </c>
      <c r="Y314" t="s">
        <v>106</v>
      </c>
      <c r="Z314" t="s">
        <v>83</v>
      </c>
    </row>
    <row r="315" spans="1:26">
      <c r="A315" t="s">
        <v>897</v>
      </c>
      <c r="B315" t="s">
        <v>116</v>
      </c>
      <c r="C315" t="s">
        <v>173</v>
      </c>
      <c r="D315" t="s">
        <v>77</v>
      </c>
      <c r="E315" t="s">
        <v>363</v>
      </c>
      <c r="F315" t="s">
        <v>46</v>
      </c>
      <c r="G315" t="s">
        <v>58</v>
      </c>
      <c r="H315">
        <v>4.3</v>
      </c>
      <c r="I315">
        <v>5.5</v>
      </c>
      <c r="J315" t="s">
        <v>33</v>
      </c>
      <c r="K315" t="s">
        <v>885</v>
      </c>
      <c r="L315" t="s">
        <v>35</v>
      </c>
      <c r="M315" t="s">
        <v>898</v>
      </c>
      <c r="N315" t="s">
        <v>71</v>
      </c>
      <c r="O315">
        <v>48</v>
      </c>
      <c r="P315" t="s">
        <v>112</v>
      </c>
      <c r="Q315">
        <v>3451</v>
      </c>
      <c r="R315">
        <v>2000</v>
      </c>
      <c r="S315" t="s">
        <v>113</v>
      </c>
      <c r="T315" t="s">
        <v>81</v>
      </c>
      <c r="U315" t="s">
        <v>39</v>
      </c>
      <c r="V315" t="s">
        <v>52</v>
      </c>
      <c r="W315" t="s">
        <v>52</v>
      </c>
      <c r="X315">
        <v>2022</v>
      </c>
      <c r="Y315" t="s">
        <v>74</v>
      </c>
      <c r="Z315" t="s">
        <v>54</v>
      </c>
    </row>
    <row r="316" spans="1:26">
      <c r="A316" t="s">
        <v>899</v>
      </c>
      <c r="B316" t="s">
        <v>116</v>
      </c>
      <c r="C316" t="s">
        <v>44</v>
      </c>
      <c r="D316" t="s">
        <v>77</v>
      </c>
      <c r="E316" t="s">
        <v>260</v>
      </c>
      <c r="F316" t="s">
        <v>109</v>
      </c>
      <c r="G316" t="s">
        <v>58</v>
      </c>
      <c r="H316">
        <v>3.9</v>
      </c>
      <c r="I316">
        <v>31.5</v>
      </c>
      <c r="J316" t="s">
        <v>33</v>
      </c>
      <c r="K316" t="s">
        <v>900</v>
      </c>
      <c r="L316" t="s">
        <v>126</v>
      </c>
      <c r="M316" t="s">
        <v>901</v>
      </c>
      <c r="N316" t="s">
        <v>61</v>
      </c>
      <c r="O316">
        <v>24</v>
      </c>
      <c r="P316" t="s">
        <v>2265</v>
      </c>
      <c r="Q316">
        <v>0</v>
      </c>
      <c r="R316">
        <v>0</v>
      </c>
      <c r="S316" t="s">
        <v>2265</v>
      </c>
      <c r="T316" t="s">
        <v>81</v>
      </c>
      <c r="U316" t="s">
        <v>39</v>
      </c>
      <c r="V316" t="s">
        <v>52</v>
      </c>
      <c r="W316" t="s">
        <v>52</v>
      </c>
      <c r="X316">
        <v>2022</v>
      </c>
      <c r="Y316" t="s">
        <v>312</v>
      </c>
      <c r="Z316" t="s">
        <v>83</v>
      </c>
    </row>
    <row r="317" spans="1:26">
      <c r="A317" t="s">
        <v>902</v>
      </c>
      <c r="B317" t="s">
        <v>66</v>
      </c>
      <c r="C317" t="s">
        <v>28</v>
      </c>
      <c r="D317" t="s">
        <v>122</v>
      </c>
      <c r="E317" t="s">
        <v>202</v>
      </c>
      <c r="F317" t="s">
        <v>149</v>
      </c>
      <c r="G317" t="s">
        <v>32</v>
      </c>
      <c r="H317">
        <v>7.4</v>
      </c>
      <c r="I317">
        <v>4.3</v>
      </c>
      <c r="J317" t="s">
        <v>144</v>
      </c>
      <c r="K317" t="s">
        <v>80</v>
      </c>
      <c r="L317" t="s">
        <v>140</v>
      </c>
      <c r="M317" t="s">
        <v>903</v>
      </c>
      <c r="N317" t="s">
        <v>37</v>
      </c>
      <c r="O317">
        <v>135</v>
      </c>
      <c r="P317" t="s">
        <v>2265</v>
      </c>
      <c r="Q317">
        <v>0</v>
      </c>
      <c r="R317">
        <v>0</v>
      </c>
      <c r="S317" t="s">
        <v>2265</v>
      </c>
      <c r="T317" t="s">
        <v>51</v>
      </c>
      <c r="U317" t="s">
        <v>39</v>
      </c>
      <c r="V317" t="s">
        <v>52</v>
      </c>
      <c r="W317" t="s">
        <v>52</v>
      </c>
      <c r="X317">
        <v>2024</v>
      </c>
      <c r="Y317" t="s">
        <v>74</v>
      </c>
      <c r="Z317" t="s">
        <v>54</v>
      </c>
    </row>
    <row r="318" spans="1:26">
      <c r="A318" t="s">
        <v>904</v>
      </c>
      <c r="B318" t="s">
        <v>43</v>
      </c>
      <c r="C318" t="s">
        <v>173</v>
      </c>
      <c r="D318" t="s">
        <v>77</v>
      </c>
      <c r="E318" t="s">
        <v>78</v>
      </c>
      <c r="F318" t="s">
        <v>124</v>
      </c>
      <c r="G318" t="s">
        <v>58</v>
      </c>
      <c r="H318">
        <v>9.6999999999999993</v>
      </c>
      <c r="I318">
        <v>31</v>
      </c>
      <c r="J318" t="s">
        <v>33</v>
      </c>
      <c r="K318" t="s">
        <v>905</v>
      </c>
      <c r="L318" t="s">
        <v>35</v>
      </c>
      <c r="M318" t="s">
        <v>127</v>
      </c>
      <c r="N318" t="s">
        <v>50</v>
      </c>
      <c r="O318">
        <v>162</v>
      </c>
      <c r="P318" t="s">
        <v>2265</v>
      </c>
      <c r="Q318">
        <v>0</v>
      </c>
      <c r="R318">
        <v>1000</v>
      </c>
      <c r="S318" t="s">
        <v>2265</v>
      </c>
      <c r="T318" t="s">
        <v>136</v>
      </c>
      <c r="U318" t="s">
        <v>39</v>
      </c>
      <c r="V318" t="s">
        <v>52</v>
      </c>
      <c r="W318" t="s">
        <v>52</v>
      </c>
      <c r="X318">
        <v>2024</v>
      </c>
      <c r="Y318" t="s">
        <v>128</v>
      </c>
      <c r="Z318" t="s">
        <v>64</v>
      </c>
    </row>
    <row r="319" spans="1:26">
      <c r="A319" t="s">
        <v>906</v>
      </c>
      <c r="B319" t="s">
        <v>43</v>
      </c>
      <c r="C319" t="s">
        <v>76</v>
      </c>
      <c r="D319" t="s">
        <v>77</v>
      </c>
      <c r="E319" t="s">
        <v>94</v>
      </c>
      <c r="F319" t="s">
        <v>124</v>
      </c>
      <c r="G319" t="s">
        <v>32</v>
      </c>
      <c r="H319">
        <v>4.3</v>
      </c>
      <c r="I319">
        <v>28.3</v>
      </c>
      <c r="J319" t="s">
        <v>33</v>
      </c>
      <c r="K319" t="s">
        <v>80</v>
      </c>
      <c r="L319" t="s">
        <v>35</v>
      </c>
      <c r="M319" t="s">
        <v>47</v>
      </c>
      <c r="N319" t="s">
        <v>171</v>
      </c>
      <c r="O319">
        <v>12</v>
      </c>
      <c r="P319" t="s">
        <v>2265</v>
      </c>
      <c r="Q319">
        <v>0</v>
      </c>
      <c r="R319">
        <v>0</v>
      </c>
      <c r="S319" t="s">
        <v>2265</v>
      </c>
      <c r="T319" t="s">
        <v>51</v>
      </c>
      <c r="U319" t="s">
        <v>39</v>
      </c>
      <c r="V319" t="s">
        <v>52</v>
      </c>
      <c r="W319" t="s">
        <v>52</v>
      </c>
      <c r="X319">
        <v>2024</v>
      </c>
      <c r="Y319" t="s">
        <v>74</v>
      </c>
      <c r="Z319" t="s">
        <v>54</v>
      </c>
    </row>
    <row r="320" spans="1:26">
      <c r="A320" t="s">
        <v>907</v>
      </c>
      <c r="B320" t="s">
        <v>116</v>
      </c>
      <c r="C320" t="s">
        <v>164</v>
      </c>
      <c r="D320" t="s">
        <v>77</v>
      </c>
      <c r="E320" t="s">
        <v>143</v>
      </c>
      <c r="F320" t="s">
        <v>124</v>
      </c>
      <c r="G320" t="s">
        <v>32</v>
      </c>
      <c r="H320">
        <v>8.6999999999999993</v>
      </c>
      <c r="I320">
        <v>21.8</v>
      </c>
      <c r="J320" t="s">
        <v>96</v>
      </c>
      <c r="K320" t="s">
        <v>908</v>
      </c>
      <c r="L320" t="s">
        <v>60</v>
      </c>
      <c r="M320" t="s">
        <v>597</v>
      </c>
      <c r="N320" t="s">
        <v>100</v>
      </c>
      <c r="O320">
        <v>88</v>
      </c>
      <c r="P320" t="s">
        <v>2265</v>
      </c>
      <c r="Q320">
        <v>0</v>
      </c>
      <c r="R320">
        <v>0</v>
      </c>
      <c r="S320" t="s">
        <v>2265</v>
      </c>
      <c r="T320" t="s">
        <v>136</v>
      </c>
      <c r="U320" t="s">
        <v>52</v>
      </c>
      <c r="V320" t="s">
        <v>39</v>
      </c>
      <c r="W320" t="s">
        <v>52</v>
      </c>
      <c r="X320">
        <v>2023</v>
      </c>
      <c r="Y320" t="s">
        <v>128</v>
      </c>
      <c r="Z320" t="s">
        <v>64</v>
      </c>
    </row>
    <row r="321" spans="1:26">
      <c r="A321" t="s">
        <v>909</v>
      </c>
      <c r="B321" t="s">
        <v>66</v>
      </c>
      <c r="C321" t="s">
        <v>76</v>
      </c>
      <c r="D321" t="s">
        <v>77</v>
      </c>
      <c r="E321" t="s">
        <v>216</v>
      </c>
      <c r="F321" t="s">
        <v>109</v>
      </c>
      <c r="G321" t="s">
        <v>32</v>
      </c>
      <c r="H321">
        <v>5.6</v>
      </c>
      <c r="I321">
        <v>28.6</v>
      </c>
      <c r="J321" t="s">
        <v>20</v>
      </c>
      <c r="K321" t="s">
        <v>474</v>
      </c>
      <c r="L321" t="s">
        <v>98</v>
      </c>
      <c r="M321" t="s">
        <v>910</v>
      </c>
      <c r="N321" t="s">
        <v>171</v>
      </c>
      <c r="O321">
        <v>138</v>
      </c>
      <c r="P321" t="s">
        <v>2265</v>
      </c>
      <c r="Q321">
        <v>0</v>
      </c>
      <c r="R321">
        <v>0</v>
      </c>
      <c r="S321" t="s">
        <v>2265</v>
      </c>
      <c r="T321" t="s">
        <v>51</v>
      </c>
      <c r="U321" t="s">
        <v>39</v>
      </c>
      <c r="V321" t="s">
        <v>39</v>
      </c>
      <c r="W321" t="s">
        <v>52</v>
      </c>
      <c r="X321">
        <v>2024</v>
      </c>
      <c r="Y321" t="s">
        <v>211</v>
      </c>
      <c r="Z321" t="s">
        <v>41</v>
      </c>
    </row>
    <row r="322" spans="1:26">
      <c r="A322" t="s">
        <v>911</v>
      </c>
      <c r="B322" t="s">
        <v>27</v>
      </c>
      <c r="C322" t="s">
        <v>44</v>
      </c>
      <c r="D322" t="s">
        <v>122</v>
      </c>
      <c r="E322" t="s">
        <v>123</v>
      </c>
      <c r="F322" t="s">
        <v>68</v>
      </c>
      <c r="G322" t="s">
        <v>58</v>
      </c>
      <c r="H322">
        <v>7.6</v>
      </c>
      <c r="I322">
        <v>29.6</v>
      </c>
      <c r="J322" t="s">
        <v>96</v>
      </c>
      <c r="K322" t="s">
        <v>912</v>
      </c>
      <c r="L322" t="s">
        <v>60</v>
      </c>
      <c r="M322" t="s">
        <v>305</v>
      </c>
      <c r="N322" t="s">
        <v>71</v>
      </c>
      <c r="O322">
        <v>72</v>
      </c>
      <c r="P322" t="s">
        <v>72</v>
      </c>
      <c r="Q322">
        <v>1889</v>
      </c>
      <c r="R322">
        <v>500</v>
      </c>
      <c r="S322" t="s">
        <v>73</v>
      </c>
      <c r="T322" t="s">
        <v>51</v>
      </c>
      <c r="U322" t="s">
        <v>52</v>
      </c>
      <c r="V322" t="s">
        <v>39</v>
      </c>
      <c r="W322" t="s">
        <v>52</v>
      </c>
      <c r="X322">
        <v>2022</v>
      </c>
      <c r="Y322" t="s">
        <v>128</v>
      </c>
      <c r="Z322" t="s">
        <v>64</v>
      </c>
    </row>
    <row r="323" spans="1:26">
      <c r="A323" t="s">
        <v>913</v>
      </c>
      <c r="B323" t="s">
        <v>116</v>
      </c>
      <c r="C323" t="s">
        <v>102</v>
      </c>
      <c r="D323" t="s">
        <v>77</v>
      </c>
      <c r="E323" t="s">
        <v>260</v>
      </c>
      <c r="F323" t="s">
        <v>95</v>
      </c>
      <c r="G323" t="s">
        <v>32</v>
      </c>
      <c r="H323">
        <v>2.2000000000000002</v>
      </c>
      <c r="I323">
        <v>13.4</v>
      </c>
      <c r="J323" t="s">
        <v>20</v>
      </c>
      <c r="K323" t="s">
        <v>914</v>
      </c>
      <c r="L323" t="s">
        <v>35</v>
      </c>
      <c r="M323" t="s">
        <v>915</v>
      </c>
      <c r="N323" t="s">
        <v>37</v>
      </c>
      <c r="O323">
        <v>78</v>
      </c>
      <c r="P323" t="s">
        <v>2265</v>
      </c>
      <c r="Q323">
        <v>0</v>
      </c>
      <c r="R323">
        <v>500</v>
      </c>
      <c r="S323" t="s">
        <v>2265</v>
      </c>
      <c r="T323" t="s">
        <v>136</v>
      </c>
      <c r="U323" t="s">
        <v>39</v>
      </c>
      <c r="V323" t="s">
        <v>39</v>
      </c>
      <c r="W323" t="s">
        <v>52</v>
      </c>
      <c r="X323">
        <v>2024</v>
      </c>
      <c r="Y323" t="s">
        <v>40</v>
      </c>
      <c r="Z323" t="s">
        <v>41</v>
      </c>
    </row>
    <row r="324" spans="1:26">
      <c r="A324" t="s">
        <v>916</v>
      </c>
      <c r="B324" t="s">
        <v>116</v>
      </c>
      <c r="C324" t="s">
        <v>121</v>
      </c>
      <c r="D324" t="s">
        <v>77</v>
      </c>
      <c r="E324" t="s">
        <v>168</v>
      </c>
      <c r="F324" t="s">
        <v>57</v>
      </c>
      <c r="G324" t="s">
        <v>58</v>
      </c>
      <c r="H324">
        <v>11.9</v>
      </c>
      <c r="I324">
        <v>7.6</v>
      </c>
      <c r="J324" t="s">
        <v>33</v>
      </c>
      <c r="K324" t="s">
        <v>917</v>
      </c>
      <c r="L324" t="s">
        <v>60</v>
      </c>
      <c r="M324" t="s">
        <v>918</v>
      </c>
      <c r="N324" t="s">
        <v>71</v>
      </c>
      <c r="O324">
        <v>37</v>
      </c>
      <c r="P324" t="s">
        <v>230</v>
      </c>
      <c r="Q324">
        <v>7228</v>
      </c>
      <c r="R324">
        <v>2000</v>
      </c>
      <c r="S324" t="s">
        <v>73</v>
      </c>
      <c r="T324" t="s">
        <v>51</v>
      </c>
      <c r="U324" t="s">
        <v>52</v>
      </c>
      <c r="V324" t="s">
        <v>39</v>
      </c>
      <c r="W324" t="s">
        <v>39</v>
      </c>
      <c r="X324">
        <v>2023</v>
      </c>
      <c r="Y324" t="s">
        <v>128</v>
      </c>
      <c r="Z324" t="s">
        <v>64</v>
      </c>
    </row>
    <row r="325" spans="1:26">
      <c r="A325" t="s">
        <v>919</v>
      </c>
      <c r="B325" t="s">
        <v>43</v>
      </c>
      <c r="C325" t="s">
        <v>102</v>
      </c>
      <c r="D325" t="s">
        <v>29</v>
      </c>
      <c r="E325" t="s">
        <v>195</v>
      </c>
      <c r="F325" t="s">
        <v>160</v>
      </c>
      <c r="G325" t="s">
        <v>32</v>
      </c>
      <c r="H325">
        <v>7.7</v>
      </c>
      <c r="I325">
        <v>7.7</v>
      </c>
      <c r="J325" t="s">
        <v>20</v>
      </c>
      <c r="K325" t="s">
        <v>329</v>
      </c>
      <c r="L325" t="s">
        <v>60</v>
      </c>
      <c r="M325" t="s">
        <v>151</v>
      </c>
      <c r="N325" t="s">
        <v>61</v>
      </c>
      <c r="O325">
        <v>6</v>
      </c>
      <c r="P325" t="s">
        <v>2265</v>
      </c>
      <c r="Q325">
        <v>0</v>
      </c>
      <c r="R325">
        <v>0</v>
      </c>
      <c r="S325" t="s">
        <v>2265</v>
      </c>
      <c r="T325" t="s">
        <v>136</v>
      </c>
      <c r="U325" t="s">
        <v>39</v>
      </c>
      <c r="V325" t="s">
        <v>52</v>
      </c>
      <c r="W325" t="s">
        <v>52</v>
      </c>
      <c r="X325">
        <v>2023</v>
      </c>
      <c r="Y325" t="s">
        <v>91</v>
      </c>
      <c r="Z325" t="s">
        <v>64</v>
      </c>
    </row>
    <row r="326" spans="1:26">
      <c r="A326" t="s">
        <v>920</v>
      </c>
      <c r="B326" t="s">
        <v>43</v>
      </c>
      <c r="C326" t="s">
        <v>173</v>
      </c>
      <c r="D326" t="s">
        <v>77</v>
      </c>
      <c r="E326" t="s">
        <v>168</v>
      </c>
      <c r="F326" t="s">
        <v>31</v>
      </c>
      <c r="G326" t="s">
        <v>58</v>
      </c>
      <c r="H326">
        <v>4.3</v>
      </c>
      <c r="I326">
        <v>11.5</v>
      </c>
      <c r="J326" t="s">
        <v>33</v>
      </c>
      <c r="K326" t="s">
        <v>921</v>
      </c>
      <c r="L326" t="s">
        <v>35</v>
      </c>
      <c r="M326" t="s">
        <v>821</v>
      </c>
      <c r="N326" t="s">
        <v>71</v>
      </c>
      <c r="O326">
        <v>4</v>
      </c>
      <c r="P326" t="s">
        <v>72</v>
      </c>
      <c r="Q326">
        <v>4692</v>
      </c>
      <c r="R326">
        <v>1000</v>
      </c>
      <c r="S326" t="s">
        <v>152</v>
      </c>
      <c r="T326" t="s">
        <v>62</v>
      </c>
      <c r="U326" t="s">
        <v>52</v>
      </c>
      <c r="V326" t="s">
        <v>39</v>
      </c>
      <c r="W326" t="s">
        <v>52</v>
      </c>
      <c r="X326">
        <v>2022</v>
      </c>
      <c r="Y326" t="s">
        <v>211</v>
      </c>
      <c r="Z326" t="s">
        <v>41</v>
      </c>
    </row>
    <row r="327" spans="1:26">
      <c r="A327" t="s">
        <v>922</v>
      </c>
      <c r="B327" t="s">
        <v>43</v>
      </c>
      <c r="C327" t="s">
        <v>121</v>
      </c>
      <c r="D327" t="s">
        <v>77</v>
      </c>
      <c r="E327" t="s">
        <v>78</v>
      </c>
      <c r="F327" t="s">
        <v>31</v>
      </c>
      <c r="G327" t="s">
        <v>32</v>
      </c>
      <c r="H327">
        <v>0.7</v>
      </c>
      <c r="I327">
        <v>15.2</v>
      </c>
      <c r="J327" t="s">
        <v>33</v>
      </c>
      <c r="K327" t="s">
        <v>923</v>
      </c>
      <c r="L327" t="s">
        <v>60</v>
      </c>
      <c r="M327" t="s">
        <v>924</v>
      </c>
      <c r="N327" t="s">
        <v>100</v>
      </c>
      <c r="O327">
        <v>28</v>
      </c>
      <c r="P327" t="s">
        <v>2265</v>
      </c>
      <c r="Q327">
        <v>0</v>
      </c>
      <c r="R327">
        <v>0</v>
      </c>
      <c r="S327" t="s">
        <v>2265</v>
      </c>
      <c r="T327" t="s">
        <v>81</v>
      </c>
      <c r="U327" t="s">
        <v>39</v>
      </c>
      <c r="V327" t="s">
        <v>52</v>
      </c>
      <c r="W327" t="s">
        <v>52</v>
      </c>
      <c r="X327">
        <v>2022</v>
      </c>
      <c r="Y327" t="s">
        <v>74</v>
      </c>
      <c r="Z327" t="s">
        <v>54</v>
      </c>
    </row>
    <row r="328" spans="1:26">
      <c r="A328" t="s">
        <v>925</v>
      </c>
      <c r="B328" t="s">
        <v>108</v>
      </c>
      <c r="C328" t="s">
        <v>121</v>
      </c>
      <c r="D328" t="s">
        <v>29</v>
      </c>
      <c r="E328" t="s">
        <v>195</v>
      </c>
      <c r="F328" t="s">
        <v>124</v>
      </c>
      <c r="G328" t="s">
        <v>58</v>
      </c>
      <c r="H328">
        <v>8.1999999999999993</v>
      </c>
      <c r="I328">
        <v>25</v>
      </c>
      <c r="J328" t="s">
        <v>33</v>
      </c>
      <c r="K328" t="s">
        <v>926</v>
      </c>
      <c r="L328" t="s">
        <v>140</v>
      </c>
      <c r="M328" t="s">
        <v>927</v>
      </c>
      <c r="N328" t="s">
        <v>50</v>
      </c>
      <c r="O328">
        <v>25</v>
      </c>
      <c r="P328" t="s">
        <v>2265</v>
      </c>
      <c r="Q328">
        <v>0</v>
      </c>
      <c r="R328">
        <v>500</v>
      </c>
      <c r="S328" t="s">
        <v>2265</v>
      </c>
      <c r="T328" t="s">
        <v>51</v>
      </c>
      <c r="U328" t="s">
        <v>39</v>
      </c>
      <c r="V328" t="s">
        <v>52</v>
      </c>
      <c r="W328" t="s">
        <v>52</v>
      </c>
      <c r="X328">
        <v>2024</v>
      </c>
      <c r="Y328" t="s">
        <v>211</v>
      </c>
      <c r="Z328" t="s">
        <v>41</v>
      </c>
    </row>
    <row r="329" spans="1:26">
      <c r="A329" t="s">
        <v>928</v>
      </c>
      <c r="B329" t="s">
        <v>43</v>
      </c>
      <c r="C329" t="s">
        <v>173</v>
      </c>
      <c r="D329" t="s">
        <v>122</v>
      </c>
      <c r="E329" t="s">
        <v>155</v>
      </c>
      <c r="F329" t="s">
        <v>46</v>
      </c>
      <c r="G329" t="s">
        <v>58</v>
      </c>
      <c r="H329">
        <v>1.4</v>
      </c>
      <c r="I329">
        <v>17</v>
      </c>
      <c r="J329" t="s">
        <v>20</v>
      </c>
      <c r="K329" t="s">
        <v>502</v>
      </c>
      <c r="L329" t="s">
        <v>35</v>
      </c>
      <c r="M329" t="s">
        <v>765</v>
      </c>
      <c r="N329" t="s">
        <v>71</v>
      </c>
      <c r="O329">
        <v>125</v>
      </c>
      <c r="P329" t="s">
        <v>112</v>
      </c>
      <c r="Q329">
        <v>767</v>
      </c>
      <c r="R329">
        <v>500</v>
      </c>
      <c r="S329" t="s">
        <v>73</v>
      </c>
      <c r="T329" t="s">
        <v>51</v>
      </c>
      <c r="U329" t="s">
        <v>39</v>
      </c>
      <c r="V329" t="s">
        <v>52</v>
      </c>
      <c r="W329" t="s">
        <v>52</v>
      </c>
      <c r="X329">
        <v>2024</v>
      </c>
      <c r="Y329" t="s">
        <v>40</v>
      </c>
      <c r="Z329" t="s">
        <v>41</v>
      </c>
    </row>
    <row r="330" spans="1:26">
      <c r="A330" t="s">
        <v>929</v>
      </c>
      <c r="B330" t="s">
        <v>93</v>
      </c>
      <c r="C330" t="s">
        <v>102</v>
      </c>
      <c r="D330" t="s">
        <v>85</v>
      </c>
      <c r="E330" t="s">
        <v>138</v>
      </c>
      <c r="F330" t="s">
        <v>31</v>
      </c>
      <c r="G330" t="s">
        <v>32</v>
      </c>
      <c r="H330">
        <v>11.7</v>
      </c>
      <c r="I330">
        <v>13.7</v>
      </c>
      <c r="J330" t="s">
        <v>96</v>
      </c>
      <c r="K330" t="s">
        <v>264</v>
      </c>
      <c r="L330" t="s">
        <v>126</v>
      </c>
      <c r="M330" t="s">
        <v>930</v>
      </c>
      <c r="N330" t="s">
        <v>37</v>
      </c>
      <c r="O330">
        <v>62</v>
      </c>
      <c r="P330" t="s">
        <v>2265</v>
      </c>
      <c r="Q330">
        <v>0</v>
      </c>
      <c r="R330">
        <v>0</v>
      </c>
      <c r="S330" t="s">
        <v>2265</v>
      </c>
      <c r="T330" t="s">
        <v>62</v>
      </c>
      <c r="U330" t="s">
        <v>39</v>
      </c>
      <c r="V330" t="s">
        <v>52</v>
      </c>
      <c r="W330" t="s">
        <v>52</v>
      </c>
      <c r="X330">
        <v>2024</v>
      </c>
      <c r="Y330" t="s">
        <v>74</v>
      </c>
      <c r="Z330" t="s">
        <v>54</v>
      </c>
    </row>
    <row r="331" spans="1:26">
      <c r="A331" t="s">
        <v>931</v>
      </c>
      <c r="B331" t="s">
        <v>43</v>
      </c>
      <c r="C331" t="s">
        <v>173</v>
      </c>
      <c r="D331" t="s">
        <v>77</v>
      </c>
      <c r="E331" t="s">
        <v>143</v>
      </c>
      <c r="F331" t="s">
        <v>57</v>
      </c>
      <c r="G331" t="s">
        <v>58</v>
      </c>
      <c r="H331">
        <v>6.7</v>
      </c>
      <c r="I331">
        <v>28.9</v>
      </c>
      <c r="J331" t="s">
        <v>20</v>
      </c>
      <c r="K331" t="s">
        <v>139</v>
      </c>
      <c r="L331" t="s">
        <v>35</v>
      </c>
      <c r="M331" t="s">
        <v>580</v>
      </c>
      <c r="N331" t="s">
        <v>50</v>
      </c>
      <c r="O331">
        <v>30</v>
      </c>
      <c r="P331" t="s">
        <v>2265</v>
      </c>
      <c r="Q331">
        <v>0</v>
      </c>
      <c r="R331">
        <v>500</v>
      </c>
      <c r="S331" t="s">
        <v>2265</v>
      </c>
      <c r="T331" t="s">
        <v>62</v>
      </c>
      <c r="U331" t="s">
        <v>52</v>
      </c>
      <c r="V331" t="s">
        <v>52</v>
      </c>
      <c r="W331" t="s">
        <v>52</v>
      </c>
      <c r="X331">
        <v>2024</v>
      </c>
      <c r="Y331" t="s">
        <v>114</v>
      </c>
      <c r="Z331" t="s">
        <v>41</v>
      </c>
    </row>
    <row r="332" spans="1:26">
      <c r="A332" t="s">
        <v>932</v>
      </c>
      <c r="B332" t="s">
        <v>108</v>
      </c>
      <c r="C332" t="s">
        <v>121</v>
      </c>
      <c r="D332" t="s">
        <v>77</v>
      </c>
      <c r="E332" t="s">
        <v>143</v>
      </c>
      <c r="F332" t="s">
        <v>124</v>
      </c>
      <c r="G332" t="s">
        <v>58</v>
      </c>
      <c r="H332">
        <v>1.9</v>
      </c>
      <c r="I332">
        <v>18.8</v>
      </c>
      <c r="J332" t="s">
        <v>156</v>
      </c>
      <c r="K332" t="s">
        <v>193</v>
      </c>
      <c r="L332" t="s">
        <v>60</v>
      </c>
      <c r="M332" t="s">
        <v>933</v>
      </c>
      <c r="N332" t="s">
        <v>71</v>
      </c>
      <c r="O332">
        <v>36</v>
      </c>
      <c r="P332" t="s">
        <v>72</v>
      </c>
      <c r="Q332">
        <v>4201</v>
      </c>
      <c r="R332">
        <v>2000</v>
      </c>
      <c r="S332" t="s">
        <v>152</v>
      </c>
      <c r="T332" t="s">
        <v>136</v>
      </c>
      <c r="U332" t="s">
        <v>39</v>
      </c>
      <c r="V332" t="s">
        <v>39</v>
      </c>
      <c r="W332" t="s">
        <v>39</v>
      </c>
      <c r="X332">
        <v>2023</v>
      </c>
      <c r="Y332" t="s">
        <v>312</v>
      </c>
      <c r="Z332" t="s">
        <v>83</v>
      </c>
    </row>
    <row r="333" spans="1:26">
      <c r="A333" t="s">
        <v>934</v>
      </c>
      <c r="B333" t="s">
        <v>27</v>
      </c>
      <c r="C333" t="s">
        <v>67</v>
      </c>
      <c r="D333" t="s">
        <v>77</v>
      </c>
      <c r="E333" t="s">
        <v>94</v>
      </c>
      <c r="F333" t="s">
        <v>95</v>
      </c>
      <c r="G333" t="s">
        <v>32</v>
      </c>
      <c r="H333">
        <v>11.6</v>
      </c>
      <c r="I333">
        <v>0.5</v>
      </c>
      <c r="J333" t="s">
        <v>96</v>
      </c>
      <c r="K333" t="s">
        <v>935</v>
      </c>
      <c r="L333" t="s">
        <v>35</v>
      </c>
      <c r="M333" t="s">
        <v>936</v>
      </c>
      <c r="N333" t="s">
        <v>71</v>
      </c>
      <c r="O333">
        <v>76</v>
      </c>
      <c r="P333" t="s">
        <v>89</v>
      </c>
      <c r="Q333">
        <v>6024</v>
      </c>
      <c r="R333">
        <v>1000</v>
      </c>
      <c r="S333" t="s">
        <v>90</v>
      </c>
      <c r="T333" t="s">
        <v>62</v>
      </c>
      <c r="U333" t="s">
        <v>52</v>
      </c>
      <c r="V333" t="s">
        <v>52</v>
      </c>
      <c r="W333" t="s">
        <v>52</v>
      </c>
      <c r="X333">
        <v>2022</v>
      </c>
      <c r="Y333" t="s">
        <v>114</v>
      </c>
      <c r="Z333" t="s">
        <v>41</v>
      </c>
    </row>
    <row r="334" spans="1:26">
      <c r="A334" t="s">
        <v>937</v>
      </c>
      <c r="B334" t="s">
        <v>108</v>
      </c>
      <c r="C334" t="s">
        <v>67</v>
      </c>
      <c r="D334" t="s">
        <v>85</v>
      </c>
      <c r="E334" t="s">
        <v>86</v>
      </c>
      <c r="F334" t="s">
        <v>57</v>
      </c>
      <c r="G334" t="s">
        <v>58</v>
      </c>
      <c r="H334">
        <v>5.8</v>
      </c>
      <c r="I334">
        <v>7</v>
      </c>
      <c r="J334" t="s">
        <v>33</v>
      </c>
      <c r="K334" t="s">
        <v>735</v>
      </c>
      <c r="L334" t="s">
        <v>98</v>
      </c>
      <c r="M334" t="s">
        <v>938</v>
      </c>
      <c r="N334" t="s">
        <v>37</v>
      </c>
      <c r="O334">
        <v>112</v>
      </c>
      <c r="P334" t="s">
        <v>2265</v>
      </c>
      <c r="Q334">
        <v>0</v>
      </c>
      <c r="R334">
        <v>0</v>
      </c>
      <c r="S334" t="s">
        <v>2265</v>
      </c>
      <c r="T334" t="s">
        <v>81</v>
      </c>
      <c r="U334" t="s">
        <v>39</v>
      </c>
      <c r="V334" t="s">
        <v>39</v>
      </c>
      <c r="W334" t="s">
        <v>39</v>
      </c>
      <c r="X334">
        <v>2024</v>
      </c>
      <c r="Y334" t="s">
        <v>82</v>
      </c>
      <c r="Z334" t="s">
        <v>83</v>
      </c>
    </row>
    <row r="335" spans="1:26">
      <c r="A335" t="s">
        <v>939</v>
      </c>
      <c r="B335" t="s">
        <v>43</v>
      </c>
      <c r="C335" t="s">
        <v>44</v>
      </c>
      <c r="D335" t="s">
        <v>77</v>
      </c>
      <c r="E335" t="s">
        <v>216</v>
      </c>
      <c r="F335" t="s">
        <v>149</v>
      </c>
      <c r="G335" t="s">
        <v>32</v>
      </c>
      <c r="H335">
        <v>11.7</v>
      </c>
      <c r="I335">
        <v>5.2</v>
      </c>
      <c r="J335" t="s">
        <v>20</v>
      </c>
      <c r="K335" t="s">
        <v>139</v>
      </c>
      <c r="L335" t="s">
        <v>48</v>
      </c>
      <c r="M335" t="s">
        <v>127</v>
      </c>
      <c r="N335" t="s">
        <v>100</v>
      </c>
      <c r="O335">
        <v>169</v>
      </c>
      <c r="P335" t="s">
        <v>2265</v>
      </c>
      <c r="Q335">
        <v>0</v>
      </c>
      <c r="R335">
        <v>0</v>
      </c>
      <c r="S335" t="s">
        <v>2265</v>
      </c>
      <c r="T335" t="s">
        <v>136</v>
      </c>
      <c r="U335" t="s">
        <v>52</v>
      </c>
      <c r="V335" t="s">
        <v>52</v>
      </c>
      <c r="W335" t="s">
        <v>52</v>
      </c>
      <c r="X335">
        <v>2024</v>
      </c>
      <c r="Y335" t="s">
        <v>114</v>
      </c>
      <c r="Z335" t="s">
        <v>41</v>
      </c>
    </row>
    <row r="336" spans="1:26">
      <c r="A336" t="s">
        <v>940</v>
      </c>
      <c r="B336" t="s">
        <v>66</v>
      </c>
      <c r="C336" t="s">
        <v>102</v>
      </c>
      <c r="D336" t="s">
        <v>85</v>
      </c>
      <c r="E336" t="s">
        <v>402</v>
      </c>
      <c r="F336" t="s">
        <v>109</v>
      </c>
      <c r="G336" t="s">
        <v>32</v>
      </c>
      <c r="H336">
        <v>7.3</v>
      </c>
      <c r="I336">
        <v>20.399999999999999</v>
      </c>
      <c r="J336" t="s">
        <v>144</v>
      </c>
      <c r="K336" t="s">
        <v>941</v>
      </c>
      <c r="L336" t="s">
        <v>140</v>
      </c>
      <c r="M336" t="s">
        <v>659</v>
      </c>
      <c r="N336" t="s">
        <v>100</v>
      </c>
      <c r="O336">
        <v>48</v>
      </c>
      <c r="P336" t="s">
        <v>2265</v>
      </c>
      <c r="Q336">
        <v>0</v>
      </c>
      <c r="R336">
        <v>0</v>
      </c>
      <c r="S336" t="s">
        <v>2265</v>
      </c>
      <c r="T336" t="s">
        <v>62</v>
      </c>
      <c r="U336" t="s">
        <v>39</v>
      </c>
      <c r="V336" t="s">
        <v>39</v>
      </c>
      <c r="W336" t="s">
        <v>39</v>
      </c>
      <c r="X336">
        <v>2023</v>
      </c>
      <c r="Y336" t="s">
        <v>74</v>
      </c>
      <c r="Z336" t="s">
        <v>54</v>
      </c>
    </row>
    <row r="337" spans="1:26">
      <c r="A337" t="s">
        <v>942</v>
      </c>
      <c r="B337" t="s">
        <v>93</v>
      </c>
      <c r="C337" t="s">
        <v>121</v>
      </c>
      <c r="D337" t="s">
        <v>77</v>
      </c>
      <c r="E337" t="s">
        <v>78</v>
      </c>
      <c r="F337" t="s">
        <v>109</v>
      </c>
      <c r="G337" t="s">
        <v>58</v>
      </c>
      <c r="H337">
        <v>1.8</v>
      </c>
      <c r="I337">
        <v>25.7</v>
      </c>
      <c r="J337" t="s">
        <v>20</v>
      </c>
      <c r="K337" t="s">
        <v>943</v>
      </c>
      <c r="L337" t="s">
        <v>140</v>
      </c>
      <c r="M337" t="s">
        <v>829</v>
      </c>
      <c r="N337" t="s">
        <v>50</v>
      </c>
      <c r="O337">
        <v>29</v>
      </c>
      <c r="P337" t="s">
        <v>2265</v>
      </c>
      <c r="Q337">
        <v>0</v>
      </c>
      <c r="R337">
        <v>0</v>
      </c>
      <c r="S337" t="s">
        <v>2265</v>
      </c>
      <c r="T337" t="s">
        <v>38</v>
      </c>
      <c r="U337" t="s">
        <v>39</v>
      </c>
      <c r="V337" t="s">
        <v>52</v>
      </c>
      <c r="W337" t="s">
        <v>39</v>
      </c>
      <c r="X337">
        <v>2024</v>
      </c>
      <c r="Y337" t="s">
        <v>106</v>
      </c>
      <c r="Z337" t="s">
        <v>83</v>
      </c>
    </row>
    <row r="338" spans="1:26">
      <c r="A338" t="s">
        <v>944</v>
      </c>
      <c r="B338" t="s">
        <v>27</v>
      </c>
      <c r="C338" t="s">
        <v>121</v>
      </c>
      <c r="D338" t="s">
        <v>29</v>
      </c>
      <c r="E338" t="s">
        <v>195</v>
      </c>
      <c r="F338" t="s">
        <v>31</v>
      </c>
      <c r="G338" t="s">
        <v>32</v>
      </c>
      <c r="H338">
        <v>9.4</v>
      </c>
      <c r="I338">
        <v>16.7</v>
      </c>
      <c r="J338" t="s">
        <v>144</v>
      </c>
      <c r="K338" t="s">
        <v>329</v>
      </c>
      <c r="L338" t="s">
        <v>60</v>
      </c>
      <c r="M338" t="s">
        <v>507</v>
      </c>
      <c r="N338" t="s">
        <v>71</v>
      </c>
      <c r="O338">
        <v>157</v>
      </c>
      <c r="P338" t="s">
        <v>72</v>
      </c>
      <c r="Q338">
        <v>2907</v>
      </c>
      <c r="R338">
        <v>1000</v>
      </c>
      <c r="S338" t="s">
        <v>152</v>
      </c>
      <c r="T338" t="s">
        <v>81</v>
      </c>
      <c r="U338" t="s">
        <v>39</v>
      </c>
      <c r="V338" t="s">
        <v>52</v>
      </c>
      <c r="W338" t="s">
        <v>52</v>
      </c>
      <c r="X338">
        <v>2023</v>
      </c>
      <c r="Y338" t="s">
        <v>91</v>
      </c>
      <c r="Z338" t="s">
        <v>64</v>
      </c>
    </row>
    <row r="339" spans="1:26">
      <c r="A339" t="s">
        <v>945</v>
      </c>
      <c r="B339" t="s">
        <v>93</v>
      </c>
      <c r="C339" t="s">
        <v>76</v>
      </c>
      <c r="D339" t="s">
        <v>77</v>
      </c>
      <c r="E339" t="s">
        <v>168</v>
      </c>
      <c r="F339" t="s">
        <v>160</v>
      </c>
      <c r="G339" t="s">
        <v>32</v>
      </c>
      <c r="H339">
        <v>6.9</v>
      </c>
      <c r="I339">
        <v>23.1</v>
      </c>
      <c r="J339" t="s">
        <v>33</v>
      </c>
      <c r="K339" t="s">
        <v>682</v>
      </c>
      <c r="L339" t="s">
        <v>48</v>
      </c>
      <c r="M339" t="s">
        <v>946</v>
      </c>
      <c r="N339" t="s">
        <v>50</v>
      </c>
      <c r="O339">
        <v>162</v>
      </c>
      <c r="P339" t="s">
        <v>2265</v>
      </c>
      <c r="Q339">
        <v>0</v>
      </c>
      <c r="R339">
        <v>0</v>
      </c>
      <c r="S339" t="s">
        <v>2265</v>
      </c>
      <c r="T339" t="s">
        <v>62</v>
      </c>
      <c r="U339" t="s">
        <v>39</v>
      </c>
      <c r="V339" t="s">
        <v>52</v>
      </c>
      <c r="W339" t="s">
        <v>52</v>
      </c>
      <c r="X339">
        <v>2022</v>
      </c>
      <c r="Y339" t="s">
        <v>53</v>
      </c>
      <c r="Z339" t="s">
        <v>54</v>
      </c>
    </row>
    <row r="340" spans="1:26">
      <c r="A340" t="s">
        <v>947</v>
      </c>
      <c r="B340" t="s">
        <v>43</v>
      </c>
      <c r="C340" t="s">
        <v>121</v>
      </c>
      <c r="D340" t="s">
        <v>77</v>
      </c>
      <c r="E340" t="s">
        <v>168</v>
      </c>
      <c r="F340" t="s">
        <v>46</v>
      </c>
      <c r="G340" t="s">
        <v>58</v>
      </c>
      <c r="H340">
        <v>2.2000000000000002</v>
      </c>
      <c r="I340">
        <v>20.9</v>
      </c>
      <c r="J340" t="s">
        <v>33</v>
      </c>
      <c r="K340" t="s">
        <v>34</v>
      </c>
      <c r="L340" t="s">
        <v>98</v>
      </c>
      <c r="M340" t="s">
        <v>110</v>
      </c>
      <c r="N340" t="s">
        <v>71</v>
      </c>
      <c r="O340">
        <v>66</v>
      </c>
      <c r="P340" t="s">
        <v>89</v>
      </c>
      <c r="Q340">
        <v>3913</v>
      </c>
      <c r="R340">
        <v>1000</v>
      </c>
      <c r="S340" t="s">
        <v>90</v>
      </c>
      <c r="T340" t="s">
        <v>81</v>
      </c>
      <c r="U340" t="s">
        <v>39</v>
      </c>
      <c r="V340" t="s">
        <v>52</v>
      </c>
      <c r="W340" t="s">
        <v>39</v>
      </c>
      <c r="X340">
        <v>2023</v>
      </c>
      <c r="Y340" t="s">
        <v>40</v>
      </c>
      <c r="Z340" t="s">
        <v>41</v>
      </c>
    </row>
    <row r="341" spans="1:26">
      <c r="A341" t="s">
        <v>948</v>
      </c>
      <c r="B341" t="s">
        <v>66</v>
      </c>
      <c r="C341" t="s">
        <v>164</v>
      </c>
      <c r="D341" t="s">
        <v>77</v>
      </c>
      <c r="E341" t="s">
        <v>216</v>
      </c>
      <c r="F341" t="s">
        <v>124</v>
      </c>
      <c r="G341" t="s">
        <v>32</v>
      </c>
      <c r="H341">
        <v>2.9</v>
      </c>
      <c r="I341">
        <v>15.7</v>
      </c>
      <c r="J341" t="s">
        <v>33</v>
      </c>
      <c r="K341" t="s">
        <v>521</v>
      </c>
      <c r="L341" t="s">
        <v>98</v>
      </c>
      <c r="M341" t="s">
        <v>127</v>
      </c>
      <c r="N341" t="s">
        <v>100</v>
      </c>
      <c r="O341">
        <v>106</v>
      </c>
      <c r="P341" t="s">
        <v>2265</v>
      </c>
      <c r="Q341">
        <v>0</v>
      </c>
      <c r="R341">
        <v>0</v>
      </c>
      <c r="S341" t="s">
        <v>2265</v>
      </c>
      <c r="T341" t="s">
        <v>51</v>
      </c>
      <c r="U341" t="s">
        <v>39</v>
      </c>
      <c r="V341" t="s">
        <v>39</v>
      </c>
      <c r="W341" t="s">
        <v>52</v>
      </c>
      <c r="X341">
        <v>2024</v>
      </c>
      <c r="Y341" t="s">
        <v>91</v>
      </c>
      <c r="Z341" t="s">
        <v>64</v>
      </c>
    </row>
    <row r="342" spans="1:26">
      <c r="A342" t="s">
        <v>949</v>
      </c>
      <c r="B342" t="s">
        <v>108</v>
      </c>
      <c r="C342" t="s">
        <v>173</v>
      </c>
      <c r="D342" t="s">
        <v>77</v>
      </c>
      <c r="E342" t="s">
        <v>94</v>
      </c>
      <c r="F342" t="s">
        <v>68</v>
      </c>
      <c r="G342" t="s">
        <v>32</v>
      </c>
      <c r="H342">
        <v>4.5999999999999996</v>
      </c>
      <c r="I342">
        <v>24.8</v>
      </c>
      <c r="J342" t="s">
        <v>33</v>
      </c>
      <c r="K342" t="s">
        <v>950</v>
      </c>
      <c r="L342" t="s">
        <v>60</v>
      </c>
      <c r="M342" t="s">
        <v>765</v>
      </c>
      <c r="N342" t="s">
        <v>50</v>
      </c>
      <c r="O342">
        <v>78</v>
      </c>
      <c r="P342" t="s">
        <v>2265</v>
      </c>
      <c r="Q342">
        <v>0</v>
      </c>
      <c r="R342">
        <v>0</v>
      </c>
      <c r="S342" t="s">
        <v>2265</v>
      </c>
      <c r="T342" t="s">
        <v>136</v>
      </c>
      <c r="U342" t="s">
        <v>52</v>
      </c>
      <c r="V342" t="s">
        <v>52</v>
      </c>
      <c r="W342" t="s">
        <v>52</v>
      </c>
      <c r="X342">
        <v>2024</v>
      </c>
      <c r="Y342" t="s">
        <v>114</v>
      </c>
      <c r="Z342" t="s">
        <v>41</v>
      </c>
    </row>
    <row r="343" spans="1:26">
      <c r="A343" t="s">
        <v>951</v>
      </c>
      <c r="B343" t="s">
        <v>66</v>
      </c>
      <c r="C343" t="s">
        <v>173</v>
      </c>
      <c r="D343" t="s">
        <v>29</v>
      </c>
      <c r="E343" t="s">
        <v>94</v>
      </c>
      <c r="F343" t="s">
        <v>46</v>
      </c>
      <c r="G343" t="s">
        <v>32</v>
      </c>
      <c r="H343">
        <v>11.5</v>
      </c>
      <c r="I343">
        <v>15.4</v>
      </c>
      <c r="J343" t="s">
        <v>33</v>
      </c>
      <c r="K343" t="s">
        <v>952</v>
      </c>
      <c r="L343" t="s">
        <v>35</v>
      </c>
      <c r="M343" t="s">
        <v>953</v>
      </c>
      <c r="N343" t="s">
        <v>171</v>
      </c>
      <c r="O343">
        <v>25</v>
      </c>
      <c r="P343" t="s">
        <v>2265</v>
      </c>
      <c r="Q343">
        <v>0</v>
      </c>
      <c r="R343">
        <v>0</v>
      </c>
      <c r="S343" t="s">
        <v>2265</v>
      </c>
      <c r="T343" t="s">
        <v>51</v>
      </c>
      <c r="U343" t="s">
        <v>52</v>
      </c>
      <c r="V343" t="s">
        <v>52</v>
      </c>
      <c r="W343" t="s">
        <v>52</v>
      </c>
      <c r="X343">
        <v>2022</v>
      </c>
      <c r="Y343" t="s">
        <v>312</v>
      </c>
      <c r="Z343" t="s">
        <v>83</v>
      </c>
    </row>
    <row r="344" spans="1:26">
      <c r="A344" t="s">
        <v>954</v>
      </c>
      <c r="B344" t="s">
        <v>116</v>
      </c>
      <c r="C344" t="s">
        <v>76</v>
      </c>
      <c r="D344" t="s">
        <v>77</v>
      </c>
      <c r="E344" t="s">
        <v>363</v>
      </c>
      <c r="F344" t="s">
        <v>57</v>
      </c>
      <c r="G344" t="s">
        <v>58</v>
      </c>
      <c r="H344">
        <v>0.2</v>
      </c>
      <c r="I344">
        <v>0.8</v>
      </c>
      <c r="J344" t="s">
        <v>20</v>
      </c>
      <c r="K344" t="s">
        <v>905</v>
      </c>
      <c r="L344" t="s">
        <v>35</v>
      </c>
      <c r="M344" t="s">
        <v>127</v>
      </c>
      <c r="N344" t="s">
        <v>71</v>
      </c>
      <c r="O344">
        <v>87</v>
      </c>
      <c r="P344" t="s">
        <v>112</v>
      </c>
      <c r="Q344">
        <v>5566</v>
      </c>
      <c r="R344">
        <v>1000</v>
      </c>
      <c r="S344" t="s">
        <v>152</v>
      </c>
      <c r="T344" t="s">
        <v>81</v>
      </c>
      <c r="U344" t="s">
        <v>39</v>
      </c>
      <c r="V344" t="s">
        <v>52</v>
      </c>
      <c r="W344" t="s">
        <v>52</v>
      </c>
      <c r="X344">
        <v>2024</v>
      </c>
      <c r="Y344" t="s">
        <v>128</v>
      </c>
      <c r="Z344" t="s">
        <v>64</v>
      </c>
    </row>
    <row r="345" spans="1:26">
      <c r="A345" t="s">
        <v>955</v>
      </c>
      <c r="B345" t="s">
        <v>27</v>
      </c>
      <c r="C345" t="s">
        <v>164</v>
      </c>
      <c r="D345" t="s">
        <v>77</v>
      </c>
      <c r="E345" t="s">
        <v>220</v>
      </c>
      <c r="F345" t="s">
        <v>57</v>
      </c>
      <c r="G345" t="s">
        <v>58</v>
      </c>
      <c r="H345">
        <v>8.5</v>
      </c>
      <c r="I345">
        <v>4.5999999999999996</v>
      </c>
      <c r="J345" t="s">
        <v>33</v>
      </c>
      <c r="K345" t="s">
        <v>956</v>
      </c>
      <c r="L345" t="s">
        <v>98</v>
      </c>
      <c r="M345" t="s">
        <v>957</v>
      </c>
      <c r="N345" t="s">
        <v>37</v>
      </c>
      <c r="O345">
        <v>15</v>
      </c>
      <c r="P345" t="s">
        <v>2265</v>
      </c>
      <c r="Q345">
        <v>0</v>
      </c>
      <c r="R345">
        <v>0</v>
      </c>
      <c r="S345" t="s">
        <v>2265</v>
      </c>
      <c r="T345" t="s">
        <v>81</v>
      </c>
      <c r="U345" t="s">
        <v>39</v>
      </c>
      <c r="V345" t="s">
        <v>52</v>
      </c>
      <c r="W345" t="s">
        <v>52</v>
      </c>
      <c r="X345">
        <v>2022</v>
      </c>
      <c r="Y345" t="s">
        <v>40</v>
      </c>
      <c r="Z345" t="s">
        <v>41</v>
      </c>
    </row>
    <row r="346" spans="1:26">
      <c r="A346" t="s">
        <v>958</v>
      </c>
      <c r="B346" t="s">
        <v>93</v>
      </c>
      <c r="C346" t="s">
        <v>173</v>
      </c>
      <c r="D346" t="s">
        <v>29</v>
      </c>
      <c r="E346" t="s">
        <v>94</v>
      </c>
      <c r="F346" t="s">
        <v>68</v>
      </c>
      <c r="G346" t="s">
        <v>58</v>
      </c>
      <c r="H346">
        <v>8.3000000000000007</v>
      </c>
      <c r="I346">
        <v>23.5</v>
      </c>
      <c r="J346" t="s">
        <v>33</v>
      </c>
      <c r="K346" t="s">
        <v>502</v>
      </c>
      <c r="L346" t="s">
        <v>35</v>
      </c>
      <c r="M346" t="s">
        <v>959</v>
      </c>
      <c r="N346" t="s">
        <v>100</v>
      </c>
      <c r="O346">
        <v>71</v>
      </c>
      <c r="P346" t="s">
        <v>2265</v>
      </c>
      <c r="Q346">
        <v>0</v>
      </c>
      <c r="R346">
        <v>0</v>
      </c>
      <c r="S346" t="s">
        <v>2265</v>
      </c>
      <c r="T346" t="s">
        <v>136</v>
      </c>
      <c r="U346" t="s">
        <v>52</v>
      </c>
      <c r="V346" t="s">
        <v>52</v>
      </c>
      <c r="W346" t="s">
        <v>39</v>
      </c>
      <c r="X346">
        <v>2024</v>
      </c>
      <c r="Y346" t="s">
        <v>40</v>
      </c>
      <c r="Z346" t="s">
        <v>41</v>
      </c>
    </row>
    <row r="347" spans="1:26">
      <c r="A347" t="s">
        <v>960</v>
      </c>
      <c r="B347" t="s">
        <v>27</v>
      </c>
      <c r="C347" t="s">
        <v>44</v>
      </c>
      <c r="D347" t="s">
        <v>29</v>
      </c>
      <c r="E347" t="s">
        <v>195</v>
      </c>
      <c r="F347" t="s">
        <v>68</v>
      </c>
      <c r="G347" t="s">
        <v>32</v>
      </c>
      <c r="H347">
        <v>6</v>
      </c>
      <c r="I347">
        <v>32.5</v>
      </c>
      <c r="J347" t="s">
        <v>33</v>
      </c>
      <c r="K347" t="s">
        <v>961</v>
      </c>
      <c r="L347" t="s">
        <v>48</v>
      </c>
      <c r="M347" t="s">
        <v>962</v>
      </c>
      <c r="N347" t="s">
        <v>50</v>
      </c>
      <c r="O347">
        <v>46</v>
      </c>
      <c r="P347" t="s">
        <v>2265</v>
      </c>
      <c r="Q347">
        <v>0</v>
      </c>
      <c r="R347">
        <v>0</v>
      </c>
      <c r="S347" t="s">
        <v>2265</v>
      </c>
      <c r="T347" t="s">
        <v>62</v>
      </c>
      <c r="U347" t="s">
        <v>52</v>
      </c>
      <c r="V347" t="s">
        <v>39</v>
      </c>
      <c r="W347" t="s">
        <v>39</v>
      </c>
      <c r="X347">
        <v>2023</v>
      </c>
      <c r="Y347" t="s">
        <v>153</v>
      </c>
      <c r="Z347" t="s">
        <v>54</v>
      </c>
    </row>
    <row r="348" spans="1:26">
      <c r="A348" t="s">
        <v>963</v>
      </c>
      <c r="B348" t="s">
        <v>116</v>
      </c>
      <c r="C348" t="s">
        <v>121</v>
      </c>
      <c r="D348" t="s">
        <v>77</v>
      </c>
      <c r="E348" t="s">
        <v>168</v>
      </c>
      <c r="F348" t="s">
        <v>68</v>
      </c>
      <c r="G348" t="s">
        <v>58</v>
      </c>
      <c r="H348">
        <v>8.8000000000000007</v>
      </c>
      <c r="I348">
        <v>27.3</v>
      </c>
      <c r="J348" t="s">
        <v>33</v>
      </c>
      <c r="K348" t="s">
        <v>964</v>
      </c>
      <c r="L348" t="s">
        <v>98</v>
      </c>
      <c r="M348" t="s">
        <v>965</v>
      </c>
      <c r="N348" t="s">
        <v>71</v>
      </c>
      <c r="O348">
        <v>9</v>
      </c>
      <c r="P348" t="s">
        <v>112</v>
      </c>
      <c r="Q348">
        <v>3576</v>
      </c>
      <c r="R348">
        <v>1000</v>
      </c>
      <c r="S348" t="s">
        <v>152</v>
      </c>
      <c r="T348" t="s">
        <v>81</v>
      </c>
      <c r="U348" t="s">
        <v>39</v>
      </c>
      <c r="V348" t="s">
        <v>52</v>
      </c>
      <c r="W348" t="s">
        <v>39</v>
      </c>
      <c r="X348">
        <v>2022</v>
      </c>
      <c r="Y348" t="s">
        <v>40</v>
      </c>
      <c r="Z348" t="s">
        <v>41</v>
      </c>
    </row>
    <row r="349" spans="1:26">
      <c r="A349" t="s">
        <v>966</v>
      </c>
      <c r="B349" t="s">
        <v>116</v>
      </c>
      <c r="C349" t="s">
        <v>102</v>
      </c>
      <c r="D349" t="s">
        <v>29</v>
      </c>
      <c r="E349" t="s">
        <v>94</v>
      </c>
      <c r="F349" t="s">
        <v>238</v>
      </c>
      <c r="G349" t="s">
        <v>32</v>
      </c>
      <c r="H349">
        <v>4.9000000000000004</v>
      </c>
      <c r="I349">
        <v>25.6</v>
      </c>
      <c r="J349" t="s">
        <v>156</v>
      </c>
      <c r="K349" t="s">
        <v>731</v>
      </c>
      <c r="L349" t="s">
        <v>126</v>
      </c>
      <c r="M349" t="s">
        <v>127</v>
      </c>
      <c r="N349" t="s">
        <v>100</v>
      </c>
      <c r="O349">
        <v>123</v>
      </c>
      <c r="P349" t="s">
        <v>2265</v>
      </c>
      <c r="Q349">
        <v>0</v>
      </c>
      <c r="R349">
        <v>0</v>
      </c>
      <c r="S349" t="s">
        <v>2265</v>
      </c>
      <c r="T349" t="s">
        <v>38</v>
      </c>
      <c r="U349" t="s">
        <v>39</v>
      </c>
      <c r="V349" t="s">
        <v>52</v>
      </c>
      <c r="W349" t="s">
        <v>52</v>
      </c>
      <c r="X349">
        <v>2024</v>
      </c>
      <c r="Y349" t="s">
        <v>91</v>
      </c>
      <c r="Z349" t="s">
        <v>64</v>
      </c>
    </row>
    <row r="350" spans="1:26">
      <c r="A350" t="s">
        <v>967</v>
      </c>
      <c r="B350" t="s">
        <v>93</v>
      </c>
      <c r="C350" t="s">
        <v>102</v>
      </c>
      <c r="D350" t="s">
        <v>85</v>
      </c>
      <c r="E350" t="s">
        <v>174</v>
      </c>
      <c r="F350" t="s">
        <v>68</v>
      </c>
      <c r="G350" t="s">
        <v>58</v>
      </c>
      <c r="H350">
        <v>1.1000000000000001</v>
      </c>
      <c r="I350">
        <v>16.399999999999999</v>
      </c>
      <c r="J350" t="s">
        <v>144</v>
      </c>
      <c r="K350" t="s">
        <v>968</v>
      </c>
      <c r="L350" t="s">
        <v>98</v>
      </c>
      <c r="M350" t="s">
        <v>345</v>
      </c>
      <c r="N350" t="s">
        <v>171</v>
      </c>
      <c r="O350">
        <v>94</v>
      </c>
      <c r="P350" t="s">
        <v>2265</v>
      </c>
      <c r="Q350">
        <v>0</v>
      </c>
      <c r="R350">
        <v>0</v>
      </c>
      <c r="S350" t="s">
        <v>2265</v>
      </c>
      <c r="T350" t="s">
        <v>81</v>
      </c>
      <c r="U350" t="s">
        <v>39</v>
      </c>
      <c r="V350" t="s">
        <v>52</v>
      </c>
      <c r="W350" t="s">
        <v>52</v>
      </c>
      <c r="X350">
        <v>2022</v>
      </c>
      <c r="Y350" t="s">
        <v>40</v>
      </c>
      <c r="Z350" t="s">
        <v>41</v>
      </c>
    </row>
    <row r="351" spans="1:26">
      <c r="A351" t="s">
        <v>969</v>
      </c>
      <c r="B351" t="s">
        <v>43</v>
      </c>
      <c r="C351" t="s">
        <v>76</v>
      </c>
      <c r="D351" t="s">
        <v>29</v>
      </c>
      <c r="E351" t="s">
        <v>94</v>
      </c>
      <c r="F351" t="s">
        <v>31</v>
      </c>
      <c r="G351" t="s">
        <v>58</v>
      </c>
      <c r="H351">
        <v>8.9</v>
      </c>
      <c r="I351">
        <v>5.3</v>
      </c>
      <c r="J351" t="s">
        <v>144</v>
      </c>
      <c r="K351" t="s">
        <v>970</v>
      </c>
      <c r="L351" t="s">
        <v>126</v>
      </c>
      <c r="M351" t="s">
        <v>265</v>
      </c>
      <c r="N351" t="s">
        <v>71</v>
      </c>
      <c r="O351">
        <v>125</v>
      </c>
      <c r="P351" t="s">
        <v>230</v>
      </c>
      <c r="Q351">
        <v>4091</v>
      </c>
      <c r="R351">
        <v>500</v>
      </c>
      <c r="S351" t="s">
        <v>152</v>
      </c>
      <c r="T351" t="s">
        <v>136</v>
      </c>
      <c r="U351" t="s">
        <v>52</v>
      </c>
      <c r="V351" t="s">
        <v>39</v>
      </c>
      <c r="W351" t="s">
        <v>39</v>
      </c>
      <c r="X351">
        <v>2024</v>
      </c>
      <c r="Y351" t="s">
        <v>106</v>
      </c>
      <c r="Z351" t="s">
        <v>83</v>
      </c>
    </row>
    <row r="352" spans="1:26">
      <c r="A352" t="s">
        <v>971</v>
      </c>
      <c r="B352" t="s">
        <v>66</v>
      </c>
      <c r="C352" t="s">
        <v>121</v>
      </c>
      <c r="D352" t="s">
        <v>122</v>
      </c>
      <c r="E352" t="s">
        <v>123</v>
      </c>
      <c r="F352" t="s">
        <v>109</v>
      </c>
      <c r="G352" t="s">
        <v>58</v>
      </c>
      <c r="H352">
        <v>1.5</v>
      </c>
      <c r="I352">
        <v>28.3</v>
      </c>
      <c r="J352" t="s">
        <v>156</v>
      </c>
      <c r="K352" t="s">
        <v>111</v>
      </c>
      <c r="L352" t="s">
        <v>140</v>
      </c>
      <c r="M352" t="s">
        <v>972</v>
      </c>
      <c r="N352" t="s">
        <v>100</v>
      </c>
      <c r="O352">
        <v>11</v>
      </c>
      <c r="P352" t="s">
        <v>2265</v>
      </c>
      <c r="Q352">
        <v>0</v>
      </c>
      <c r="R352">
        <v>0</v>
      </c>
      <c r="S352" t="s">
        <v>2265</v>
      </c>
      <c r="T352" t="s">
        <v>81</v>
      </c>
      <c r="U352" t="s">
        <v>39</v>
      </c>
      <c r="V352" t="s">
        <v>39</v>
      </c>
      <c r="W352" t="s">
        <v>52</v>
      </c>
      <c r="X352">
        <v>2023</v>
      </c>
      <c r="Y352" t="s">
        <v>128</v>
      </c>
      <c r="Z352" t="s">
        <v>64</v>
      </c>
    </row>
    <row r="353" spans="1:26">
      <c r="A353" t="s">
        <v>973</v>
      </c>
      <c r="B353" t="s">
        <v>66</v>
      </c>
      <c r="C353" t="s">
        <v>76</v>
      </c>
      <c r="D353" t="s">
        <v>77</v>
      </c>
      <c r="E353" t="s">
        <v>220</v>
      </c>
      <c r="F353" t="s">
        <v>160</v>
      </c>
      <c r="G353" t="s">
        <v>58</v>
      </c>
      <c r="H353">
        <v>7.8</v>
      </c>
      <c r="I353">
        <v>1</v>
      </c>
      <c r="J353" t="s">
        <v>144</v>
      </c>
      <c r="K353" t="s">
        <v>439</v>
      </c>
      <c r="L353" t="s">
        <v>140</v>
      </c>
      <c r="M353" t="s">
        <v>127</v>
      </c>
      <c r="N353" t="s">
        <v>71</v>
      </c>
      <c r="O353">
        <v>159</v>
      </c>
      <c r="P353" t="s">
        <v>89</v>
      </c>
      <c r="Q353">
        <v>4988</v>
      </c>
      <c r="R353">
        <v>2000</v>
      </c>
      <c r="S353" t="s">
        <v>73</v>
      </c>
      <c r="T353" t="s">
        <v>38</v>
      </c>
      <c r="U353" t="s">
        <v>39</v>
      </c>
      <c r="V353" t="s">
        <v>52</v>
      </c>
      <c r="W353" t="s">
        <v>52</v>
      </c>
      <c r="X353">
        <v>2024</v>
      </c>
      <c r="Y353" t="s">
        <v>211</v>
      </c>
      <c r="Z353" t="s">
        <v>41</v>
      </c>
    </row>
    <row r="354" spans="1:26">
      <c r="A354" t="s">
        <v>974</v>
      </c>
      <c r="B354" t="s">
        <v>66</v>
      </c>
      <c r="C354" t="s">
        <v>44</v>
      </c>
      <c r="D354" t="s">
        <v>29</v>
      </c>
      <c r="E354" t="s">
        <v>195</v>
      </c>
      <c r="F354" t="s">
        <v>46</v>
      </c>
      <c r="G354" t="s">
        <v>58</v>
      </c>
      <c r="H354">
        <v>9.8000000000000007</v>
      </c>
      <c r="I354">
        <v>34.4</v>
      </c>
      <c r="J354" t="s">
        <v>156</v>
      </c>
      <c r="K354" t="s">
        <v>975</v>
      </c>
      <c r="L354" t="s">
        <v>140</v>
      </c>
      <c r="M354" t="s">
        <v>825</v>
      </c>
      <c r="N354" t="s">
        <v>171</v>
      </c>
      <c r="O354">
        <v>110</v>
      </c>
      <c r="P354" t="s">
        <v>2265</v>
      </c>
      <c r="Q354">
        <v>0</v>
      </c>
      <c r="R354">
        <v>0</v>
      </c>
      <c r="S354" t="s">
        <v>2265</v>
      </c>
      <c r="T354" t="s">
        <v>62</v>
      </c>
      <c r="U354" t="s">
        <v>39</v>
      </c>
      <c r="V354" t="s">
        <v>52</v>
      </c>
      <c r="W354" t="s">
        <v>52</v>
      </c>
      <c r="X354">
        <v>2023</v>
      </c>
      <c r="Y354" t="s">
        <v>82</v>
      </c>
      <c r="Z354" t="s">
        <v>83</v>
      </c>
    </row>
    <row r="355" spans="1:26">
      <c r="A355" t="s">
        <v>976</v>
      </c>
      <c r="B355" t="s">
        <v>93</v>
      </c>
      <c r="C355" t="s">
        <v>164</v>
      </c>
      <c r="D355" t="s">
        <v>77</v>
      </c>
      <c r="E355" t="s">
        <v>216</v>
      </c>
      <c r="F355" t="s">
        <v>149</v>
      </c>
      <c r="G355" t="s">
        <v>58</v>
      </c>
      <c r="H355">
        <v>9.1</v>
      </c>
      <c r="I355">
        <v>6.3</v>
      </c>
      <c r="J355" t="s">
        <v>20</v>
      </c>
      <c r="K355" t="s">
        <v>630</v>
      </c>
      <c r="L355" t="s">
        <v>35</v>
      </c>
      <c r="M355" t="s">
        <v>59</v>
      </c>
      <c r="N355" t="s">
        <v>71</v>
      </c>
      <c r="O355">
        <v>17</v>
      </c>
      <c r="P355" t="s">
        <v>89</v>
      </c>
      <c r="Q355">
        <v>5243</v>
      </c>
      <c r="R355">
        <v>0</v>
      </c>
      <c r="S355" t="s">
        <v>73</v>
      </c>
      <c r="T355" t="s">
        <v>62</v>
      </c>
      <c r="U355" t="s">
        <v>52</v>
      </c>
      <c r="V355" t="s">
        <v>39</v>
      </c>
      <c r="W355" t="s">
        <v>39</v>
      </c>
      <c r="X355">
        <v>2023</v>
      </c>
      <c r="Y355" t="s">
        <v>128</v>
      </c>
      <c r="Z355" t="s">
        <v>64</v>
      </c>
    </row>
    <row r="356" spans="1:26">
      <c r="A356" t="s">
        <v>977</v>
      </c>
      <c r="B356" t="s">
        <v>108</v>
      </c>
      <c r="C356" t="s">
        <v>121</v>
      </c>
      <c r="D356" t="s">
        <v>77</v>
      </c>
      <c r="E356" t="s">
        <v>143</v>
      </c>
      <c r="F356" t="s">
        <v>68</v>
      </c>
      <c r="G356" t="s">
        <v>58</v>
      </c>
      <c r="H356">
        <v>7.9</v>
      </c>
      <c r="I356">
        <v>31.1</v>
      </c>
      <c r="J356" t="s">
        <v>33</v>
      </c>
      <c r="K356" t="s">
        <v>455</v>
      </c>
      <c r="L356" t="s">
        <v>98</v>
      </c>
      <c r="M356" t="s">
        <v>978</v>
      </c>
      <c r="N356" t="s">
        <v>71</v>
      </c>
      <c r="O356">
        <v>2</v>
      </c>
      <c r="P356" t="s">
        <v>72</v>
      </c>
      <c r="Q356">
        <v>3730</v>
      </c>
      <c r="R356">
        <v>2000</v>
      </c>
      <c r="S356" t="s">
        <v>90</v>
      </c>
      <c r="T356" t="s">
        <v>136</v>
      </c>
      <c r="U356" t="s">
        <v>39</v>
      </c>
      <c r="V356" t="s">
        <v>39</v>
      </c>
      <c r="W356" t="s">
        <v>39</v>
      </c>
      <c r="X356">
        <v>2022</v>
      </c>
      <c r="Y356" t="s">
        <v>106</v>
      </c>
      <c r="Z356" t="s">
        <v>83</v>
      </c>
    </row>
    <row r="357" spans="1:26">
      <c r="A357" t="s">
        <v>979</v>
      </c>
      <c r="B357" t="s">
        <v>43</v>
      </c>
      <c r="C357" t="s">
        <v>28</v>
      </c>
      <c r="D357" t="s">
        <v>77</v>
      </c>
      <c r="E357" t="s">
        <v>216</v>
      </c>
      <c r="F357" t="s">
        <v>109</v>
      </c>
      <c r="G357" t="s">
        <v>58</v>
      </c>
      <c r="H357">
        <v>5.0999999999999996</v>
      </c>
      <c r="I357">
        <v>19.7</v>
      </c>
      <c r="J357" t="s">
        <v>20</v>
      </c>
      <c r="K357" t="s">
        <v>980</v>
      </c>
      <c r="L357" t="s">
        <v>60</v>
      </c>
      <c r="M357" t="s">
        <v>127</v>
      </c>
      <c r="N357" t="s">
        <v>71</v>
      </c>
      <c r="O357">
        <v>157</v>
      </c>
      <c r="P357" t="s">
        <v>105</v>
      </c>
      <c r="Q357">
        <v>5467</v>
      </c>
      <c r="R357">
        <v>0</v>
      </c>
      <c r="S357" t="s">
        <v>113</v>
      </c>
      <c r="T357" t="s">
        <v>136</v>
      </c>
      <c r="U357" t="s">
        <v>39</v>
      </c>
      <c r="V357" t="s">
        <v>52</v>
      </c>
      <c r="W357" t="s">
        <v>39</v>
      </c>
      <c r="X357">
        <v>2024</v>
      </c>
      <c r="Y357" t="s">
        <v>91</v>
      </c>
      <c r="Z357" t="s">
        <v>64</v>
      </c>
    </row>
    <row r="358" spans="1:26">
      <c r="A358" t="s">
        <v>981</v>
      </c>
      <c r="B358" t="s">
        <v>116</v>
      </c>
      <c r="C358" t="s">
        <v>76</v>
      </c>
      <c r="D358" t="s">
        <v>77</v>
      </c>
      <c r="E358" t="s">
        <v>143</v>
      </c>
      <c r="F358" t="s">
        <v>46</v>
      </c>
      <c r="G358" t="s">
        <v>32</v>
      </c>
      <c r="H358">
        <v>2.2000000000000002</v>
      </c>
      <c r="I358">
        <v>23.6</v>
      </c>
      <c r="J358" t="s">
        <v>33</v>
      </c>
      <c r="K358" t="s">
        <v>912</v>
      </c>
      <c r="L358" t="s">
        <v>126</v>
      </c>
      <c r="M358" t="s">
        <v>933</v>
      </c>
      <c r="N358" t="s">
        <v>50</v>
      </c>
      <c r="O358">
        <v>176</v>
      </c>
      <c r="P358" t="s">
        <v>2265</v>
      </c>
      <c r="Q358">
        <v>0</v>
      </c>
      <c r="R358">
        <v>1000</v>
      </c>
      <c r="S358" t="s">
        <v>2265</v>
      </c>
      <c r="T358" t="s">
        <v>51</v>
      </c>
      <c r="U358" t="s">
        <v>39</v>
      </c>
      <c r="V358" t="s">
        <v>52</v>
      </c>
      <c r="W358" t="s">
        <v>52</v>
      </c>
      <c r="X358">
        <v>2022</v>
      </c>
      <c r="Y358" t="s">
        <v>128</v>
      </c>
      <c r="Z358" t="s">
        <v>64</v>
      </c>
    </row>
    <row r="359" spans="1:26">
      <c r="A359" t="s">
        <v>982</v>
      </c>
      <c r="B359" t="s">
        <v>116</v>
      </c>
      <c r="C359" t="s">
        <v>102</v>
      </c>
      <c r="D359" t="s">
        <v>77</v>
      </c>
      <c r="E359" t="s">
        <v>143</v>
      </c>
      <c r="F359" t="s">
        <v>149</v>
      </c>
      <c r="G359" t="s">
        <v>32</v>
      </c>
      <c r="H359">
        <v>0.4</v>
      </c>
      <c r="I359">
        <v>18.3</v>
      </c>
      <c r="J359" t="s">
        <v>144</v>
      </c>
      <c r="K359" t="s">
        <v>592</v>
      </c>
      <c r="L359" t="s">
        <v>48</v>
      </c>
      <c r="M359" t="s">
        <v>605</v>
      </c>
      <c r="N359" t="s">
        <v>71</v>
      </c>
      <c r="O359">
        <v>138</v>
      </c>
      <c r="P359" t="s">
        <v>72</v>
      </c>
      <c r="Q359">
        <v>4294</v>
      </c>
      <c r="R359">
        <v>5000</v>
      </c>
      <c r="S359" t="s">
        <v>113</v>
      </c>
      <c r="T359" t="s">
        <v>38</v>
      </c>
      <c r="U359" t="s">
        <v>39</v>
      </c>
      <c r="V359" t="s">
        <v>39</v>
      </c>
      <c r="W359" t="s">
        <v>39</v>
      </c>
      <c r="X359">
        <v>2022</v>
      </c>
      <c r="Y359" t="s">
        <v>74</v>
      </c>
      <c r="Z359" t="s">
        <v>54</v>
      </c>
    </row>
    <row r="360" spans="1:26">
      <c r="A360" t="s">
        <v>983</v>
      </c>
      <c r="B360" t="s">
        <v>108</v>
      </c>
      <c r="C360" t="s">
        <v>164</v>
      </c>
      <c r="D360" t="s">
        <v>77</v>
      </c>
      <c r="E360" t="s">
        <v>94</v>
      </c>
      <c r="F360" t="s">
        <v>124</v>
      </c>
      <c r="G360" t="s">
        <v>32</v>
      </c>
      <c r="H360">
        <v>5.7</v>
      </c>
      <c r="I360">
        <v>17.2</v>
      </c>
      <c r="J360" t="s">
        <v>33</v>
      </c>
      <c r="K360" t="s">
        <v>984</v>
      </c>
      <c r="L360" t="s">
        <v>126</v>
      </c>
      <c r="M360" t="s">
        <v>811</v>
      </c>
      <c r="N360" t="s">
        <v>37</v>
      </c>
      <c r="O360">
        <v>97</v>
      </c>
      <c r="P360" t="s">
        <v>2265</v>
      </c>
      <c r="Q360">
        <v>0</v>
      </c>
      <c r="R360">
        <v>0</v>
      </c>
      <c r="S360" t="s">
        <v>2265</v>
      </c>
      <c r="T360" t="s">
        <v>51</v>
      </c>
      <c r="U360" t="s">
        <v>39</v>
      </c>
      <c r="V360" t="s">
        <v>52</v>
      </c>
      <c r="W360" t="s">
        <v>52</v>
      </c>
      <c r="X360">
        <v>2023</v>
      </c>
      <c r="Y360" t="s">
        <v>82</v>
      </c>
      <c r="Z360" t="s">
        <v>83</v>
      </c>
    </row>
    <row r="361" spans="1:26">
      <c r="A361" t="s">
        <v>985</v>
      </c>
      <c r="B361" t="s">
        <v>116</v>
      </c>
      <c r="C361" t="s">
        <v>121</v>
      </c>
      <c r="D361" t="s">
        <v>122</v>
      </c>
      <c r="E361" t="s">
        <v>155</v>
      </c>
      <c r="F361" t="s">
        <v>149</v>
      </c>
      <c r="G361" t="s">
        <v>32</v>
      </c>
      <c r="H361">
        <v>6.9</v>
      </c>
      <c r="I361">
        <v>10.199999999999999</v>
      </c>
      <c r="J361" t="s">
        <v>33</v>
      </c>
      <c r="K361" t="s">
        <v>413</v>
      </c>
      <c r="L361" t="s">
        <v>60</v>
      </c>
      <c r="M361" t="s">
        <v>187</v>
      </c>
      <c r="N361" t="s">
        <v>71</v>
      </c>
      <c r="O361">
        <v>86</v>
      </c>
      <c r="P361" t="s">
        <v>89</v>
      </c>
      <c r="Q361">
        <v>631</v>
      </c>
      <c r="R361">
        <v>2000</v>
      </c>
      <c r="S361" t="s">
        <v>152</v>
      </c>
      <c r="T361" t="s">
        <v>62</v>
      </c>
      <c r="U361" t="s">
        <v>39</v>
      </c>
      <c r="V361" t="s">
        <v>52</v>
      </c>
      <c r="W361" t="s">
        <v>52</v>
      </c>
      <c r="X361">
        <v>2023</v>
      </c>
      <c r="Y361" t="s">
        <v>82</v>
      </c>
      <c r="Z361" t="s">
        <v>83</v>
      </c>
    </row>
    <row r="362" spans="1:26">
      <c r="A362" t="s">
        <v>986</v>
      </c>
      <c r="B362" t="s">
        <v>93</v>
      </c>
      <c r="C362" t="s">
        <v>76</v>
      </c>
      <c r="D362" t="s">
        <v>77</v>
      </c>
      <c r="E362" t="s">
        <v>363</v>
      </c>
      <c r="F362" t="s">
        <v>57</v>
      </c>
      <c r="G362" t="s">
        <v>58</v>
      </c>
      <c r="H362">
        <v>7.1</v>
      </c>
      <c r="I362">
        <v>29.4</v>
      </c>
      <c r="J362" t="s">
        <v>33</v>
      </c>
      <c r="K362" t="s">
        <v>398</v>
      </c>
      <c r="L362" t="s">
        <v>60</v>
      </c>
      <c r="M362" t="s">
        <v>987</v>
      </c>
      <c r="N362" t="s">
        <v>50</v>
      </c>
      <c r="O362">
        <v>106</v>
      </c>
      <c r="P362" t="s">
        <v>2265</v>
      </c>
      <c r="Q362">
        <v>0</v>
      </c>
      <c r="R362">
        <v>0</v>
      </c>
      <c r="S362" t="s">
        <v>2265</v>
      </c>
      <c r="T362" t="s">
        <v>136</v>
      </c>
      <c r="U362" t="s">
        <v>39</v>
      </c>
      <c r="V362" t="s">
        <v>52</v>
      </c>
      <c r="W362" t="s">
        <v>52</v>
      </c>
      <c r="X362">
        <v>2022</v>
      </c>
      <c r="Y362" t="s">
        <v>153</v>
      </c>
      <c r="Z362" t="s">
        <v>54</v>
      </c>
    </row>
    <row r="363" spans="1:26">
      <c r="A363" t="s">
        <v>988</v>
      </c>
      <c r="B363" t="s">
        <v>27</v>
      </c>
      <c r="C363" t="s">
        <v>44</v>
      </c>
      <c r="D363" t="s">
        <v>77</v>
      </c>
      <c r="E363" t="s">
        <v>220</v>
      </c>
      <c r="F363" t="s">
        <v>149</v>
      </c>
      <c r="G363" t="s">
        <v>58</v>
      </c>
      <c r="H363">
        <v>9.1999999999999993</v>
      </c>
      <c r="I363">
        <v>1.7</v>
      </c>
      <c r="J363" t="s">
        <v>144</v>
      </c>
      <c r="K363" t="s">
        <v>491</v>
      </c>
      <c r="L363" t="s">
        <v>126</v>
      </c>
      <c r="M363" t="s">
        <v>647</v>
      </c>
      <c r="N363" t="s">
        <v>71</v>
      </c>
      <c r="O363">
        <v>12</v>
      </c>
      <c r="P363" t="s">
        <v>89</v>
      </c>
      <c r="Q363">
        <v>6855</v>
      </c>
      <c r="R363">
        <v>2000</v>
      </c>
      <c r="S363" t="s">
        <v>73</v>
      </c>
      <c r="T363" t="s">
        <v>62</v>
      </c>
      <c r="U363" t="s">
        <v>39</v>
      </c>
      <c r="V363" t="s">
        <v>52</v>
      </c>
      <c r="W363" t="s">
        <v>52</v>
      </c>
      <c r="X363">
        <v>2024</v>
      </c>
      <c r="Y363" t="s">
        <v>53</v>
      </c>
      <c r="Z363" t="s">
        <v>54</v>
      </c>
    </row>
    <row r="364" spans="1:26">
      <c r="A364" t="s">
        <v>989</v>
      </c>
      <c r="B364" t="s">
        <v>43</v>
      </c>
      <c r="C364" t="s">
        <v>121</v>
      </c>
      <c r="D364" t="s">
        <v>77</v>
      </c>
      <c r="E364" t="s">
        <v>216</v>
      </c>
      <c r="F364" t="s">
        <v>31</v>
      </c>
      <c r="G364" t="s">
        <v>58</v>
      </c>
      <c r="H364">
        <v>0.3</v>
      </c>
      <c r="I364">
        <v>23.6</v>
      </c>
      <c r="J364" t="s">
        <v>144</v>
      </c>
      <c r="K364" t="s">
        <v>285</v>
      </c>
      <c r="L364" t="s">
        <v>126</v>
      </c>
      <c r="M364" t="s">
        <v>990</v>
      </c>
      <c r="N364" t="s">
        <v>37</v>
      </c>
      <c r="O364">
        <v>76</v>
      </c>
      <c r="P364" t="s">
        <v>2265</v>
      </c>
      <c r="Q364">
        <v>0</v>
      </c>
      <c r="R364">
        <v>0</v>
      </c>
      <c r="S364" t="s">
        <v>2265</v>
      </c>
      <c r="T364" t="s">
        <v>81</v>
      </c>
      <c r="U364" t="s">
        <v>52</v>
      </c>
      <c r="V364" t="s">
        <v>39</v>
      </c>
      <c r="W364" t="s">
        <v>52</v>
      </c>
      <c r="X364">
        <v>2024</v>
      </c>
      <c r="Y364" t="s">
        <v>106</v>
      </c>
      <c r="Z364" t="s">
        <v>83</v>
      </c>
    </row>
    <row r="365" spans="1:26">
      <c r="A365" t="s">
        <v>991</v>
      </c>
      <c r="B365" t="s">
        <v>93</v>
      </c>
      <c r="C365" t="s">
        <v>102</v>
      </c>
      <c r="D365" t="s">
        <v>77</v>
      </c>
      <c r="E365" t="s">
        <v>220</v>
      </c>
      <c r="F365" t="s">
        <v>95</v>
      </c>
      <c r="G365" t="s">
        <v>32</v>
      </c>
      <c r="H365">
        <v>6.4</v>
      </c>
      <c r="I365">
        <v>10.7</v>
      </c>
      <c r="J365" t="s">
        <v>156</v>
      </c>
      <c r="K365" t="s">
        <v>992</v>
      </c>
      <c r="L365" t="s">
        <v>35</v>
      </c>
      <c r="M365" t="s">
        <v>712</v>
      </c>
      <c r="N365" t="s">
        <v>171</v>
      </c>
      <c r="O365">
        <v>99</v>
      </c>
      <c r="P365" t="s">
        <v>2265</v>
      </c>
      <c r="Q365">
        <v>0</v>
      </c>
      <c r="R365">
        <v>0</v>
      </c>
      <c r="S365" t="s">
        <v>2265</v>
      </c>
      <c r="T365" t="s">
        <v>62</v>
      </c>
      <c r="U365" t="s">
        <v>39</v>
      </c>
      <c r="V365" t="s">
        <v>39</v>
      </c>
      <c r="W365" t="s">
        <v>39</v>
      </c>
      <c r="X365">
        <v>2022</v>
      </c>
      <c r="Y365" t="s">
        <v>53</v>
      </c>
      <c r="Z365" t="s">
        <v>54</v>
      </c>
    </row>
    <row r="366" spans="1:26">
      <c r="A366" t="s">
        <v>993</v>
      </c>
      <c r="B366" t="s">
        <v>116</v>
      </c>
      <c r="C366" t="s">
        <v>102</v>
      </c>
      <c r="D366" t="s">
        <v>85</v>
      </c>
      <c r="E366" t="s">
        <v>402</v>
      </c>
      <c r="F366" t="s">
        <v>68</v>
      </c>
      <c r="G366" t="s">
        <v>32</v>
      </c>
      <c r="H366">
        <v>2.2000000000000002</v>
      </c>
      <c r="I366">
        <v>19.8</v>
      </c>
      <c r="J366" t="s">
        <v>33</v>
      </c>
      <c r="K366" t="s">
        <v>994</v>
      </c>
      <c r="L366" t="s">
        <v>140</v>
      </c>
      <c r="M366" t="s">
        <v>127</v>
      </c>
      <c r="N366" t="s">
        <v>71</v>
      </c>
      <c r="O366">
        <v>159</v>
      </c>
      <c r="P366" t="s">
        <v>230</v>
      </c>
      <c r="Q366">
        <v>1997</v>
      </c>
      <c r="R366">
        <v>0</v>
      </c>
      <c r="S366" t="s">
        <v>90</v>
      </c>
      <c r="T366" t="s">
        <v>62</v>
      </c>
      <c r="U366" t="s">
        <v>39</v>
      </c>
      <c r="V366" t="s">
        <v>52</v>
      </c>
      <c r="W366" t="s">
        <v>52</v>
      </c>
      <c r="X366">
        <v>2024</v>
      </c>
      <c r="Y366" t="s">
        <v>211</v>
      </c>
      <c r="Z366" t="s">
        <v>41</v>
      </c>
    </row>
    <row r="367" spans="1:26">
      <c r="A367" t="s">
        <v>995</v>
      </c>
      <c r="B367" t="s">
        <v>93</v>
      </c>
      <c r="C367" t="s">
        <v>121</v>
      </c>
      <c r="D367" t="s">
        <v>122</v>
      </c>
      <c r="E367" t="s">
        <v>155</v>
      </c>
      <c r="F367" t="s">
        <v>149</v>
      </c>
      <c r="G367" t="s">
        <v>58</v>
      </c>
      <c r="H367">
        <v>3.4</v>
      </c>
      <c r="I367">
        <v>2.7</v>
      </c>
      <c r="J367" t="s">
        <v>144</v>
      </c>
      <c r="K367" t="s">
        <v>996</v>
      </c>
      <c r="L367" t="s">
        <v>98</v>
      </c>
      <c r="M367" t="s">
        <v>510</v>
      </c>
      <c r="N367" t="s">
        <v>100</v>
      </c>
      <c r="O367">
        <v>129</v>
      </c>
      <c r="P367" t="s">
        <v>2265</v>
      </c>
      <c r="Q367">
        <v>0</v>
      </c>
      <c r="R367">
        <v>0</v>
      </c>
      <c r="S367" t="s">
        <v>2265</v>
      </c>
      <c r="T367" t="s">
        <v>62</v>
      </c>
      <c r="U367" t="s">
        <v>39</v>
      </c>
      <c r="V367" t="s">
        <v>52</v>
      </c>
      <c r="W367" t="s">
        <v>52</v>
      </c>
      <c r="X367">
        <v>2023</v>
      </c>
      <c r="Y367" t="s">
        <v>40</v>
      </c>
      <c r="Z367" t="s">
        <v>41</v>
      </c>
    </row>
    <row r="368" spans="1:26">
      <c r="A368" t="s">
        <v>997</v>
      </c>
      <c r="B368" t="s">
        <v>116</v>
      </c>
      <c r="C368" t="s">
        <v>164</v>
      </c>
      <c r="D368" t="s">
        <v>29</v>
      </c>
      <c r="E368" t="s">
        <v>45</v>
      </c>
      <c r="F368" t="s">
        <v>160</v>
      </c>
      <c r="G368" t="s">
        <v>58</v>
      </c>
      <c r="H368">
        <v>3.5</v>
      </c>
      <c r="I368">
        <v>33.5</v>
      </c>
      <c r="J368" t="s">
        <v>156</v>
      </c>
      <c r="K368" t="s">
        <v>998</v>
      </c>
      <c r="L368" t="s">
        <v>48</v>
      </c>
      <c r="M368" t="s">
        <v>999</v>
      </c>
      <c r="N368" t="s">
        <v>71</v>
      </c>
      <c r="O368">
        <v>23</v>
      </c>
      <c r="P368" t="s">
        <v>112</v>
      </c>
      <c r="Q368">
        <v>3100</v>
      </c>
      <c r="R368">
        <v>0</v>
      </c>
      <c r="S368" t="s">
        <v>113</v>
      </c>
      <c r="T368" t="s">
        <v>81</v>
      </c>
      <c r="U368" t="s">
        <v>39</v>
      </c>
      <c r="V368" t="s">
        <v>52</v>
      </c>
      <c r="W368" t="s">
        <v>52</v>
      </c>
      <c r="X368">
        <v>2024</v>
      </c>
      <c r="Y368" t="s">
        <v>40</v>
      </c>
      <c r="Z368" t="s">
        <v>41</v>
      </c>
    </row>
    <row r="369" spans="1:26">
      <c r="A369" t="s">
        <v>1000</v>
      </c>
      <c r="B369" t="s">
        <v>93</v>
      </c>
      <c r="C369" t="s">
        <v>102</v>
      </c>
      <c r="D369" t="s">
        <v>29</v>
      </c>
      <c r="E369" t="s">
        <v>45</v>
      </c>
      <c r="F369" t="s">
        <v>95</v>
      </c>
      <c r="G369" t="s">
        <v>58</v>
      </c>
      <c r="H369">
        <v>5.4</v>
      </c>
      <c r="I369">
        <v>22.7</v>
      </c>
      <c r="J369" t="s">
        <v>96</v>
      </c>
      <c r="K369" t="s">
        <v>432</v>
      </c>
      <c r="L369" t="s">
        <v>48</v>
      </c>
      <c r="M369" t="s">
        <v>1001</v>
      </c>
      <c r="N369" t="s">
        <v>100</v>
      </c>
      <c r="O369">
        <v>89</v>
      </c>
      <c r="P369" t="s">
        <v>2265</v>
      </c>
      <c r="Q369">
        <v>0</v>
      </c>
      <c r="R369">
        <v>0</v>
      </c>
      <c r="S369" t="s">
        <v>2265</v>
      </c>
      <c r="T369" t="s">
        <v>62</v>
      </c>
      <c r="U369" t="s">
        <v>39</v>
      </c>
      <c r="V369" t="s">
        <v>52</v>
      </c>
      <c r="W369" t="s">
        <v>52</v>
      </c>
      <c r="X369">
        <v>2024</v>
      </c>
      <c r="Y369" t="s">
        <v>211</v>
      </c>
      <c r="Z369" t="s">
        <v>41</v>
      </c>
    </row>
    <row r="370" spans="1:26">
      <c r="A370" t="s">
        <v>1002</v>
      </c>
      <c r="B370" t="s">
        <v>93</v>
      </c>
      <c r="C370" t="s">
        <v>164</v>
      </c>
      <c r="D370" t="s">
        <v>122</v>
      </c>
      <c r="E370" t="s">
        <v>130</v>
      </c>
      <c r="F370" t="s">
        <v>160</v>
      </c>
      <c r="G370" t="s">
        <v>58</v>
      </c>
      <c r="H370">
        <v>3.7</v>
      </c>
      <c r="I370">
        <v>5.0999999999999996</v>
      </c>
      <c r="J370" t="s">
        <v>144</v>
      </c>
      <c r="K370" t="s">
        <v>1003</v>
      </c>
      <c r="L370" t="s">
        <v>60</v>
      </c>
      <c r="M370" t="s">
        <v>127</v>
      </c>
      <c r="N370" t="s">
        <v>50</v>
      </c>
      <c r="O370">
        <v>141</v>
      </c>
      <c r="P370" t="s">
        <v>2265</v>
      </c>
      <c r="Q370">
        <v>0</v>
      </c>
      <c r="R370">
        <v>1000</v>
      </c>
      <c r="S370" t="s">
        <v>2265</v>
      </c>
      <c r="T370" t="s">
        <v>51</v>
      </c>
      <c r="U370" t="s">
        <v>39</v>
      </c>
      <c r="V370" t="s">
        <v>39</v>
      </c>
      <c r="W370" t="s">
        <v>52</v>
      </c>
      <c r="X370">
        <v>2024</v>
      </c>
      <c r="Y370" t="s">
        <v>63</v>
      </c>
      <c r="Z370" t="s">
        <v>64</v>
      </c>
    </row>
    <row r="371" spans="1:26">
      <c r="A371" t="s">
        <v>1004</v>
      </c>
      <c r="B371" t="s">
        <v>66</v>
      </c>
      <c r="C371" t="s">
        <v>164</v>
      </c>
      <c r="D371" t="s">
        <v>29</v>
      </c>
      <c r="E371" t="s">
        <v>117</v>
      </c>
      <c r="F371" t="s">
        <v>68</v>
      </c>
      <c r="G371" t="s">
        <v>58</v>
      </c>
      <c r="H371">
        <v>3.5</v>
      </c>
      <c r="I371">
        <v>34.1</v>
      </c>
      <c r="J371" t="s">
        <v>33</v>
      </c>
      <c r="K371" t="s">
        <v>1005</v>
      </c>
      <c r="L371" t="s">
        <v>35</v>
      </c>
      <c r="M371" t="s">
        <v>365</v>
      </c>
      <c r="N371" t="s">
        <v>71</v>
      </c>
      <c r="O371">
        <v>159</v>
      </c>
      <c r="P371" t="s">
        <v>72</v>
      </c>
      <c r="Q371">
        <v>4415</v>
      </c>
      <c r="R371">
        <v>1000</v>
      </c>
      <c r="S371" t="s">
        <v>113</v>
      </c>
      <c r="T371" t="s">
        <v>136</v>
      </c>
      <c r="U371" t="s">
        <v>39</v>
      </c>
      <c r="V371" t="s">
        <v>52</v>
      </c>
      <c r="W371" t="s">
        <v>52</v>
      </c>
      <c r="X371">
        <v>2022</v>
      </c>
      <c r="Y371" t="s">
        <v>63</v>
      </c>
      <c r="Z371" t="s">
        <v>64</v>
      </c>
    </row>
    <row r="372" spans="1:26">
      <c r="A372" t="s">
        <v>1006</v>
      </c>
      <c r="B372" t="s">
        <v>93</v>
      </c>
      <c r="C372" t="s">
        <v>28</v>
      </c>
      <c r="D372" t="s">
        <v>77</v>
      </c>
      <c r="E372" t="s">
        <v>220</v>
      </c>
      <c r="F372" t="s">
        <v>238</v>
      </c>
      <c r="G372" t="s">
        <v>32</v>
      </c>
      <c r="H372">
        <v>6.5</v>
      </c>
      <c r="I372">
        <v>6.1</v>
      </c>
      <c r="J372" t="s">
        <v>144</v>
      </c>
      <c r="K372" t="s">
        <v>1007</v>
      </c>
      <c r="L372" t="s">
        <v>48</v>
      </c>
      <c r="M372" t="s">
        <v>1008</v>
      </c>
      <c r="N372" t="s">
        <v>71</v>
      </c>
      <c r="O372">
        <v>89</v>
      </c>
      <c r="P372" t="s">
        <v>112</v>
      </c>
      <c r="Q372">
        <v>6054</v>
      </c>
      <c r="R372">
        <v>500</v>
      </c>
      <c r="S372" t="s">
        <v>152</v>
      </c>
      <c r="T372" t="s">
        <v>81</v>
      </c>
      <c r="U372" t="s">
        <v>39</v>
      </c>
      <c r="V372" t="s">
        <v>52</v>
      </c>
      <c r="W372" t="s">
        <v>52</v>
      </c>
      <c r="X372">
        <v>2023</v>
      </c>
      <c r="Y372" t="s">
        <v>91</v>
      </c>
      <c r="Z372" t="s">
        <v>64</v>
      </c>
    </row>
    <row r="373" spans="1:26">
      <c r="A373" t="s">
        <v>1009</v>
      </c>
      <c r="B373" t="s">
        <v>93</v>
      </c>
      <c r="C373" t="s">
        <v>28</v>
      </c>
      <c r="D373" t="s">
        <v>29</v>
      </c>
      <c r="E373" t="s">
        <v>117</v>
      </c>
      <c r="F373" t="s">
        <v>149</v>
      </c>
      <c r="G373" t="s">
        <v>58</v>
      </c>
      <c r="H373">
        <v>8.8000000000000007</v>
      </c>
      <c r="I373">
        <v>32.299999999999997</v>
      </c>
      <c r="J373" t="s">
        <v>33</v>
      </c>
      <c r="K373" t="s">
        <v>1010</v>
      </c>
      <c r="L373" t="s">
        <v>98</v>
      </c>
      <c r="M373" t="s">
        <v>1011</v>
      </c>
      <c r="N373" t="s">
        <v>71</v>
      </c>
      <c r="O373">
        <v>147</v>
      </c>
      <c r="P373" t="s">
        <v>105</v>
      </c>
      <c r="Q373">
        <v>4775</v>
      </c>
      <c r="R373">
        <v>1000</v>
      </c>
      <c r="S373" t="s">
        <v>73</v>
      </c>
      <c r="T373" t="s">
        <v>51</v>
      </c>
      <c r="U373" t="s">
        <v>39</v>
      </c>
      <c r="V373" t="s">
        <v>52</v>
      </c>
      <c r="W373" t="s">
        <v>52</v>
      </c>
      <c r="X373">
        <v>2023</v>
      </c>
      <c r="Y373" t="s">
        <v>211</v>
      </c>
      <c r="Z373" t="s">
        <v>41</v>
      </c>
    </row>
    <row r="374" spans="1:26">
      <c r="A374" t="s">
        <v>1012</v>
      </c>
      <c r="B374" t="s">
        <v>93</v>
      </c>
      <c r="C374" t="s">
        <v>102</v>
      </c>
      <c r="D374" t="s">
        <v>77</v>
      </c>
      <c r="E374" t="s">
        <v>260</v>
      </c>
      <c r="F374" t="s">
        <v>238</v>
      </c>
      <c r="G374" t="s">
        <v>58</v>
      </c>
      <c r="H374">
        <v>2.4</v>
      </c>
      <c r="I374">
        <v>18.7</v>
      </c>
      <c r="J374" t="s">
        <v>20</v>
      </c>
      <c r="K374" t="s">
        <v>1013</v>
      </c>
      <c r="L374" t="s">
        <v>126</v>
      </c>
      <c r="M374" t="s">
        <v>1014</v>
      </c>
      <c r="N374" t="s">
        <v>71</v>
      </c>
      <c r="O374">
        <v>84</v>
      </c>
      <c r="P374" t="s">
        <v>230</v>
      </c>
      <c r="Q374">
        <v>7981</v>
      </c>
      <c r="R374">
        <v>2000</v>
      </c>
      <c r="S374" t="s">
        <v>90</v>
      </c>
      <c r="T374" t="s">
        <v>81</v>
      </c>
      <c r="U374" t="s">
        <v>52</v>
      </c>
      <c r="V374" t="s">
        <v>52</v>
      </c>
      <c r="W374" t="s">
        <v>39</v>
      </c>
      <c r="X374">
        <v>2022</v>
      </c>
      <c r="Y374" t="s">
        <v>40</v>
      </c>
      <c r="Z374" t="s">
        <v>41</v>
      </c>
    </row>
    <row r="375" spans="1:26">
      <c r="A375" t="s">
        <v>1015</v>
      </c>
      <c r="B375" t="s">
        <v>93</v>
      </c>
      <c r="C375" t="s">
        <v>67</v>
      </c>
      <c r="D375" t="s">
        <v>122</v>
      </c>
      <c r="E375" t="s">
        <v>130</v>
      </c>
      <c r="F375" t="s">
        <v>160</v>
      </c>
      <c r="G375" t="s">
        <v>32</v>
      </c>
      <c r="H375">
        <v>4.7</v>
      </c>
      <c r="I375">
        <v>0.9</v>
      </c>
      <c r="J375" t="s">
        <v>96</v>
      </c>
      <c r="K375" t="s">
        <v>347</v>
      </c>
      <c r="L375" t="s">
        <v>140</v>
      </c>
      <c r="M375" t="s">
        <v>388</v>
      </c>
      <c r="N375" t="s">
        <v>171</v>
      </c>
      <c r="O375">
        <v>110</v>
      </c>
      <c r="P375" t="s">
        <v>2265</v>
      </c>
      <c r="Q375">
        <v>0</v>
      </c>
      <c r="R375">
        <v>0</v>
      </c>
      <c r="S375" t="s">
        <v>2265</v>
      </c>
      <c r="T375" t="s">
        <v>38</v>
      </c>
      <c r="U375" t="s">
        <v>39</v>
      </c>
      <c r="V375" t="s">
        <v>52</v>
      </c>
      <c r="W375" t="s">
        <v>52</v>
      </c>
      <c r="X375">
        <v>2022</v>
      </c>
      <c r="Y375" t="s">
        <v>91</v>
      </c>
      <c r="Z375" t="s">
        <v>64</v>
      </c>
    </row>
    <row r="376" spans="1:26">
      <c r="A376" t="s">
        <v>1016</v>
      </c>
      <c r="B376" t="s">
        <v>27</v>
      </c>
      <c r="C376" t="s">
        <v>28</v>
      </c>
      <c r="D376" t="s">
        <v>85</v>
      </c>
      <c r="E376" t="s">
        <v>86</v>
      </c>
      <c r="F376" t="s">
        <v>68</v>
      </c>
      <c r="G376" t="s">
        <v>58</v>
      </c>
      <c r="H376">
        <v>8.8000000000000007</v>
      </c>
      <c r="I376">
        <v>14.8</v>
      </c>
      <c r="J376" t="s">
        <v>33</v>
      </c>
      <c r="K376" t="s">
        <v>1017</v>
      </c>
      <c r="L376" t="s">
        <v>126</v>
      </c>
      <c r="M376" t="s">
        <v>1018</v>
      </c>
      <c r="N376" t="s">
        <v>100</v>
      </c>
      <c r="O376">
        <v>42</v>
      </c>
      <c r="P376" t="s">
        <v>2265</v>
      </c>
      <c r="Q376">
        <v>0</v>
      </c>
      <c r="R376">
        <v>0</v>
      </c>
      <c r="S376" t="s">
        <v>2265</v>
      </c>
      <c r="T376" t="s">
        <v>62</v>
      </c>
      <c r="U376" t="s">
        <v>39</v>
      </c>
      <c r="V376" t="s">
        <v>39</v>
      </c>
      <c r="W376" t="s">
        <v>52</v>
      </c>
      <c r="X376">
        <v>2023</v>
      </c>
      <c r="Y376" t="s">
        <v>211</v>
      </c>
      <c r="Z376" t="s">
        <v>41</v>
      </c>
    </row>
    <row r="377" spans="1:26">
      <c r="A377" t="s">
        <v>1019</v>
      </c>
      <c r="B377" t="s">
        <v>66</v>
      </c>
      <c r="C377" t="s">
        <v>164</v>
      </c>
      <c r="D377" t="s">
        <v>29</v>
      </c>
      <c r="E377" t="s">
        <v>30</v>
      </c>
      <c r="F377" t="s">
        <v>124</v>
      </c>
      <c r="G377" t="s">
        <v>58</v>
      </c>
      <c r="H377">
        <v>5</v>
      </c>
      <c r="I377">
        <v>19.7</v>
      </c>
      <c r="J377" t="s">
        <v>96</v>
      </c>
      <c r="K377" t="s">
        <v>664</v>
      </c>
      <c r="L377" t="s">
        <v>126</v>
      </c>
      <c r="M377" t="s">
        <v>546</v>
      </c>
      <c r="N377" t="s">
        <v>61</v>
      </c>
      <c r="O377">
        <v>164</v>
      </c>
      <c r="P377" t="s">
        <v>2265</v>
      </c>
      <c r="Q377">
        <v>0</v>
      </c>
      <c r="R377">
        <v>0</v>
      </c>
      <c r="S377" t="s">
        <v>2265</v>
      </c>
      <c r="T377" t="s">
        <v>51</v>
      </c>
      <c r="U377" t="s">
        <v>52</v>
      </c>
      <c r="V377" t="s">
        <v>39</v>
      </c>
      <c r="W377" t="s">
        <v>52</v>
      </c>
      <c r="X377">
        <v>2024</v>
      </c>
      <c r="Y377" t="s">
        <v>74</v>
      </c>
      <c r="Z377" t="s">
        <v>54</v>
      </c>
    </row>
    <row r="378" spans="1:26">
      <c r="A378" t="s">
        <v>1020</v>
      </c>
      <c r="B378" t="s">
        <v>93</v>
      </c>
      <c r="C378" t="s">
        <v>173</v>
      </c>
      <c r="D378" t="s">
        <v>77</v>
      </c>
      <c r="E378" t="s">
        <v>168</v>
      </c>
      <c r="F378" t="s">
        <v>149</v>
      </c>
      <c r="G378" t="s">
        <v>58</v>
      </c>
      <c r="H378">
        <v>0.4</v>
      </c>
      <c r="I378">
        <v>0.6</v>
      </c>
      <c r="J378" t="s">
        <v>156</v>
      </c>
      <c r="K378" t="s">
        <v>406</v>
      </c>
      <c r="L378" t="s">
        <v>98</v>
      </c>
      <c r="M378" t="s">
        <v>127</v>
      </c>
      <c r="N378" t="s">
        <v>50</v>
      </c>
      <c r="O378">
        <v>144</v>
      </c>
      <c r="P378" t="s">
        <v>2265</v>
      </c>
      <c r="Q378">
        <v>0</v>
      </c>
      <c r="R378">
        <v>0</v>
      </c>
      <c r="S378" t="s">
        <v>2265</v>
      </c>
      <c r="T378" t="s">
        <v>51</v>
      </c>
      <c r="U378" t="s">
        <v>52</v>
      </c>
      <c r="V378" t="s">
        <v>39</v>
      </c>
      <c r="W378" t="s">
        <v>52</v>
      </c>
      <c r="X378">
        <v>2024</v>
      </c>
      <c r="Y378" t="s">
        <v>91</v>
      </c>
      <c r="Z378" t="s">
        <v>64</v>
      </c>
    </row>
    <row r="379" spans="1:26">
      <c r="A379" t="s">
        <v>1021</v>
      </c>
      <c r="B379" t="s">
        <v>108</v>
      </c>
      <c r="C379" t="s">
        <v>44</v>
      </c>
      <c r="D379" t="s">
        <v>77</v>
      </c>
      <c r="E379" t="s">
        <v>220</v>
      </c>
      <c r="F379" t="s">
        <v>160</v>
      </c>
      <c r="G379" t="s">
        <v>32</v>
      </c>
      <c r="H379">
        <v>7.2</v>
      </c>
      <c r="I379">
        <v>13</v>
      </c>
      <c r="J379" t="s">
        <v>156</v>
      </c>
      <c r="K379" t="s">
        <v>1022</v>
      </c>
      <c r="L379" t="s">
        <v>35</v>
      </c>
      <c r="M379" t="s">
        <v>1023</v>
      </c>
      <c r="N379" t="s">
        <v>50</v>
      </c>
      <c r="O379">
        <v>71</v>
      </c>
      <c r="P379" t="s">
        <v>2265</v>
      </c>
      <c r="Q379">
        <v>0</v>
      </c>
      <c r="R379">
        <v>0</v>
      </c>
      <c r="S379" t="s">
        <v>2265</v>
      </c>
      <c r="T379" t="s">
        <v>51</v>
      </c>
      <c r="U379" t="s">
        <v>39</v>
      </c>
      <c r="V379" t="s">
        <v>52</v>
      </c>
      <c r="W379" t="s">
        <v>52</v>
      </c>
      <c r="X379">
        <v>2022</v>
      </c>
      <c r="Y379" t="s">
        <v>114</v>
      </c>
      <c r="Z379" t="s">
        <v>41</v>
      </c>
    </row>
    <row r="380" spans="1:26">
      <c r="A380" t="s">
        <v>1024</v>
      </c>
      <c r="B380" t="s">
        <v>93</v>
      </c>
      <c r="C380" t="s">
        <v>44</v>
      </c>
      <c r="D380" t="s">
        <v>77</v>
      </c>
      <c r="E380" t="s">
        <v>220</v>
      </c>
      <c r="F380" t="s">
        <v>46</v>
      </c>
      <c r="G380" t="s">
        <v>58</v>
      </c>
      <c r="H380">
        <v>4.4000000000000004</v>
      </c>
      <c r="I380">
        <v>2.2999999999999998</v>
      </c>
      <c r="J380" t="s">
        <v>33</v>
      </c>
      <c r="K380" t="s">
        <v>443</v>
      </c>
      <c r="L380" t="s">
        <v>60</v>
      </c>
      <c r="M380" t="s">
        <v>1025</v>
      </c>
      <c r="N380" t="s">
        <v>50</v>
      </c>
      <c r="O380">
        <v>82</v>
      </c>
      <c r="P380" t="s">
        <v>2265</v>
      </c>
      <c r="Q380">
        <v>0</v>
      </c>
      <c r="R380">
        <v>0</v>
      </c>
      <c r="S380" t="s">
        <v>2265</v>
      </c>
      <c r="T380" t="s">
        <v>62</v>
      </c>
      <c r="U380" t="s">
        <v>39</v>
      </c>
      <c r="V380" t="s">
        <v>52</v>
      </c>
      <c r="W380" t="s">
        <v>52</v>
      </c>
      <c r="X380">
        <v>2022</v>
      </c>
      <c r="Y380" t="s">
        <v>91</v>
      </c>
      <c r="Z380" t="s">
        <v>64</v>
      </c>
    </row>
    <row r="381" spans="1:26">
      <c r="A381" t="s">
        <v>1026</v>
      </c>
      <c r="B381" t="s">
        <v>66</v>
      </c>
      <c r="C381" t="s">
        <v>173</v>
      </c>
      <c r="D381" t="s">
        <v>77</v>
      </c>
      <c r="E381" t="s">
        <v>143</v>
      </c>
      <c r="F381" t="s">
        <v>160</v>
      </c>
      <c r="G381" t="s">
        <v>32</v>
      </c>
      <c r="H381">
        <v>10.5</v>
      </c>
      <c r="I381">
        <v>29</v>
      </c>
      <c r="J381" t="s">
        <v>33</v>
      </c>
      <c r="K381" t="s">
        <v>1027</v>
      </c>
      <c r="L381" t="s">
        <v>140</v>
      </c>
      <c r="M381" t="s">
        <v>1028</v>
      </c>
      <c r="N381" t="s">
        <v>171</v>
      </c>
      <c r="O381">
        <v>140</v>
      </c>
      <c r="P381" t="s">
        <v>2265</v>
      </c>
      <c r="Q381">
        <v>0</v>
      </c>
      <c r="R381">
        <v>0</v>
      </c>
      <c r="S381" t="s">
        <v>2265</v>
      </c>
      <c r="T381" t="s">
        <v>62</v>
      </c>
      <c r="U381" t="s">
        <v>39</v>
      </c>
      <c r="V381" t="s">
        <v>39</v>
      </c>
      <c r="W381" t="s">
        <v>39</v>
      </c>
      <c r="X381">
        <v>2022</v>
      </c>
      <c r="Y381" t="s">
        <v>63</v>
      </c>
      <c r="Z381" t="s">
        <v>64</v>
      </c>
    </row>
    <row r="382" spans="1:26">
      <c r="A382" t="s">
        <v>1029</v>
      </c>
      <c r="B382" t="s">
        <v>116</v>
      </c>
      <c r="C382" t="s">
        <v>102</v>
      </c>
      <c r="D382" t="s">
        <v>77</v>
      </c>
      <c r="E382" t="s">
        <v>168</v>
      </c>
      <c r="F382" t="s">
        <v>68</v>
      </c>
      <c r="G382" t="s">
        <v>58</v>
      </c>
      <c r="H382">
        <v>4.0999999999999996</v>
      </c>
      <c r="I382">
        <v>31.9</v>
      </c>
      <c r="J382" t="s">
        <v>96</v>
      </c>
      <c r="K382" t="s">
        <v>1030</v>
      </c>
      <c r="L382" t="s">
        <v>48</v>
      </c>
      <c r="M382" t="s">
        <v>648</v>
      </c>
      <c r="N382" t="s">
        <v>100</v>
      </c>
      <c r="O382">
        <v>125</v>
      </c>
      <c r="P382" t="s">
        <v>2265</v>
      </c>
      <c r="Q382">
        <v>0</v>
      </c>
      <c r="R382">
        <v>0</v>
      </c>
      <c r="S382" t="s">
        <v>2265</v>
      </c>
      <c r="T382" t="s">
        <v>62</v>
      </c>
      <c r="U382" t="s">
        <v>39</v>
      </c>
      <c r="V382" t="s">
        <v>52</v>
      </c>
      <c r="W382" t="s">
        <v>52</v>
      </c>
      <c r="X382">
        <v>2024</v>
      </c>
      <c r="Y382" t="s">
        <v>82</v>
      </c>
      <c r="Z382" t="s">
        <v>83</v>
      </c>
    </row>
    <row r="383" spans="1:26">
      <c r="A383" t="s">
        <v>1031</v>
      </c>
      <c r="B383" t="s">
        <v>108</v>
      </c>
      <c r="C383" t="s">
        <v>67</v>
      </c>
      <c r="D383" t="s">
        <v>29</v>
      </c>
      <c r="E383" t="s">
        <v>30</v>
      </c>
      <c r="F383" t="s">
        <v>68</v>
      </c>
      <c r="G383" t="s">
        <v>32</v>
      </c>
      <c r="H383">
        <v>3.8</v>
      </c>
      <c r="I383">
        <v>13</v>
      </c>
      <c r="J383" t="s">
        <v>33</v>
      </c>
      <c r="K383" t="s">
        <v>1032</v>
      </c>
      <c r="L383" t="s">
        <v>98</v>
      </c>
      <c r="M383" t="s">
        <v>1014</v>
      </c>
      <c r="N383" t="s">
        <v>50</v>
      </c>
      <c r="O383">
        <v>5</v>
      </c>
      <c r="P383" t="s">
        <v>2265</v>
      </c>
      <c r="Q383">
        <v>0</v>
      </c>
      <c r="R383">
        <v>500</v>
      </c>
      <c r="S383" t="s">
        <v>2265</v>
      </c>
      <c r="T383" t="s">
        <v>38</v>
      </c>
      <c r="U383" t="s">
        <v>39</v>
      </c>
      <c r="V383" t="s">
        <v>39</v>
      </c>
      <c r="W383" t="s">
        <v>52</v>
      </c>
      <c r="X383">
        <v>2022</v>
      </c>
      <c r="Y383" t="s">
        <v>114</v>
      </c>
      <c r="Z383" t="s">
        <v>41</v>
      </c>
    </row>
    <row r="384" spans="1:26">
      <c r="A384" t="s">
        <v>1033</v>
      </c>
      <c r="B384" t="s">
        <v>116</v>
      </c>
      <c r="C384" t="s">
        <v>76</v>
      </c>
      <c r="D384" t="s">
        <v>77</v>
      </c>
      <c r="E384" t="s">
        <v>168</v>
      </c>
      <c r="F384" t="s">
        <v>149</v>
      </c>
      <c r="G384" t="s">
        <v>32</v>
      </c>
      <c r="H384">
        <v>8.3000000000000007</v>
      </c>
      <c r="I384">
        <v>27.5</v>
      </c>
      <c r="J384" t="s">
        <v>33</v>
      </c>
      <c r="K384" t="s">
        <v>1034</v>
      </c>
      <c r="L384" t="s">
        <v>48</v>
      </c>
      <c r="M384" t="s">
        <v>1035</v>
      </c>
      <c r="N384" t="s">
        <v>71</v>
      </c>
      <c r="O384">
        <v>54</v>
      </c>
      <c r="P384" t="s">
        <v>230</v>
      </c>
      <c r="Q384">
        <v>3643</v>
      </c>
      <c r="R384">
        <v>500</v>
      </c>
      <c r="S384" t="s">
        <v>73</v>
      </c>
      <c r="T384" t="s">
        <v>62</v>
      </c>
      <c r="U384" t="s">
        <v>39</v>
      </c>
      <c r="V384" t="s">
        <v>52</v>
      </c>
      <c r="W384" t="s">
        <v>39</v>
      </c>
      <c r="X384">
        <v>2022</v>
      </c>
      <c r="Y384" t="s">
        <v>114</v>
      </c>
      <c r="Z384" t="s">
        <v>41</v>
      </c>
    </row>
    <row r="385" spans="1:26">
      <c r="A385" t="s">
        <v>1036</v>
      </c>
      <c r="B385" t="s">
        <v>43</v>
      </c>
      <c r="C385" t="s">
        <v>102</v>
      </c>
      <c r="D385" t="s">
        <v>29</v>
      </c>
      <c r="E385" t="s">
        <v>30</v>
      </c>
      <c r="F385" t="s">
        <v>68</v>
      </c>
      <c r="G385" t="s">
        <v>32</v>
      </c>
      <c r="H385">
        <v>9.4</v>
      </c>
      <c r="I385">
        <v>32.200000000000003</v>
      </c>
      <c r="J385" t="s">
        <v>33</v>
      </c>
      <c r="K385" t="s">
        <v>582</v>
      </c>
      <c r="L385" t="s">
        <v>35</v>
      </c>
      <c r="M385" t="s">
        <v>135</v>
      </c>
      <c r="N385" t="s">
        <v>71</v>
      </c>
      <c r="O385">
        <v>78</v>
      </c>
      <c r="P385" t="s">
        <v>89</v>
      </c>
      <c r="Q385">
        <v>4590</v>
      </c>
      <c r="R385">
        <v>0</v>
      </c>
      <c r="S385" t="s">
        <v>152</v>
      </c>
      <c r="T385" t="s">
        <v>62</v>
      </c>
      <c r="U385" t="s">
        <v>39</v>
      </c>
      <c r="V385" t="s">
        <v>52</v>
      </c>
      <c r="W385" t="s">
        <v>52</v>
      </c>
      <c r="X385">
        <v>2022</v>
      </c>
      <c r="Y385" t="s">
        <v>53</v>
      </c>
      <c r="Z385" t="s">
        <v>54</v>
      </c>
    </row>
    <row r="386" spans="1:26">
      <c r="A386" t="s">
        <v>1037</v>
      </c>
      <c r="B386" t="s">
        <v>43</v>
      </c>
      <c r="C386" t="s">
        <v>102</v>
      </c>
      <c r="D386" t="s">
        <v>29</v>
      </c>
      <c r="E386" t="s">
        <v>195</v>
      </c>
      <c r="F386" t="s">
        <v>160</v>
      </c>
      <c r="G386" t="s">
        <v>58</v>
      </c>
      <c r="H386">
        <v>7</v>
      </c>
      <c r="I386">
        <v>1</v>
      </c>
      <c r="J386" t="s">
        <v>96</v>
      </c>
      <c r="K386" t="s">
        <v>1038</v>
      </c>
      <c r="L386" t="s">
        <v>140</v>
      </c>
      <c r="M386" t="s">
        <v>1039</v>
      </c>
      <c r="N386" t="s">
        <v>71</v>
      </c>
      <c r="O386">
        <v>130</v>
      </c>
      <c r="P386" t="s">
        <v>230</v>
      </c>
      <c r="Q386">
        <v>1905</v>
      </c>
      <c r="R386">
        <v>5000</v>
      </c>
      <c r="S386" t="s">
        <v>73</v>
      </c>
      <c r="T386" t="s">
        <v>81</v>
      </c>
      <c r="U386" t="s">
        <v>52</v>
      </c>
      <c r="V386" t="s">
        <v>52</v>
      </c>
      <c r="W386" t="s">
        <v>52</v>
      </c>
      <c r="X386">
        <v>2023</v>
      </c>
      <c r="Y386" t="s">
        <v>53</v>
      </c>
      <c r="Z386" t="s">
        <v>54</v>
      </c>
    </row>
    <row r="387" spans="1:26">
      <c r="A387" t="s">
        <v>1040</v>
      </c>
      <c r="B387" t="s">
        <v>108</v>
      </c>
      <c r="C387" t="s">
        <v>28</v>
      </c>
      <c r="D387" t="s">
        <v>77</v>
      </c>
      <c r="E387" t="s">
        <v>143</v>
      </c>
      <c r="F387" t="s">
        <v>46</v>
      </c>
      <c r="G387" t="s">
        <v>58</v>
      </c>
      <c r="H387">
        <v>5.0999999999999996</v>
      </c>
      <c r="I387">
        <v>18.2</v>
      </c>
      <c r="J387" t="s">
        <v>144</v>
      </c>
      <c r="K387" t="s">
        <v>578</v>
      </c>
      <c r="L387" t="s">
        <v>35</v>
      </c>
      <c r="M387" t="s">
        <v>585</v>
      </c>
      <c r="N387" t="s">
        <v>100</v>
      </c>
      <c r="O387">
        <v>91</v>
      </c>
      <c r="P387" t="s">
        <v>2265</v>
      </c>
      <c r="Q387">
        <v>0</v>
      </c>
      <c r="R387">
        <v>0</v>
      </c>
      <c r="S387" t="s">
        <v>2265</v>
      </c>
      <c r="T387" t="s">
        <v>62</v>
      </c>
      <c r="U387" t="s">
        <v>39</v>
      </c>
      <c r="V387" t="s">
        <v>52</v>
      </c>
      <c r="W387" t="s">
        <v>52</v>
      </c>
      <c r="X387">
        <v>2023</v>
      </c>
      <c r="Y387" t="s">
        <v>106</v>
      </c>
      <c r="Z387" t="s">
        <v>83</v>
      </c>
    </row>
    <row r="388" spans="1:26">
      <c r="A388" t="s">
        <v>1041</v>
      </c>
      <c r="B388" t="s">
        <v>108</v>
      </c>
      <c r="C388" t="s">
        <v>173</v>
      </c>
      <c r="D388" t="s">
        <v>29</v>
      </c>
      <c r="E388" t="s">
        <v>244</v>
      </c>
      <c r="F388" t="s">
        <v>149</v>
      </c>
      <c r="G388" t="s">
        <v>58</v>
      </c>
      <c r="H388">
        <v>6</v>
      </c>
      <c r="I388">
        <v>13.8</v>
      </c>
      <c r="J388" t="s">
        <v>20</v>
      </c>
      <c r="K388" t="s">
        <v>1042</v>
      </c>
      <c r="L388" t="s">
        <v>126</v>
      </c>
      <c r="M388" t="s">
        <v>1043</v>
      </c>
      <c r="N388" t="s">
        <v>171</v>
      </c>
      <c r="O388">
        <v>22</v>
      </c>
      <c r="P388" t="s">
        <v>2265</v>
      </c>
      <c r="Q388">
        <v>0</v>
      </c>
      <c r="R388">
        <v>0</v>
      </c>
      <c r="S388" t="s">
        <v>2265</v>
      </c>
      <c r="T388" t="s">
        <v>51</v>
      </c>
      <c r="U388" t="s">
        <v>52</v>
      </c>
      <c r="V388" t="s">
        <v>39</v>
      </c>
      <c r="W388" t="s">
        <v>39</v>
      </c>
      <c r="X388">
        <v>2022</v>
      </c>
      <c r="Y388" t="s">
        <v>312</v>
      </c>
      <c r="Z388" t="s">
        <v>83</v>
      </c>
    </row>
    <row r="389" spans="1:26">
      <c r="A389" t="s">
        <v>1044</v>
      </c>
      <c r="B389" t="s">
        <v>66</v>
      </c>
      <c r="C389" t="s">
        <v>28</v>
      </c>
      <c r="D389" t="s">
        <v>77</v>
      </c>
      <c r="E389" t="s">
        <v>260</v>
      </c>
      <c r="F389" t="s">
        <v>95</v>
      </c>
      <c r="G389" t="s">
        <v>58</v>
      </c>
      <c r="H389">
        <v>4.8</v>
      </c>
      <c r="I389">
        <v>18.5</v>
      </c>
      <c r="J389" t="s">
        <v>144</v>
      </c>
      <c r="K389" t="s">
        <v>175</v>
      </c>
      <c r="L389" t="s">
        <v>126</v>
      </c>
      <c r="M389" t="s">
        <v>713</v>
      </c>
      <c r="N389" t="s">
        <v>50</v>
      </c>
      <c r="O389">
        <v>4</v>
      </c>
      <c r="P389" t="s">
        <v>2265</v>
      </c>
      <c r="Q389">
        <v>0</v>
      </c>
      <c r="R389">
        <v>0</v>
      </c>
      <c r="S389" t="s">
        <v>2265</v>
      </c>
      <c r="T389" t="s">
        <v>62</v>
      </c>
      <c r="U389" t="s">
        <v>39</v>
      </c>
      <c r="V389" t="s">
        <v>52</v>
      </c>
      <c r="W389" t="s">
        <v>52</v>
      </c>
      <c r="X389">
        <v>2023</v>
      </c>
      <c r="Y389" t="s">
        <v>106</v>
      </c>
      <c r="Z389" t="s">
        <v>83</v>
      </c>
    </row>
    <row r="390" spans="1:26">
      <c r="A390" t="s">
        <v>1045</v>
      </c>
      <c r="B390" t="s">
        <v>66</v>
      </c>
      <c r="C390" t="s">
        <v>121</v>
      </c>
      <c r="D390" t="s">
        <v>29</v>
      </c>
      <c r="E390" t="s">
        <v>56</v>
      </c>
      <c r="F390" t="s">
        <v>160</v>
      </c>
      <c r="G390" t="s">
        <v>32</v>
      </c>
      <c r="H390">
        <v>1.6</v>
      </c>
      <c r="I390">
        <v>29.4</v>
      </c>
      <c r="J390" t="s">
        <v>96</v>
      </c>
      <c r="K390" t="s">
        <v>192</v>
      </c>
      <c r="L390" t="s">
        <v>98</v>
      </c>
      <c r="M390" t="s">
        <v>1046</v>
      </c>
      <c r="N390" t="s">
        <v>37</v>
      </c>
      <c r="O390">
        <v>87</v>
      </c>
      <c r="P390" t="s">
        <v>2265</v>
      </c>
      <c r="Q390">
        <v>0</v>
      </c>
      <c r="R390">
        <v>1000</v>
      </c>
      <c r="S390" t="s">
        <v>2265</v>
      </c>
      <c r="T390" t="s">
        <v>136</v>
      </c>
      <c r="U390" t="s">
        <v>39</v>
      </c>
      <c r="V390" t="s">
        <v>52</v>
      </c>
      <c r="W390" t="s">
        <v>52</v>
      </c>
      <c r="X390">
        <v>2023</v>
      </c>
      <c r="Y390" t="s">
        <v>82</v>
      </c>
      <c r="Z390" t="s">
        <v>83</v>
      </c>
    </row>
    <row r="391" spans="1:26">
      <c r="A391" t="s">
        <v>1047</v>
      </c>
      <c r="B391" t="s">
        <v>43</v>
      </c>
      <c r="C391" t="s">
        <v>76</v>
      </c>
      <c r="D391" t="s">
        <v>77</v>
      </c>
      <c r="E391" t="s">
        <v>168</v>
      </c>
      <c r="F391" t="s">
        <v>95</v>
      </c>
      <c r="G391" t="s">
        <v>58</v>
      </c>
      <c r="H391">
        <v>5.9</v>
      </c>
      <c r="I391">
        <v>8.5</v>
      </c>
      <c r="J391" t="s">
        <v>96</v>
      </c>
      <c r="K391" t="s">
        <v>1048</v>
      </c>
      <c r="L391" t="s">
        <v>35</v>
      </c>
      <c r="M391" t="s">
        <v>1049</v>
      </c>
      <c r="N391" t="s">
        <v>71</v>
      </c>
      <c r="O391">
        <v>117</v>
      </c>
      <c r="P391" t="s">
        <v>112</v>
      </c>
      <c r="Q391">
        <v>4000</v>
      </c>
      <c r="R391">
        <v>0</v>
      </c>
      <c r="S391" t="s">
        <v>73</v>
      </c>
      <c r="T391" t="s">
        <v>81</v>
      </c>
      <c r="U391" t="s">
        <v>52</v>
      </c>
      <c r="V391" t="s">
        <v>52</v>
      </c>
      <c r="W391" t="s">
        <v>52</v>
      </c>
      <c r="X391">
        <v>2022</v>
      </c>
      <c r="Y391" t="s">
        <v>91</v>
      </c>
      <c r="Z391" t="s">
        <v>64</v>
      </c>
    </row>
    <row r="392" spans="1:26">
      <c r="A392" t="s">
        <v>1050</v>
      </c>
      <c r="B392" t="s">
        <v>108</v>
      </c>
      <c r="C392" t="s">
        <v>173</v>
      </c>
      <c r="D392" t="s">
        <v>77</v>
      </c>
      <c r="E392" t="s">
        <v>168</v>
      </c>
      <c r="F392" t="s">
        <v>109</v>
      </c>
      <c r="G392" t="s">
        <v>32</v>
      </c>
      <c r="H392">
        <v>2.5</v>
      </c>
      <c r="I392">
        <v>23.3</v>
      </c>
      <c r="J392" t="s">
        <v>96</v>
      </c>
      <c r="K392" t="s">
        <v>1051</v>
      </c>
      <c r="L392" t="s">
        <v>140</v>
      </c>
      <c r="M392" t="s">
        <v>1052</v>
      </c>
      <c r="N392" t="s">
        <v>50</v>
      </c>
      <c r="O392">
        <v>20</v>
      </c>
      <c r="P392" t="s">
        <v>2265</v>
      </c>
      <c r="Q392">
        <v>0</v>
      </c>
      <c r="R392">
        <v>1000</v>
      </c>
      <c r="S392" t="s">
        <v>2265</v>
      </c>
      <c r="T392" t="s">
        <v>62</v>
      </c>
      <c r="U392" t="s">
        <v>39</v>
      </c>
      <c r="V392" t="s">
        <v>39</v>
      </c>
      <c r="W392" t="s">
        <v>52</v>
      </c>
      <c r="X392">
        <v>2022</v>
      </c>
      <c r="Y392" t="s">
        <v>40</v>
      </c>
      <c r="Z392" t="s">
        <v>41</v>
      </c>
    </row>
    <row r="393" spans="1:26">
      <c r="A393" t="s">
        <v>1053</v>
      </c>
      <c r="B393" t="s">
        <v>43</v>
      </c>
      <c r="C393" t="s">
        <v>173</v>
      </c>
      <c r="D393" t="s">
        <v>29</v>
      </c>
      <c r="E393" t="s">
        <v>117</v>
      </c>
      <c r="F393" t="s">
        <v>68</v>
      </c>
      <c r="G393" t="s">
        <v>32</v>
      </c>
      <c r="H393">
        <v>5.4</v>
      </c>
      <c r="I393">
        <v>1.7</v>
      </c>
      <c r="J393" t="s">
        <v>144</v>
      </c>
      <c r="K393" t="s">
        <v>199</v>
      </c>
      <c r="L393" t="s">
        <v>48</v>
      </c>
      <c r="M393" t="s">
        <v>546</v>
      </c>
      <c r="N393" t="s">
        <v>100</v>
      </c>
      <c r="O393">
        <v>81</v>
      </c>
      <c r="P393" t="s">
        <v>2265</v>
      </c>
      <c r="Q393">
        <v>0</v>
      </c>
      <c r="R393">
        <v>0</v>
      </c>
      <c r="S393" t="s">
        <v>2265</v>
      </c>
      <c r="T393" t="s">
        <v>51</v>
      </c>
      <c r="U393" t="s">
        <v>52</v>
      </c>
      <c r="V393" t="s">
        <v>52</v>
      </c>
      <c r="W393" t="s">
        <v>39</v>
      </c>
      <c r="X393">
        <v>2024</v>
      </c>
      <c r="Y393" t="s">
        <v>40</v>
      </c>
      <c r="Z393" t="s">
        <v>41</v>
      </c>
    </row>
    <row r="394" spans="1:26">
      <c r="A394" t="s">
        <v>1054</v>
      </c>
      <c r="B394" t="s">
        <v>108</v>
      </c>
      <c r="C394" t="s">
        <v>67</v>
      </c>
      <c r="D394" t="s">
        <v>77</v>
      </c>
      <c r="E394" t="s">
        <v>78</v>
      </c>
      <c r="F394" t="s">
        <v>160</v>
      </c>
      <c r="G394" t="s">
        <v>32</v>
      </c>
      <c r="H394">
        <v>4.8</v>
      </c>
      <c r="I394">
        <v>17.600000000000001</v>
      </c>
      <c r="J394" t="s">
        <v>33</v>
      </c>
      <c r="K394" t="s">
        <v>1055</v>
      </c>
      <c r="L394" t="s">
        <v>35</v>
      </c>
      <c r="M394" t="s">
        <v>873</v>
      </c>
      <c r="N394" t="s">
        <v>71</v>
      </c>
      <c r="O394">
        <v>122</v>
      </c>
      <c r="P394" t="s">
        <v>105</v>
      </c>
      <c r="Q394">
        <v>7150</v>
      </c>
      <c r="R394">
        <v>0</v>
      </c>
      <c r="S394" t="s">
        <v>73</v>
      </c>
      <c r="T394" t="s">
        <v>81</v>
      </c>
      <c r="U394" t="s">
        <v>39</v>
      </c>
      <c r="V394" t="s">
        <v>52</v>
      </c>
      <c r="W394" t="s">
        <v>39</v>
      </c>
      <c r="X394">
        <v>2024</v>
      </c>
      <c r="Y394" t="s">
        <v>211</v>
      </c>
      <c r="Z394" t="s">
        <v>41</v>
      </c>
    </row>
    <row r="395" spans="1:26">
      <c r="A395" t="s">
        <v>1056</v>
      </c>
      <c r="B395" t="s">
        <v>116</v>
      </c>
      <c r="C395" t="s">
        <v>102</v>
      </c>
      <c r="D395" t="s">
        <v>122</v>
      </c>
      <c r="E395" t="s">
        <v>130</v>
      </c>
      <c r="F395" t="s">
        <v>124</v>
      </c>
      <c r="G395" t="s">
        <v>58</v>
      </c>
      <c r="H395">
        <v>11.9</v>
      </c>
      <c r="I395">
        <v>14.7</v>
      </c>
      <c r="J395" t="s">
        <v>156</v>
      </c>
      <c r="K395" t="s">
        <v>1057</v>
      </c>
      <c r="L395" t="s">
        <v>60</v>
      </c>
      <c r="M395" t="s">
        <v>687</v>
      </c>
      <c r="N395" t="s">
        <v>171</v>
      </c>
      <c r="O395">
        <v>110</v>
      </c>
      <c r="P395" t="s">
        <v>2265</v>
      </c>
      <c r="Q395">
        <v>0</v>
      </c>
      <c r="R395">
        <v>0</v>
      </c>
      <c r="S395" t="s">
        <v>2265</v>
      </c>
      <c r="T395" t="s">
        <v>62</v>
      </c>
      <c r="U395" t="s">
        <v>39</v>
      </c>
      <c r="V395" t="s">
        <v>52</v>
      </c>
      <c r="W395" t="s">
        <v>39</v>
      </c>
      <c r="X395">
        <v>2022</v>
      </c>
      <c r="Y395" t="s">
        <v>40</v>
      </c>
      <c r="Z395" t="s">
        <v>41</v>
      </c>
    </row>
    <row r="396" spans="1:26">
      <c r="A396" t="s">
        <v>1058</v>
      </c>
      <c r="B396" t="s">
        <v>108</v>
      </c>
      <c r="C396" t="s">
        <v>44</v>
      </c>
      <c r="D396" t="s">
        <v>29</v>
      </c>
      <c r="E396" t="s">
        <v>30</v>
      </c>
      <c r="F396" t="s">
        <v>160</v>
      </c>
      <c r="G396" t="s">
        <v>58</v>
      </c>
      <c r="H396">
        <v>0.5</v>
      </c>
      <c r="I396">
        <v>23.2</v>
      </c>
      <c r="J396" t="s">
        <v>156</v>
      </c>
      <c r="K396" t="s">
        <v>111</v>
      </c>
      <c r="L396" t="s">
        <v>126</v>
      </c>
      <c r="M396" t="s">
        <v>970</v>
      </c>
      <c r="N396" t="s">
        <v>71</v>
      </c>
      <c r="O396">
        <v>44</v>
      </c>
      <c r="P396" t="s">
        <v>105</v>
      </c>
      <c r="Q396">
        <v>3705</v>
      </c>
      <c r="R396">
        <v>0</v>
      </c>
      <c r="S396" t="s">
        <v>73</v>
      </c>
      <c r="T396" t="s">
        <v>51</v>
      </c>
      <c r="U396" t="s">
        <v>52</v>
      </c>
      <c r="V396" t="s">
        <v>52</v>
      </c>
      <c r="W396" t="s">
        <v>52</v>
      </c>
      <c r="X396">
        <v>2023</v>
      </c>
      <c r="Y396" t="s">
        <v>128</v>
      </c>
      <c r="Z396" t="s">
        <v>64</v>
      </c>
    </row>
    <row r="397" spans="1:26">
      <c r="A397" t="s">
        <v>1059</v>
      </c>
      <c r="B397" t="s">
        <v>66</v>
      </c>
      <c r="C397" t="s">
        <v>67</v>
      </c>
      <c r="D397" t="s">
        <v>122</v>
      </c>
      <c r="E397" t="s">
        <v>202</v>
      </c>
      <c r="F397" t="s">
        <v>68</v>
      </c>
      <c r="G397" t="s">
        <v>32</v>
      </c>
      <c r="H397">
        <v>6</v>
      </c>
      <c r="I397">
        <v>28.5</v>
      </c>
      <c r="J397" t="s">
        <v>33</v>
      </c>
      <c r="K397" t="s">
        <v>134</v>
      </c>
      <c r="L397" t="s">
        <v>126</v>
      </c>
      <c r="M397" t="s">
        <v>1060</v>
      </c>
      <c r="N397" t="s">
        <v>71</v>
      </c>
      <c r="O397">
        <v>126</v>
      </c>
      <c r="P397" t="s">
        <v>89</v>
      </c>
      <c r="Q397">
        <v>1343</v>
      </c>
      <c r="R397">
        <v>0</v>
      </c>
      <c r="S397" t="s">
        <v>90</v>
      </c>
      <c r="T397" t="s">
        <v>38</v>
      </c>
      <c r="U397" t="s">
        <v>39</v>
      </c>
      <c r="V397" t="s">
        <v>52</v>
      </c>
      <c r="W397" t="s">
        <v>52</v>
      </c>
      <c r="X397">
        <v>2022</v>
      </c>
      <c r="Y397" t="s">
        <v>40</v>
      </c>
      <c r="Z397" t="s">
        <v>41</v>
      </c>
    </row>
    <row r="398" spans="1:26">
      <c r="A398" t="s">
        <v>1061</v>
      </c>
      <c r="B398" t="s">
        <v>27</v>
      </c>
      <c r="C398" t="s">
        <v>121</v>
      </c>
      <c r="D398" t="s">
        <v>77</v>
      </c>
      <c r="E398" t="s">
        <v>168</v>
      </c>
      <c r="F398" t="s">
        <v>57</v>
      </c>
      <c r="G398" t="s">
        <v>58</v>
      </c>
      <c r="H398">
        <v>7.1</v>
      </c>
      <c r="I398">
        <v>9.9</v>
      </c>
      <c r="J398" t="s">
        <v>33</v>
      </c>
      <c r="K398" t="s">
        <v>477</v>
      </c>
      <c r="L398" t="s">
        <v>35</v>
      </c>
      <c r="M398" t="s">
        <v>1062</v>
      </c>
      <c r="N398" t="s">
        <v>71</v>
      </c>
      <c r="O398">
        <v>58</v>
      </c>
      <c r="P398" t="s">
        <v>72</v>
      </c>
      <c r="Q398">
        <v>7736</v>
      </c>
      <c r="R398">
        <v>0</v>
      </c>
      <c r="S398" t="s">
        <v>152</v>
      </c>
      <c r="T398" t="s">
        <v>136</v>
      </c>
      <c r="U398" t="s">
        <v>39</v>
      </c>
      <c r="V398" t="s">
        <v>39</v>
      </c>
      <c r="W398" t="s">
        <v>52</v>
      </c>
      <c r="X398">
        <v>2024</v>
      </c>
      <c r="Y398" t="s">
        <v>74</v>
      </c>
      <c r="Z398" t="s">
        <v>54</v>
      </c>
    </row>
    <row r="399" spans="1:26">
      <c r="A399" t="s">
        <v>1063</v>
      </c>
      <c r="B399" t="s">
        <v>27</v>
      </c>
      <c r="C399" t="s">
        <v>121</v>
      </c>
      <c r="D399" t="s">
        <v>85</v>
      </c>
      <c r="E399" t="s">
        <v>402</v>
      </c>
      <c r="F399" t="s">
        <v>124</v>
      </c>
      <c r="G399" t="s">
        <v>32</v>
      </c>
      <c r="H399">
        <v>8.5</v>
      </c>
      <c r="I399">
        <v>30.3</v>
      </c>
      <c r="J399" t="s">
        <v>33</v>
      </c>
      <c r="K399" t="s">
        <v>1064</v>
      </c>
      <c r="L399" t="s">
        <v>98</v>
      </c>
      <c r="M399" t="s">
        <v>127</v>
      </c>
      <c r="N399" t="s">
        <v>71</v>
      </c>
      <c r="O399">
        <v>117</v>
      </c>
      <c r="P399" t="s">
        <v>105</v>
      </c>
      <c r="Q399">
        <v>576</v>
      </c>
      <c r="R399">
        <v>2000</v>
      </c>
      <c r="S399" t="s">
        <v>90</v>
      </c>
      <c r="T399" t="s">
        <v>62</v>
      </c>
      <c r="U399" t="s">
        <v>39</v>
      </c>
      <c r="V399" t="s">
        <v>52</v>
      </c>
      <c r="W399" t="s">
        <v>52</v>
      </c>
      <c r="X399">
        <v>2024</v>
      </c>
      <c r="Y399" t="s">
        <v>128</v>
      </c>
      <c r="Z399" t="s">
        <v>64</v>
      </c>
    </row>
    <row r="400" spans="1:26">
      <c r="A400" t="s">
        <v>1065</v>
      </c>
      <c r="B400" t="s">
        <v>116</v>
      </c>
      <c r="C400" t="s">
        <v>102</v>
      </c>
      <c r="D400" t="s">
        <v>122</v>
      </c>
      <c r="E400" t="s">
        <v>130</v>
      </c>
      <c r="F400" t="s">
        <v>57</v>
      </c>
      <c r="G400" t="s">
        <v>32</v>
      </c>
      <c r="H400">
        <v>5.3</v>
      </c>
      <c r="I400">
        <v>11.5</v>
      </c>
      <c r="J400" t="s">
        <v>96</v>
      </c>
      <c r="K400" t="s">
        <v>347</v>
      </c>
      <c r="L400" t="s">
        <v>60</v>
      </c>
      <c r="M400" t="s">
        <v>355</v>
      </c>
      <c r="N400" t="s">
        <v>71</v>
      </c>
      <c r="O400">
        <v>62</v>
      </c>
      <c r="P400" t="s">
        <v>89</v>
      </c>
      <c r="Q400">
        <v>1729</v>
      </c>
      <c r="R400">
        <v>5000</v>
      </c>
      <c r="S400" t="s">
        <v>152</v>
      </c>
      <c r="T400" t="s">
        <v>62</v>
      </c>
      <c r="U400" t="s">
        <v>39</v>
      </c>
      <c r="V400" t="s">
        <v>52</v>
      </c>
      <c r="W400" t="s">
        <v>52</v>
      </c>
      <c r="X400">
        <v>2022</v>
      </c>
      <c r="Y400" t="s">
        <v>91</v>
      </c>
      <c r="Z400" t="s">
        <v>64</v>
      </c>
    </row>
    <row r="401" spans="1:26">
      <c r="A401" t="s">
        <v>1066</v>
      </c>
      <c r="B401" t="s">
        <v>108</v>
      </c>
      <c r="C401" t="s">
        <v>44</v>
      </c>
      <c r="D401" t="s">
        <v>29</v>
      </c>
      <c r="E401" t="s">
        <v>45</v>
      </c>
      <c r="F401" t="s">
        <v>238</v>
      </c>
      <c r="G401" t="s">
        <v>58</v>
      </c>
      <c r="H401">
        <v>5.6</v>
      </c>
      <c r="I401">
        <v>19.8</v>
      </c>
      <c r="J401" t="s">
        <v>33</v>
      </c>
      <c r="K401" t="s">
        <v>1067</v>
      </c>
      <c r="L401" t="s">
        <v>60</v>
      </c>
      <c r="M401" t="s">
        <v>861</v>
      </c>
      <c r="N401" t="s">
        <v>37</v>
      </c>
      <c r="O401">
        <v>8</v>
      </c>
      <c r="P401" t="s">
        <v>2265</v>
      </c>
      <c r="Q401">
        <v>0</v>
      </c>
      <c r="R401">
        <v>500</v>
      </c>
      <c r="S401" t="s">
        <v>2265</v>
      </c>
      <c r="T401" t="s">
        <v>81</v>
      </c>
      <c r="U401" t="s">
        <v>39</v>
      </c>
      <c r="V401" t="s">
        <v>52</v>
      </c>
      <c r="W401" t="s">
        <v>52</v>
      </c>
      <c r="X401">
        <v>2023</v>
      </c>
      <c r="Y401" t="s">
        <v>106</v>
      </c>
      <c r="Z401" t="s">
        <v>83</v>
      </c>
    </row>
    <row r="402" spans="1:26">
      <c r="A402" t="s">
        <v>1068</v>
      </c>
      <c r="B402" t="s">
        <v>93</v>
      </c>
      <c r="C402" t="s">
        <v>28</v>
      </c>
      <c r="D402" t="s">
        <v>29</v>
      </c>
      <c r="E402" t="s">
        <v>45</v>
      </c>
      <c r="F402" t="s">
        <v>57</v>
      </c>
      <c r="G402" t="s">
        <v>32</v>
      </c>
      <c r="H402">
        <v>10.8</v>
      </c>
      <c r="I402">
        <v>11.3</v>
      </c>
      <c r="J402" t="s">
        <v>156</v>
      </c>
      <c r="K402" t="s">
        <v>397</v>
      </c>
      <c r="L402" t="s">
        <v>98</v>
      </c>
      <c r="M402" t="s">
        <v>964</v>
      </c>
      <c r="N402" t="s">
        <v>71</v>
      </c>
      <c r="O402">
        <v>125</v>
      </c>
      <c r="P402" t="s">
        <v>230</v>
      </c>
      <c r="Q402">
        <v>1726</v>
      </c>
      <c r="R402">
        <v>5000</v>
      </c>
      <c r="S402" t="s">
        <v>90</v>
      </c>
      <c r="T402" t="s">
        <v>81</v>
      </c>
      <c r="U402" t="s">
        <v>39</v>
      </c>
      <c r="V402" t="s">
        <v>39</v>
      </c>
      <c r="W402" t="s">
        <v>39</v>
      </c>
      <c r="X402">
        <v>2022</v>
      </c>
      <c r="Y402" t="s">
        <v>312</v>
      </c>
      <c r="Z402" t="s">
        <v>83</v>
      </c>
    </row>
    <row r="403" spans="1:26">
      <c r="A403" t="s">
        <v>1069</v>
      </c>
      <c r="B403" t="s">
        <v>93</v>
      </c>
      <c r="C403" t="s">
        <v>67</v>
      </c>
      <c r="D403" t="s">
        <v>29</v>
      </c>
      <c r="E403" t="s">
        <v>94</v>
      </c>
      <c r="F403" t="s">
        <v>31</v>
      </c>
      <c r="G403" t="s">
        <v>32</v>
      </c>
      <c r="H403">
        <v>2.9</v>
      </c>
      <c r="I403">
        <v>4.7</v>
      </c>
      <c r="J403" t="s">
        <v>96</v>
      </c>
      <c r="K403" t="s">
        <v>1070</v>
      </c>
      <c r="L403" t="s">
        <v>98</v>
      </c>
      <c r="M403" t="s">
        <v>127</v>
      </c>
      <c r="N403" t="s">
        <v>50</v>
      </c>
      <c r="O403">
        <v>65</v>
      </c>
      <c r="P403" t="s">
        <v>2265</v>
      </c>
      <c r="Q403">
        <v>0</v>
      </c>
      <c r="R403">
        <v>0</v>
      </c>
      <c r="S403" t="s">
        <v>2265</v>
      </c>
      <c r="T403" t="s">
        <v>81</v>
      </c>
      <c r="U403" t="s">
        <v>52</v>
      </c>
      <c r="V403" t="s">
        <v>39</v>
      </c>
      <c r="W403" t="s">
        <v>52</v>
      </c>
      <c r="X403">
        <v>2024</v>
      </c>
      <c r="Y403" t="s">
        <v>63</v>
      </c>
      <c r="Z403" t="s">
        <v>64</v>
      </c>
    </row>
    <row r="404" spans="1:26">
      <c r="A404" t="s">
        <v>1071</v>
      </c>
      <c r="B404" t="s">
        <v>108</v>
      </c>
      <c r="C404" t="s">
        <v>67</v>
      </c>
      <c r="D404" t="s">
        <v>29</v>
      </c>
      <c r="E404" t="s">
        <v>45</v>
      </c>
      <c r="F404" t="s">
        <v>95</v>
      </c>
      <c r="G404" t="s">
        <v>32</v>
      </c>
      <c r="H404">
        <v>3.1</v>
      </c>
      <c r="I404">
        <v>20.8</v>
      </c>
      <c r="J404" t="s">
        <v>20</v>
      </c>
      <c r="K404" t="s">
        <v>1072</v>
      </c>
      <c r="L404" t="s">
        <v>126</v>
      </c>
      <c r="M404" t="s">
        <v>395</v>
      </c>
      <c r="N404" t="s">
        <v>50</v>
      </c>
      <c r="O404">
        <v>71</v>
      </c>
      <c r="P404" t="s">
        <v>2265</v>
      </c>
      <c r="Q404">
        <v>0</v>
      </c>
      <c r="R404">
        <v>1000</v>
      </c>
      <c r="S404" t="s">
        <v>2265</v>
      </c>
      <c r="T404" t="s">
        <v>136</v>
      </c>
      <c r="U404" t="s">
        <v>39</v>
      </c>
      <c r="V404" t="s">
        <v>52</v>
      </c>
      <c r="W404" t="s">
        <v>52</v>
      </c>
      <c r="X404">
        <v>2023</v>
      </c>
      <c r="Y404" t="s">
        <v>312</v>
      </c>
      <c r="Z404" t="s">
        <v>83</v>
      </c>
    </row>
    <row r="405" spans="1:26">
      <c r="A405" t="s">
        <v>1073</v>
      </c>
      <c r="B405" t="s">
        <v>116</v>
      </c>
      <c r="C405" t="s">
        <v>102</v>
      </c>
      <c r="D405" t="s">
        <v>122</v>
      </c>
      <c r="E405" t="s">
        <v>130</v>
      </c>
      <c r="F405" t="s">
        <v>160</v>
      </c>
      <c r="G405" t="s">
        <v>32</v>
      </c>
      <c r="H405">
        <v>10.1</v>
      </c>
      <c r="I405">
        <v>23.3</v>
      </c>
      <c r="J405" t="s">
        <v>33</v>
      </c>
      <c r="K405" t="s">
        <v>1074</v>
      </c>
      <c r="L405" t="s">
        <v>98</v>
      </c>
      <c r="M405" t="s">
        <v>1075</v>
      </c>
      <c r="N405" t="s">
        <v>71</v>
      </c>
      <c r="O405">
        <v>79</v>
      </c>
      <c r="P405" t="s">
        <v>72</v>
      </c>
      <c r="Q405">
        <v>2981</v>
      </c>
      <c r="R405">
        <v>0</v>
      </c>
      <c r="S405" t="s">
        <v>73</v>
      </c>
      <c r="T405" t="s">
        <v>62</v>
      </c>
      <c r="U405" t="s">
        <v>39</v>
      </c>
      <c r="V405" t="s">
        <v>52</v>
      </c>
      <c r="W405" t="s">
        <v>52</v>
      </c>
      <c r="X405">
        <v>2024</v>
      </c>
      <c r="Y405" t="s">
        <v>106</v>
      </c>
      <c r="Z405" t="s">
        <v>83</v>
      </c>
    </row>
    <row r="406" spans="1:26">
      <c r="A406" t="s">
        <v>1076</v>
      </c>
      <c r="B406" t="s">
        <v>108</v>
      </c>
      <c r="C406" t="s">
        <v>67</v>
      </c>
      <c r="D406" t="s">
        <v>77</v>
      </c>
      <c r="E406" t="s">
        <v>94</v>
      </c>
      <c r="F406" t="s">
        <v>57</v>
      </c>
      <c r="G406" t="s">
        <v>58</v>
      </c>
      <c r="H406">
        <v>2.6</v>
      </c>
      <c r="I406">
        <v>31.2</v>
      </c>
      <c r="J406" t="s">
        <v>33</v>
      </c>
      <c r="K406" t="s">
        <v>1077</v>
      </c>
      <c r="L406" t="s">
        <v>35</v>
      </c>
      <c r="M406" t="s">
        <v>1078</v>
      </c>
      <c r="N406" t="s">
        <v>71</v>
      </c>
      <c r="O406">
        <v>78</v>
      </c>
      <c r="P406" t="s">
        <v>112</v>
      </c>
      <c r="Q406">
        <v>4928</v>
      </c>
      <c r="R406">
        <v>0</v>
      </c>
      <c r="S406" t="s">
        <v>90</v>
      </c>
      <c r="T406" t="s">
        <v>136</v>
      </c>
      <c r="U406" t="s">
        <v>39</v>
      </c>
      <c r="V406" t="s">
        <v>52</v>
      </c>
      <c r="W406" t="s">
        <v>52</v>
      </c>
      <c r="X406">
        <v>2023</v>
      </c>
      <c r="Y406" t="s">
        <v>153</v>
      </c>
      <c r="Z406" t="s">
        <v>54</v>
      </c>
    </row>
    <row r="407" spans="1:26">
      <c r="A407" t="s">
        <v>1079</v>
      </c>
      <c r="B407" t="s">
        <v>27</v>
      </c>
      <c r="C407" t="s">
        <v>67</v>
      </c>
      <c r="D407" t="s">
        <v>29</v>
      </c>
      <c r="E407" t="s">
        <v>195</v>
      </c>
      <c r="F407" t="s">
        <v>149</v>
      </c>
      <c r="G407" t="s">
        <v>58</v>
      </c>
      <c r="H407">
        <v>6.1</v>
      </c>
      <c r="I407">
        <v>12.6</v>
      </c>
      <c r="J407" t="s">
        <v>96</v>
      </c>
      <c r="K407" t="s">
        <v>372</v>
      </c>
      <c r="L407" t="s">
        <v>35</v>
      </c>
      <c r="M407" t="s">
        <v>804</v>
      </c>
      <c r="N407" t="s">
        <v>61</v>
      </c>
      <c r="O407">
        <v>179</v>
      </c>
      <c r="P407" t="s">
        <v>2265</v>
      </c>
      <c r="Q407">
        <v>0</v>
      </c>
      <c r="R407">
        <v>0</v>
      </c>
      <c r="S407" t="s">
        <v>2265</v>
      </c>
      <c r="T407" t="s">
        <v>81</v>
      </c>
      <c r="U407" t="s">
        <v>52</v>
      </c>
      <c r="V407" t="s">
        <v>52</v>
      </c>
      <c r="W407" t="s">
        <v>52</v>
      </c>
      <c r="X407">
        <v>2022</v>
      </c>
      <c r="Y407" t="s">
        <v>128</v>
      </c>
      <c r="Z407" t="s">
        <v>64</v>
      </c>
    </row>
    <row r="408" spans="1:26">
      <c r="A408" t="s">
        <v>1080</v>
      </c>
      <c r="B408" t="s">
        <v>43</v>
      </c>
      <c r="C408" t="s">
        <v>102</v>
      </c>
      <c r="D408" t="s">
        <v>77</v>
      </c>
      <c r="E408" t="s">
        <v>94</v>
      </c>
      <c r="F408" t="s">
        <v>109</v>
      </c>
      <c r="G408" t="s">
        <v>58</v>
      </c>
      <c r="H408">
        <v>3.8</v>
      </c>
      <c r="I408">
        <v>3.3</v>
      </c>
      <c r="J408" t="s">
        <v>96</v>
      </c>
      <c r="K408" t="s">
        <v>984</v>
      </c>
      <c r="L408" t="s">
        <v>140</v>
      </c>
      <c r="M408" t="s">
        <v>403</v>
      </c>
      <c r="N408" t="s">
        <v>61</v>
      </c>
      <c r="O408">
        <v>161</v>
      </c>
      <c r="P408" t="s">
        <v>2265</v>
      </c>
      <c r="Q408">
        <v>0</v>
      </c>
      <c r="R408">
        <v>0</v>
      </c>
      <c r="S408" t="s">
        <v>2265</v>
      </c>
      <c r="T408" t="s">
        <v>136</v>
      </c>
      <c r="U408" t="s">
        <v>39</v>
      </c>
      <c r="V408" t="s">
        <v>52</v>
      </c>
      <c r="W408" t="s">
        <v>52</v>
      </c>
      <c r="X408">
        <v>2023</v>
      </c>
      <c r="Y408" t="s">
        <v>82</v>
      </c>
      <c r="Z408" t="s">
        <v>83</v>
      </c>
    </row>
    <row r="409" spans="1:26">
      <c r="A409" t="s">
        <v>1081</v>
      </c>
      <c r="B409" t="s">
        <v>108</v>
      </c>
      <c r="C409" t="s">
        <v>67</v>
      </c>
      <c r="D409" t="s">
        <v>77</v>
      </c>
      <c r="E409" t="s">
        <v>168</v>
      </c>
      <c r="F409" t="s">
        <v>68</v>
      </c>
      <c r="G409" t="s">
        <v>32</v>
      </c>
      <c r="H409">
        <v>9.6</v>
      </c>
      <c r="I409">
        <v>7.4</v>
      </c>
      <c r="J409" t="s">
        <v>144</v>
      </c>
      <c r="K409" t="s">
        <v>853</v>
      </c>
      <c r="L409" t="s">
        <v>140</v>
      </c>
      <c r="M409" t="s">
        <v>268</v>
      </c>
      <c r="N409" t="s">
        <v>171</v>
      </c>
      <c r="O409">
        <v>176</v>
      </c>
      <c r="P409" t="s">
        <v>2265</v>
      </c>
      <c r="Q409">
        <v>0</v>
      </c>
      <c r="R409">
        <v>0</v>
      </c>
      <c r="S409" t="s">
        <v>2265</v>
      </c>
      <c r="T409" t="s">
        <v>81</v>
      </c>
      <c r="U409" t="s">
        <v>39</v>
      </c>
      <c r="V409" t="s">
        <v>39</v>
      </c>
      <c r="W409" t="s">
        <v>52</v>
      </c>
      <c r="X409">
        <v>2022</v>
      </c>
      <c r="Y409" t="s">
        <v>63</v>
      </c>
      <c r="Z409" t="s">
        <v>64</v>
      </c>
    </row>
    <row r="410" spans="1:26">
      <c r="A410" t="s">
        <v>1082</v>
      </c>
      <c r="B410" t="s">
        <v>43</v>
      </c>
      <c r="C410" t="s">
        <v>28</v>
      </c>
      <c r="D410" t="s">
        <v>29</v>
      </c>
      <c r="E410" t="s">
        <v>117</v>
      </c>
      <c r="F410" t="s">
        <v>46</v>
      </c>
      <c r="G410" t="s">
        <v>58</v>
      </c>
      <c r="H410">
        <v>7.5</v>
      </c>
      <c r="I410">
        <v>21.2</v>
      </c>
      <c r="J410" t="s">
        <v>20</v>
      </c>
      <c r="K410" t="s">
        <v>1083</v>
      </c>
      <c r="L410" t="s">
        <v>35</v>
      </c>
      <c r="M410" t="s">
        <v>1084</v>
      </c>
      <c r="N410" t="s">
        <v>71</v>
      </c>
      <c r="O410">
        <v>68</v>
      </c>
      <c r="P410" t="s">
        <v>230</v>
      </c>
      <c r="Q410">
        <v>1703</v>
      </c>
      <c r="R410">
        <v>500</v>
      </c>
      <c r="S410" t="s">
        <v>90</v>
      </c>
      <c r="T410" t="s">
        <v>136</v>
      </c>
      <c r="U410" t="s">
        <v>52</v>
      </c>
      <c r="V410" t="s">
        <v>39</v>
      </c>
      <c r="W410" t="s">
        <v>52</v>
      </c>
      <c r="X410">
        <v>2023</v>
      </c>
      <c r="Y410" t="s">
        <v>82</v>
      </c>
      <c r="Z410" t="s">
        <v>83</v>
      </c>
    </row>
    <row r="411" spans="1:26">
      <c r="A411" t="s">
        <v>1085</v>
      </c>
      <c r="B411" t="s">
        <v>27</v>
      </c>
      <c r="C411" t="s">
        <v>102</v>
      </c>
      <c r="D411" t="s">
        <v>77</v>
      </c>
      <c r="E411" t="s">
        <v>363</v>
      </c>
      <c r="F411" t="s">
        <v>160</v>
      </c>
      <c r="G411" t="s">
        <v>58</v>
      </c>
      <c r="H411">
        <v>1.6</v>
      </c>
      <c r="I411">
        <v>30</v>
      </c>
      <c r="J411" t="s">
        <v>144</v>
      </c>
      <c r="K411" t="s">
        <v>862</v>
      </c>
      <c r="L411" t="s">
        <v>48</v>
      </c>
      <c r="M411" t="s">
        <v>1086</v>
      </c>
      <c r="N411" t="s">
        <v>50</v>
      </c>
      <c r="O411">
        <v>74</v>
      </c>
      <c r="P411" t="s">
        <v>2265</v>
      </c>
      <c r="Q411">
        <v>0</v>
      </c>
      <c r="R411">
        <v>1000</v>
      </c>
      <c r="S411" t="s">
        <v>2265</v>
      </c>
      <c r="T411" t="s">
        <v>136</v>
      </c>
      <c r="U411" t="s">
        <v>39</v>
      </c>
      <c r="V411" t="s">
        <v>39</v>
      </c>
      <c r="W411" t="s">
        <v>52</v>
      </c>
      <c r="X411">
        <v>2023</v>
      </c>
      <c r="Y411" t="s">
        <v>153</v>
      </c>
      <c r="Z411" t="s">
        <v>54</v>
      </c>
    </row>
    <row r="412" spans="1:26">
      <c r="A412" t="s">
        <v>1087</v>
      </c>
      <c r="B412" t="s">
        <v>116</v>
      </c>
      <c r="C412" t="s">
        <v>76</v>
      </c>
      <c r="D412" t="s">
        <v>29</v>
      </c>
      <c r="E412" t="s">
        <v>45</v>
      </c>
      <c r="F412" t="s">
        <v>149</v>
      </c>
      <c r="G412" t="s">
        <v>58</v>
      </c>
      <c r="H412">
        <v>7</v>
      </c>
      <c r="I412">
        <v>22.8</v>
      </c>
      <c r="J412" t="s">
        <v>96</v>
      </c>
      <c r="K412" t="s">
        <v>480</v>
      </c>
      <c r="L412" t="s">
        <v>60</v>
      </c>
      <c r="M412" t="s">
        <v>1088</v>
      </c>
      <c r="N412" t="s">
        <v>171</v>
      </c>
      <c r="O412">
        <v>64</v>
      </c>
      <c r="P412" t="s">
        <v>2265</v>
      </c>
      <c r="Q412">
        <v>0</v>
      </c>
      <c r="R412">
        <v>0</v>
      </c>
      <c r="S412" t="s">
        <v>2265</v>
      </c>
      <c r="T412" t="s">
        <v>136</v>
      </c>
      <c r="U412" t="s">
        <v>39</v>
      </c>
      <c r="V412" t="s">
        <v>52</v>
      </c>
      <c r="W412" t="s">
        <v>52</v>
      </c>
      <c r="X412">
        <v>2024</v>
      </c>
      <c r="Y412" t="s">
        <v>40</v>
      </c>
      <c r="Z412" t="s">
        <v>41</v>
      </c>
    </row>
    <row r="413" spans="1:26">
      <c r="A413" t="s">
        <v>1089</v>
      </c>
      <c r="B413" t="s">
        <v>108</v>
      </c>
      <c r="C413" t="s">
        <v>67</v>
      </c>
      <c r="D413" t="s">
        <v>85</v>
      </c>
      <c r="E413" t="s">
        <v>138</v>
      </c>
      <c r="F413" t="s">
        <v>31</v>
      </c>
      <c r="G413" t="s">
        <v>58</v>
      </c>
      <c r="H413">
        <v>0.7</v>
      </c>
      <c r="I413">
        <v>32.6</v>
      </c>
      <c r="J413" t="s">
        <v>33</v>
      </c>
      <c r="K413" t="s">
        <v>178</v>
      </c>
      <c r="L413" t="s">
        <v>60</v>
      </c>
      <c r="M413" t="s">
        <v>150</v>
      </c>
      <c r="N413" t="s">
        <v>71</v>
      </c>
      <c r="O413">
        <v>19</v>
      </c>
      <c r="P413" t="s">
        <v>105</v>
      </c>
      <c r="Q413">
        <v>2781</v>
      </c>
      <c r="R413">
        <v>0</v>
      </c>
      <c r="S413" t="s">
        <v>90</v>
      </c>
      <c r="T413" t="s">
        <v>51</v>
      </c>
      <c r="U413" t="s">
        <v>52</v>
      </c>
      <c r="V413" t="s">
        <v>52</v>
      </c>
      <c r="W413" t="s">
        <v>52</v>
      </c>
      <c r="X413">
        <v>2023</v>
      </c>
      <c r="Y413" t="s">
        <v>153</v>
      </c>
      <c r="Z413" t="s">
        <v>54</v>
      </c>
    </row>
    <row r="414" spans="1:26">
      <c r="A414" t="s">
        <v>1090</v>
      </c>
      <c r="B414" t="s">
        <v>43</v>
      </c>
      <c r="C414" t="s">
        <v>28</v>
      </c>
      <c r="D414" t="s">
        <v>77</v>
      </c>
      <c r="E414" t="s">
        <v>220</v>
      </c>
      <c r="F414" t="s">
        <v>46</v>
      </c>
      <c r="G414" t="s">
        <v>32</v>
      </c>
      <c r="H414">
        <v>11.2</v>
      </c>
      <c r="I414">
        <v>30.8</v>
      </c>
      <c r="J414" t="s">
        <v>33</v>
      </c>
      <c r="K414" t="s">
        <v>175</v>
      </c>
      <c r="L414" t="s">
        <v>60</v>
      </c>
      <c r="M414" t="s">
        <v>310</v>
      </c>
      <c r="N414" t="s">
        <v>71</v>
      </c>
      <c r="O414">
        <v>67</v>
      </c>
      <c r="P414" t="s">
        <v>230</v>
      </c>
      <c r="Q414">
        <v>7126</v>
      </c>
      <c r="R414">
        <v>500</v>
      </c>
      <c r="S414" t="s">
        <v>152</v>
      </c>
      <c r="T414" t="s">
        <v>38</v>
      </c>
      <c r="U414" t="s">
        <v>39</v>
      </c>
      <c r="V414" t="s">
        <v>52</v>
      </c>
      <c r="W414" t="s">
        <v>52</v>
      </c>
      <c r="X414">
        <v>2023</v>
      </c>
      <c r="Y414" t="s">
        <v>106</v>
      </c>
      <c r="Z414" t="s">
        <v>83</v>
      </c>
    </row>
    <row r="415" spans="1:26">
      <c r="A415" t="s">
        <v>1091</v>
      </c>
      <c r="B415" t="s">
        <v>43</v>
      </c>
      <c r="C415" t="s">
        <v>67</v>
      </c>
      <c r="D415" t="s">
        <v>122</v>
      </c>
      <c r="E415" t="s">
        <v>130</v>
      </c>
      <c r="F415" t="s">
        <v>149</v>
      </c>
      <c r="G415" t="s">
        <v>58</v>
      </c>
      <c r="H415">
        <v>6.3</v>
      </c>
      <c r="I415">
        <v>15.5</v>
      </c>
      <c r="J415" t="s">
        <v>20</v>
      </c>
      <c r="K415" t="s">
        <v>812</v>
      </c>
      <c r="L415" t="s">
        <v>98</v>
      </c>
      <c r="M415" t="s">
        <v>1092</v>
      </c>
      <c r="N415" t="s">
        <v>61</v>
      </c>
      <c r="O415">
        <v>68</v>
      </c>
      <c r="P415" t="s">
        <v>2265</v>
      </c>
      <c r="Q415">
        <v>0</v>
      </c>
      <c r="R415">
        <v>0</v>
      </c>
      <c r="S415" t="s">
        <v>2265</v>
      </c>
      <c r="T415" t="s">
        <v>136</v>
      </c>
      <c r="U415" t="s">
        <v>39</v>
      </c>
      <c r="V415" t="s">
        <v>39</v>
      </c>
      <c r="W415" t="s">
        <v>52</v>
      </c>
      <c r="X415">
        <v>2023</v>
      </c>
      <c r="Y415" t="s">
        <v>211</v>
      </c>
      <c r="Z415" t="s">
        <v>41</v>
      </c>
    </row>
    <row r="416" spans="1:26">
      <c r="A416" t="s">
        <v>1093</v>
      </c>
      <c r="B416" t="s">
        <v>116</v>
      </c>
      <c r="C416" t="s">
        <v>121</v>
      </c>
      <c r="D416" t="s">
        <v>77</v>
      </c>
      <c r="E416" t="s">
        <v>363</v>
      </c>
      <c r="F416" t="s">
        <v>238</v>
      </c>
      <c r="G416" t="s">
        <v>32</v>
      </c>
      <c r="H416">
        <v>2</v>
      </c>
      <c r="I416">
        <v>16.600000000000001</v>
      </c>
      <c r="J416" t="s">
        <v>33</v>
      </c>
      <c r="K416" t="s">
        <v>1094</v>
      </c>
      <c r="L416" t="s">
        <v>98</v>
      </c>
      <c r="M416" t="s">
        <v>621</v>
      </c>
      <c r="N416" t="s">
        <v>50</v>
      </c>
      <c r="O416">
        <v>10</v>
      </c>
      <c r="P416" t="s">
        <v>2265</v>
      </c>
      <c r="Q416">
        <v>0</v>
      </c>
      <c r="R416">
        <v>500</v>
      </c>
      <c r="S416" t="s">
        <v>2265</v>
      </c>
      <c r="T416" t="s">
        <v>62</v>
      </c>
      <c r="U416" t="s">
        <v>52</v>
      </c>
      <c r="V416" t="s">
        <v>52</v>
      </c>
      <c r="W416" t="s">
        <v>52</v>
      </c>
      <c r="X416">
        <v>2023</v>
      </c>
      <c r="Y416" t="s">
        <v>106</v>
      </c>
      <c r="Z416" t="s">
        <v>83</v>
      </c>
    </row>
    <row r="417" spans="1:26">
      <c r="A417" t="s">
        <v>1095</v>
      </c>
      <c r="B417" t="s">
        <v>43</v>
      </c>
      <c r="C417" t="s">
        <v>164</v>
      </c>
      <c r="D417" t="s">
        <v>29</v>
      </c>
      <c r="E417" t="s">
        <v>195</v>
      </c>
      <c r="F417" t="s">
        <v>109</v>
      </c>
      <c r="G417" t="s">
        <v>32</v>
      </c>
      <c r="H417">
        <v>1.2</v>
      </c>
      <c r="I417">
        <v>30.5</v>
      </c>
      <c r="J417" t="s">
        <v>20</v>
      </c>
      <c r="K417" t="s">
        <v>1096</v>
      </c>
      <c r="L417" t="s">
        <v>98</v>
      </c>
      <c r="M417" t="s">
        <v>1097</v>
      </c>
      <c r="N417" t="s">
        <v>171</v>
      </c>
      <c r="O417">
        <v>32</v>
      </c>
      <c r="P417" t="s">
        <v>2265</v>
      </c>
      <c r="Q417">
        <v>0</v>
      </c>
      <c r="R417">
        <v>0</v>
      </c>
      <c r="S417" t="s">
        <v>2265</v>
      </c>
      <c r="T417" t="s">
        <v>62</v>
      </c>
      <c r="U417" t="s">
        <v>39</v>
      </c>
      <c r="V417" t="s">
        <v>52</v>
      </c>
      <c r="W417" t="s">
        <v>39</v>
      </c>
      <c r="X417">
        <v>2022</v>
      </c>
      <c r="Y417" t="s">
        <v>91</v>
      </c>
      <c r="Z417" t="s">
        <v>64</v>
      </c>
    </row>
    <row r="418" spans="1:26">
      <c r="A418" t="s">
        <v>1098</v>
      </c>
      <c r="B418" t="s">
        <v>93</v>
      </c>
      <c r="C418" t="s">
        <v>76</v>
      </c>
      <c r="D418" t="s">
        <v>29</v>
      </c>
      <c r="E418" t="s">
        <v>195</v>
      </c>
      <c r="F418" t="s">
        <v>160</v>
      </c>
      <c r="G418" t="s">
        <v>58</v>
      </c>
      <c r="H418">
        <v>6</v>
      </c>
      <c r="I418">
        <v>3.8</v>
      </c>
      <c r="J418" t="s">
        <v>144</v>
      </c>
      <c r="K418" t="s">
        <v>394</v>
      </c>
      <c r="L418" t="s">
        <v>60</v>
      </c>
      <c r="M418" t="s">
        <v>1099</v>
      </c>
      <c r="N418" t="s">
        <v>71</v>
      </c>
      <c r="O418">
        <v>107</v>
      </c>
      <c r="P418" t="s">
        <v>105</v>
      </c>
      <c r="Q418">
        <v>2508</v>
      </c>
      <c r="R418">
        <v>5000</v>
      </c>
      <c r="S418" t="s">
        <v>73</v>
      </c>
      <c r="T418" t="s">
        <v>51</v>
      </c>
      <c r="U418" t="s">
        <v>39</v>
      </c>
      <c r="V418" t="s">
        <v>39</v>
      </c>
      <c r="W418" t="s">
        <v>39</v>
      </c>
      <c r="X418">
        <v>2023</v>
      </c>
      <c r="Y418" t="s">
        <v>106</v>
      </c>
      <c r="Z418" t="s">
        <v>83</v>
      </c>
    </row>
    <row r="419" spans="1:26">
      <c r="A419" t="s">
        <v>1100</v>
      </c>
      <c r="B419" t="s">
        <v>116</v>
      </c>
      <c r="C419" t="s">
        <v>121</v>
      </c>
      <c r="D419" t="s">
        <v>77</v>
      </c>
      <c r="E419" t="s">
        <v>78</v>
      </c>
      <c r="F419" t="s">
        <v>46</v>
      </c>
      <c r="G419" t="s">
        <v>58</v>
      </c>
      <c r="H419">
        <v>7.2</v>
      </c>
      <c r="I419">
        <v>0.7</v>
      </c>
      <c r="J419" t="s">
        <v>33</v>
      </c>
      <c r="K419" t="s">
        <v>333</v>
      </c>
      <c r="L419" t="s">
        <v>35</v>
      </c>
      <c r="M419" t="s">
        <v>1101</v>
      </c>
      <c r="N419" t="s">
        <v>61</v>
      </c>
      <c r="O419">
        <v>161</v>
      </c>
      <c r="P419" t="s">
        <v>2265</v>
      </c>
      <c r="Q419">
        <v>0</v>
      </c>
      <c r="R419">
        <v>0</v>
      </c>
      <c r="S419" t="s">
        <v>2265</v>
      </c>
      <c r="T419" t="s">
        <v>51</v>
      </c>
      <c r="U419" t="s">
        <v>39</v>
      </c>
      <c r="V419" t="s">
        <v>39</v>
      </c>
      <c r="W419" t="s">
        <v>39</v>
      </c>
      <c r="X419">
        <v>2024</v>
      </c>
      <c r="Y419" t="s">
        <v>40</v>
      </c>
      <c r="Z419" t="s">
        <v>41</v>
      </c>
    </row>
    <row r="420" spans="1:26">
      <c r="A420" t="s">
        <v>1102</v>
      </c>
      <c r="B420" t="s">
        <v>108</v>
      </c>
      <c r="C420" t="s">
        <v>28</v>
      </c>
      <c r="D420" t="s">
        <v>29</v>
      </c>
      <c r="E420" t="s">
        <v>244</v>
      </c>
      <c r="F420" t="s">
        <v>238</v>
      </c>
      <c r="G420" t="s">
        <v>58</v>
      </c>
      <c r="H420">
        <v>3.1</v>
      </c>
      <c r="I420">
        <v>8.8000000000000007</v>
      </c>
      <c r="J420" t="s">
        <v>33</v>
      </c>
      <c r="K420" t="s">
        <v>735</v>
      </c>
      <c r="L420" t="s">
        <v>126</v>
      </c>
      <c r="M420" t="s">
        <v>892</v>
      </c>
      <c r="N420" t="s">
        <v>100</v>
      </c>
      <c r="O420">
        <v>24</v>
      </c>
      <c r="P420" t="s">
        <v>2265</v>
      </c>
      <c r="Q420">
        <v>0</v>
      </c>
      <c r="R420">
        <v>0</v>
      </c>
      <c r="S420" t="s">
        <v>2265</v>
      </c>
      <c r="T420" t="s">
        <v>136</v>
      </c>
      <c r="U420" t="s">
        <v>39</v>
      </c>
      <c r="V420" t="s">
        <v>52</v>
      </c>
      <c r="W420" t="s">
        <v>52</v>
      </c>
      <c r="X420">
        <v>2024</v>
      </c>
      <c r="Y420" t="s">
        <v>82</v>
      </c>
      <c r="Z420" t="s">
        <v>83</v>
      </c>
    </row>
    <row r="421" spans="1:26">
      <c r="A421" t="s">
        <v>1103</v>
      </c>
      <c r="B421" t="s">
        <v>93</v>
      </c>
      <c r="C421" t="s">
        <v>28</v>
      </c>
      <c r="D421" t="s">
        <v>29</v>
      </c>
      <c r="E421" t="s">
        <v>56</v>
      </c>
      <c r="F421" t="s">
        <v>46</v>
      </c>
      <c r="G421" t="s">
        <v>58</v>
      </c>
      <c r="H421">
        <v>10.9</v>
      </c>
      <c r="I421">
        <v>21.3</v>
      </c>
      <c r="J421" t="s">
        <v>144</v>
      </c>
      <c r="K421" t="s">
        <v>1104</v>
      </c>
      <c r="L421" t="s">
        <v>126</v>
      </c>
      <c r="M421" t="s">
        <v>127</v>
      </c>
      <c r="N421" t="s">
        <v>61</v>
      </c>
      <c r="O421">
        <v>111</v>
      </c>
      <c r="P421" t="s">
        <v>2265</v>
      </c>
      <c r="Q421">
        <v>0</v>
      </c>
      <c r="R421">
        <v>0</v>
      </c>
      <c r="S421" t="s">
        <v>2265</v>
      </c>
      <c r="T421" t="s">
        <v>136</v>
      </c>
      <c r="U421" t="s">
        <v>52</v>
      </c>
      <c r="V421" t="s">
        <v>52</v>
      </c>
      <c r="W421" t="s">
        <v>52</v>
      </c>
      <c r="X421">
        <v>2024</v>
      </c>
      <c r="Y421" t="s">
        <v>91</v>
      </c>
      <c r="Z421" t="s">
        <v>64</v>
      </c>
    </row>
    <row r="422" spans="1:26">
      <c r="A422" t="s">
        <v>1105</v>
      </c>
      <c r="B422" t="s">
        <v>93</v>
      </c>
      <c r="C422" t="s">
        <v>121</v>
      </c>
      <c r="D422" t="s">
        <v>29</v>
      </c>
      <c r="E422" t="s">
        <v>195</v>
      </c>
      <c r="F422" t="s">
        <v>124</v>
      </c>
      <c r="G422" t="s">
        <v>58</v>
      </c>
      <c r="H422">
        <v>5.2</v>
      </c>
      <c r="I422">
        <v>1.9</v>
      </c>
      <c r="J422" t="s">
        <v>144</v>
      </c>
      <c r="K422" t="s">
        <v>723</v>
      </c>
      <c r="L422" t="s">
        <v>140</v>
      </c>
      <c r="M422" t="s">
        <v>999</v>
      </c>
      <c r="N422" t="s">
        <v>71</v>
      </c>
      <c r="O422">
        <v>95</v>
      </c>
      <c r="P422" t="s">
        <v>105</v>
      </c>
      <c r="Q422">
        <v>3278</v>
      </c>
      <c r="R422">
        <v>2000</v>
      </c>
      <c r="S422" t="s">
        <v>73</v>
      </c>
      <c r="T422" t="s">
        <v>51</v>
      </c>
      <c r="U422" t="s">
        <v>52</v>
      </c>
      <c r="V422" t="s">
        <v>52</v>
      </c>
      <c r="W422" t="s">
        <v>39</v>
      </c>
      <c r="X422">
        <v>2024</v>
      </c>
      <c r="Y422" t="s">
        <v>53</v>
      </c>
      <c r="Z422" t="s">
        <v>54</v>
      </c>
    </row>
    <row r="423" spans="1:26">
      <c r="A423" t="s">
        <v>1106</v>
      </c>
      <c r="B423" t="s">
        <v>93</v>
      </c>
      <c r="C423" t="s">
        <v>76</v>
      </c>
      <c r="D423" t="s">
        <v>77</v>
      </c>
      <c r="E423" t="s">
        <v>168</v>
      </c>
      <c r="F423" t="s">
        <v>109</v>
      </c>
      <c r="G423" t="s">
        <v>58</v>
      </c>
      <c r="H423">
        <v>10.1</v>
      </c>
      <c r="I423">
        <v>18.5</v>
      </c>
      <c r="J423" t="s">
        <v>33</v>
      </c>
      <c r="K423" t="s">
        <v>499</v>
      </c>
      <c r="L423" t="s">
        <v>140</v>
      </c>
      <c r="M423" t="s">
        <v>936</v>
      </c>
      <c r="N423" t="s">
        <v>61</v>
      </c>
      <c r="O423">
        <v>33</v>
      </c>
      <c r="P423" t="s">
        <v>2265</v>
      </c>
      <c r="Q423">
        <v>0</v>
      </c>
      <c r="R423">
        <v>0</v>
      </c>
      <c r="S423" t="s">
        <v>2265</v>
      </c>
      <c r="T423" t="s">
        <v>38</v>
      </c>
      <c r="U423" t="s">
        <v>52</v>
      </c>
      <c r="V423" t="s">
        <v>52</v>
      </c>
      <c r="W423" t="s">
        <v>39</v>
      </c>
      <c r="X423">
        <v>2022</v>
      </c>
      <c r="Y423" t="s">
        <v>128</v>
      </c>
      <c r="Z423" t="s">
        <v>64</v>
      </c>
    </row>
    <row r="424" spans="1:26">
      <c r="A424" t="s">
        <v>1107</v>
      </c>
      <c r="B424" t="s">
        <v>43</v>
      </c>
      <c r="C424" t="s">
        <v>164</v>
      </c>
      <c r="D424" t="s">
        <v>77</v>
      </c>
      <c r="E424" t="s">
        <v>168</v>
      </c>
      <c r="F424" t="s">
        <v>57</v>
      </c>
      <c r="G424" t="s">
        <v>58</v>
      </c>
      <c r="H424">
        <v>1.5</v>
      </c>
      <c r="I424">
        <v>23.3</v>
      </c>
      <c r="J424" t="s">
        <v>33</v>
      </c>
      <c r="K424" t="s">
        <v>1108</v>
      </c>
      <c r="L424" t="s">
        <v>126</v>
      </c>
      <c r="M424" t="s">
        <v>1109</v>
      </c>
      <c r="N424" t="s">
        <v>71</v>
      </c>
      <c r="O424">
        <v>66</v>
      </c>
      <c r="P424" t="s">
        <v>72</v>
      </c>
      <c r="Q424">
        <v>7124</v>
      </c>
      <c r="R424">
        <v>0</v>
      </c>
      <c r="S424" t="s">
        <v>152</v>
      </c>
      <c r="T424" t="s">
        <v>62</v>
      </c>
      <c r="U424" t="s">
        <v>52</v>
      </c>
      <c r="V424" t="s">
        <v>52</v>
      </c>
      <c r="W424" t="s">
        <v>52</v>
      </c>
      <c r="X424">
        <v>2023</v>
      </c>
      <c r="Y424" t="s">
        <v>63</v>
      </c>
      <c r="Z424" t="s">
        <v>64</v>
      </c>
    </row>
    <row r="425" spans="1:26">
      <c r="A425" t="s">
        <v>1110</v>
      </c>
      <c r="B425" t="s">
        <v>93</v>
      </c>
      <c r="C425" t="s">
        <v>28</v>
      </c>
      <c r="D425" t="s">
        <v>77</v>
      </c>
      <c r="E425" t="s">
        <v>168</v>
      </c>
      <c r="F425" t="s">
        <v>57</v>
      </c>
      <c r="G425" t="s">
        <v>58</v>
      </c>
      <c r="H425">
        <v>1</v>
      </c>
      <c r="I425">
        <v>34.4</v>
      </c>
      <c r="J425" t="s">
        <v>33</v>
      </c>
      <c r="K425" t="s">
        <v>1111</v>
      </c>
      <c r="L425" t="s">
        <v>126</v>
      </c>
      <c r="M425" t="s">
        <v>558</v>
      </c>
      <c r="N425" t="s">
        <v>37</v>
      </c>
      <c r="O425">
        <v>48</v>
      </c>
      <c r="P425" t="s">
        <v>2265</v>
      </c>
      <c r="Q425">
        <v>0</v>
      </c>
      <c r="R425">
        <v>0</v>
      </c>
      <c r="S425" t="s">
        <v>2265</v>
      </c>
      <c r="T425" t="s">
        <v>38</v>
      </c>
      <c r="U425" t="s">
        <v>39</v>
      </c>
      <c r="V425" t="s">
        <v>39</v>
      </c>
      <c r="W425" t="s">
        <v>52</v>
      </c>
      <c r="X425">
        <v>2023</v>
      </c>
      <c r="Y425" t="s">
        <v>63</v>
      </c>
      <c r="Z425" t="s">
        <v>64</v>
      </c>
    </row>
    <row r="426" spans="1:26">
      <c r="A426" t="s">
        <v>1112</v>
      </c>
      <c r="B426" t="s">
        <v>66</v>
      </c>
      <c r="C426" t="s">
        <v>44</v>
      </c>
      <c r="D426" t="s">
        <v>77</v>
      </c>
      <c r="E426" t="s">
        <v>94</v>
      </c>
      <c r="F426" t="s">
        <v>160</v>
      </c>
      <c r="G426" t="s">
        <v>58</v>
      </c>
      <c r="H426">
        <v>8.3000000000000007</v>
      </c>
      <c r="I426">
        <v>33.700000000000003</v>
      </c>
      <c r="J426" t="s">
        <v>33</v>
      </c>
      <c r="K426" t="s">
        <v>139</v>
      </c>
      <c r="L426" t="s">
        <v>48</v>
      </c>
      <c r="M426" t="s">
        <v>1113</v>
      </c>
      <c r="N426" t="s">
        <v>171</v>
      </c>
      <c r="O426">
        <v>78</v>
      </c>
      <c r="P426" t="s">
        <v>2265</v>
      </c>
      <c r="Q426">
        <v>0</v>
      </c>
      <c r="R426">
        <v>0</v>
      </c>
      <c r="S426" t="s">
        <v>2265</v>
      </c>
      <c r="T426" t="s">
        <v>38</v>
      </c>
      <c r="U426" t="s">
        <v>39</v>
      </c>
      <c r="V426" t="s">
        <v>39</v>
      </c>
      <c r="W426" t="s">
        <v>39</v>
      </c>
      <c r="X426">
        <v>2024</v>
      </c>
      <c r="Y426" t="s">
        <v>114</v>
      </c>
      <c r="Z426" t="s">
        <v>41</v>
      </c>
    </row>
    <row r="427" spans="1:26">
      <c r="A427" t="s">
        <v>1114</v>
      </c>
      <c r="B427" t="s">
        <v>27</v>
      </c>
      <c r="C427" t="s">
        <v>102</v>
      </c>
      <c r="D427" t="s">
        <v>77</v>
      </c>
      <c r="E427" t="s">
        <v>220</v>
      </c>
      <c r="F427" t="s">
        <v>95</v>
      </c>
      <c r="G427" t="s">
        <v>32</v>
      </c>
      <c r="H427">
        <v>10.1</v>
      </c>
      <c r="I427">
        <v>30.1</v>
      </c>
      <c r="J427" t="s">
        <v>96</v>
      </c>
      <c r="K427" t="s">
        <v>1115</v>
      </c>
      <c r="L427" t="s">
        <v>126</v>
      </c>
      <c r="M427" t="s">
        <v>1116</v>
      </c>
      <c r="N427" t="s">
        <v>71</v>
      </c>
      <c r="O427">
        <v>124</v>
      </c>
      <c r="P427" t="s">
        <v>89</v>
      </c>
      <c r="Q427">
        <v>4980</v>
      </c>
      <c r="R427">
        <v>500</v>
      </c>
      <c r="S427" t="s">
        <v>90</v>
      </c>
      <c r="T427" t="s">
        <v>136</v>
      </c>
      <c r="U427" t="s">
        <v>39</v>
      </c>
      <c r="V427" t="s">
        <v>39</v>
      </c>
      <c r="W427" t="s">
        <v>52</v>
      </c>
      <c r="X427">
        <v>2023</v>
      </c>
      <c r="Y427" t="s">
        <v>312</v>
      </c>
      <c r="Z427" t="s">
        <v>83</v>
      </c>
    </row>
    <row r="428" spans="1:26">
      <c r="A428" t="s">
        <v>1117</v>
      </c>
      <c r="B428" t="s">
        <v>108</v>
      </c>
      <c r="C428" t="s">
        <v>76</v>
      </c>
      <c r="D428" t="s">
        <v>77</v>
      </c>
      <c r="E428" t="s">
        <v>78</v>
      </c>
      <c r="F428" t="s">
        <v>46</v>
      </c>
      <c r="G428" t="s">
        <v>58</v>
      </c>
      <c r="H428">
        <v>3</v>
      </c>
      <c r="I428">
        <v>10.7</v>
      </c>
      <c r="J428" t="s">
        <v>33</v>
      </c>
      <c r="K428" t="s">
        <v>1118</v>
      </c>
      <c r="L428" t="s">
        <v>98</v>
      </c>
      <c r="M428" t="s">
        <v>127</v>
      </c>
      <c r="N428" t="s">
        <v>71</v>
      </c>
      <c r="O428">
        <v>121</v>
      </c>
      <c r="P428" t="s">
        <v>112</v>
      </c>
      <c r="Q428">
        <v>6682</v>
      </c>
      <c r="R428">
        <v>1000</v>
      </c>
      <c r="S428" t="s">
        <v>90</v>
      </c>
      <c r="T428" t="s">
        <v>136</v>
      </c>
      <c r="U428" t="s">
        <v>39</v>
      </c>
      <c r="V428" t="s">
        <v>39</v>
      </c>
      <c r="W428" t="s">
        <v>52</v>
      </c>
      <c r="X428">
        <v>2024</v>
      </c>
      <c r="Y428" t="s">
        <v>114</v>
      </c>
      <c r="Z428" t="s">
        <v>41</v>
      </c>
    </row>
    <row r="429" spans="1:26">
      <c r="A429" t="s">
        <v>1119</v>
      </c>
      <c r="B429" t="s">
        <v>108</v>
      </c>
      <c r="C429" t="s">
        <v>67</v>
      </c>
      <c r="D429" t="s">
        <v>85</v>
      </c>
      <c r="E429" t="s">
        <v>86</v>
      </c>
      <c r="F429" t="s">
        <v>109</v>
      </c>
      <c r="G429" t="s">
        <v>58</v>
      </c>
      <c r="H429">
        <v>8.6</v>
      </c>
      <c r="I429">
        <v>18.7</v>
      </c>
      <c r="J429" t="s">
        <v>33</v>
      </c>
      <c r="K429" t="s">
        <v>1120</v>
      </c>
      <c r="L429" t="s">
        <v>98</v>
      </c>
      <c r="M429" t="s">
        <v>127</v>
      </c>
      <c r="N429" t="s">
        <v>50</v>
      </c>
      <c r="O429">
        <v>152</v>
      </c>
      <c r="P429" t="s">
        <v>2265</v>
      </c>
      <c r="Q429">
        <v>0</v>
      </c>
      <c r="R429">
        <v>0</v>
      </c>
      <c r="S429" t="s">
        <v>2265</v>
      </c>
      <c r="T429" t="s">
        <v>136</v>
      </c>
      <c r="U429" t="s">
        <v>52</v>
      </c>
      <c r="V429" t="s">
        <v>39</v>
      </c>
      <c r="W429" t="s">
        <v>52</v>
      </c>
      <c r="X429">
        <v>2024</v>
      </c>
      <c r="Y429" t="s">
        <v>128</v>
      </c>
      <c r="Z429" t="s">
        <v>64</v>
      </c>
    </row>
    <row r="430" spans="1:26">
      <c r="A430" t="s">
        <v>1121</v>
      </c>
      <c r="B430" t="s">
        <v>43</v>
      </c>
      <c r="C430" t="s">
        <v>121</v>
      </c>
      <c r="D430" t="s">
        <v>77</v>
      </c>
      <c r="E430" t="s">
        <v>260</v>
      </c>
      <c r="F430" t="s">
        <v>46</v>
      </c>
      <c r="G430" t="s">
        <v>32</v>
      </c>
      <c r="H430">
        <v>0.3</v>
      </c>
      <c r="I430">
        <v>10.4</v>
      </c>
      <c r="J430" t="s">
        <v>33</v>
      </c>
      <c r="K430" t="s">
        <v>336</v>
      </c>
      <c r="L430" t="s">
        <v>140</v>
      </c>
      <c r="M430" t="s">
        <v>127</v>
      </c>
      <c r="N430" t="s">
        <v>100</v>
      </c>
      <c r="O430">
        <v>179</v>
      </c>
      <c r="P430" t="s">
        <v>2265</v>
      </c>
      <c r="Q430">
        <v>0</v>
      </c>
      <c r="R430">
        <v>0</v>
      </c>
      <c r="S430" t="s">
        <v>2265</v>
      </c>
      <c r="T430" t="s">
        <v>81</v>
      </c>
      <c r="U430" t="s">
        <v>39</v>
      </c>
      <c r="V430" t="s">
        <v>52</v>
      </c>
      <c r="W430" t="s">
        <v>52</v>
      </c>
      <c r="X430">
        <v>2024</v>
      </c>
      <c r="Y430" t="s">
        <v>40</v>
      </c>
      <c r="Z430" t="s">
        <v>41</v>
      </c>
    </row>
    <row r="431" spans="1:26">
      <c r="A431" t="s">
        <v>1122</v>
      </c>
      <c r="B431" t="s">
        <v>43</v>
      </c>
      <c r="C431" t="s">
        <v>102</v>
      </c>
      <c r="D431" t="s">
        <v>77</v>
      </c>
      <c r="E431" t="s">
        <v>168</v>
      </c>
      <c r="F431" t="s">
        <v>160</v>
      </c>
      <c r="G431" t="s">
        <v>58</v>
      </c>
      <c r="H431">
        <v>9.6</v>
      </c>
      <c r="I431">
        <v>28.1</v>
      </c>
      <c r="J431" t="s">
        <v>156</v>
      </c>
      <c r="K431" t="s">
        <v>1123</v>
      </c>
      <c r="L431" t="s">
        <v>126</v>
      </c>
      <c r="M431" t="s">
        <v>1124</v>
      </c>
      <c r="N431" t="s">
        <v>171</v>
      </c>
      <c r="O431">
        <v>107</v>
      </c>
      <c r="P431" t="s">
        <v>2265</v>
      </c>
      <c r="Q431">
        <v>0</v>
      </c>
      <c r="R431">
        <v>0</v>
      </c>
      <c r="S431" t="s">
        <v>2265</v>
      </c>
      <c r="T431" t="s">
        <v>81</v>
      </c>
      <c r="U431" t="s">
        <v>39</v>
      </c>
      <c r="V431" t="s">
        <v>39</v>
      </c>
      <c r="W431" t="s">
        <v>52</v>
      </c>
      <c r="X431">
        <v>2024</v>
      </c>
      <c r="Y431" t="s">
        <v>312</v>
      </c>
      <c r="Z431" t="s">
        <v>83</v>
      </c>
    </row>
    <row r="432" spans="1:26">
      <c r="A432" t="s">
        <v>1125</v>
      </c>
      <c r="B432" t="s">
        <v>116</v>
      </c>
      <c r="C432" t="s">
        <v>67</v>
      </c>
      <c r="D432" t="s">
        <v>77</v>
      </c>
      <c r="E432" t="s">
        <v>78</v>
      </c>
      <c r="F432" t="s">
        <v>160</v>
      </c>
      <c r="G432" t="s">
        <v>32</v>
      </c>
      <c r="H432">
        <v>2.9</v>
      </c>
      <c r="I432">
        <v>19.7</v>
      </c>
      <c r="J432" t="s">
        <v>156</v>
      </c>
      <c r="K432" t="s">
        <v>694</v>
      </c>
      <c r="L432" t="s">
        <v>48</v>
      </c>
      <c r="M432" t="s">
        <v>424</v>
      </c>
      <c r="N432" t="s">
        <v>50</v>
      </c>
      <c r="O432">
        <v>107</v>
      </c>
      <c r="P432" t="s">
        <v>2265</v>
      </c>
      <c r="Q432">
        <v>0</v>
      </c>
      <c r="R432">
        <v>500</v>
      </c>
      <c r="S432" t="s">
        <v>2265</v>
      </c>
      <c r="T432" t="s">
        <v>81</v>
      </c>
      <c r="U432" t="s">
        <v>39</v>
      </c>
      <c r="V432" t="s">
        <v>39</v>
      </c>
      <c r="W432" t="s">
        <v>52</v>
      </c>
      <c r="X432">
        <v>2022</v>
      </c>
      <c r="Y432" t="s">
        <v>40</v>
      </c>
      <c r="Z432" t="s">
        <v>41</v>
      </c>
    </row>
    <row r="433" spans="1:26">
      <c r="A433" t="s">
        <v>1126</v>
      </c>
      <c r="B433" t="s">
        <v>93</v>
      </c>
      <c r="C433" t="s">
        <v>76</v>
      </c>
      <c r="D433" t="s">
        <v>85</v>
      </c>
      <c r="E433" t="s">
        <v>174</v>
      </c>
      <c r="F433" t="s">
        <v>109</v>
      </c>
      <c r="G433" t="s">
        <v>32</v>
      </c>
      <c r="H433">
        <v>3.2</v>
      </c>
      <c r="I433">
        <v>12.2</v>
      </c>
      <c r="J433" t="s">
        <v>33</v>
      </c>
      <c r="K433" t="s">
        <v>1127</v>
      </c>
      <c r="L433" t="s">
        <v>98</v>
      </c>
      <c r="M433" t="s">
        <v>1038</v>
      </c>
      <c r="N433" t="s">
        <v>37</v>
      </c>
      <c r="O433">
        <v>31</v>
      </c>
      <c r="P433" t="s">
        <v>2265</v>
      </c>
      <c r="Q433">
        <v>0</v>
      </c>
      <c r="R433">
        <v>1000</v>
      </c>
      <c r="S433" t="s">
        <v>2265</v>
      </c>
      <c r="T433" t="s">
        <v>62</v>
      </c>
      <c r="U433" t="s">
        <v>39</v>
      </c>
      <c r="V433" t="s">
        <v>52</v>
      </c>
      <c r="W433" t="s">
        <v>39</v>
      </c>
      <c r="X433">
        <v>2023</v>
      </c>
      <c r="Y433" t="s">
        <v>74</v>
      </c>
      <c r="Z433" t="s">
        <v>54</v>
      </c>
    </row>
    <row r="434" spans="1:26">
      <c r="A434" t="s">
        <v>1128</v>
      </c>
      <c r="B434" t="s">
        <v>116</v>
      </c>
      <c r="C434" t="s">
        <v>102</v>
      </c>
      <c r="D434" t="s">
        <v>77</v>
      </c>
      <c r="E434" t="s">
        <v>78</v>
      </c>
      <c r="F434" t="s">
        <v>46</v>
      </c>
      <c r="G434" t="s">
        <v>58</v>
      </c>
      <c r="H434">
        <v>6.1</v>
      </c>
      <c r="I434">
        <v>6.3</v>
      </c>
      <c r="J434" t="s">
        <v>156</v>
      </c>
      <c r="K434" t="s">
        <v>1129</v>
      </c>
      <c r="L434" t="s">
        <v>60</v>
      </c>
      <c r="M434" t="s">
        <v>1130</v>
      </c>
      <c r="N434" t="s">
        <v>71</v>
      </c>
      <c r="O434">
        <v>28</v>
      </c>
      <c r="P434" t="s">
        <v>112</v>
      </c>
      <c r="Q434">
        <v>7607</v>
      </c>
      <c r="R434">
        <v>0</v>
      </c>
      <c r="S434" t="s">
        <v>90</v>
      </c>
      <c r="T434" t="s">
        <v>38</v>
      </c>
      <c r="U434" t="s">
        <v>39</v>
      </c>
      <c r="V434" t="s">
        <v>52</v>
      </c>
      <c r="W434" t="s">
        <v>52</v>
      </c>
      <c r="X434">
        <v>2022</v>
      </c>
      <c r="Y434" t="s">
        <v>211</v>
      </c>
      <c r="Z434" t="s">
        <v>41</v>
      </c>
    </row>
    <row r="435" spans="1:26">
      <c r="A435" t="s">
        <v>1131</v>
      </c>
      <c r="B435" t="s">
        <v>108</v>
      </c>
      <c r="C435" t="s">
        <v>67</v>
      </c>
      <c r="D435" t="s">
        <v>122</v>
      </c>
      <c r="E435" t="s">
        <v>148</v>
      </c>
      <c r="F435" t="s">
        <v>160</v>
      </c>
      <c r="G435" t="s">
        <v>58</v>
      </c>
      <c r="H435">
        <v>9.3000000000000007</v>
      </c>
      <c r="I435">
        <v>0.7</v>
      </c>
      <c r="J435" t="s">
        <v>33</v>
      </c>
      <c r="K435" t="s">
        <v>1132</v>
      </c>
      <c r="L435" t="s">
        <v>60</v>
      </c>
      <c r="M435" t="s">
        <v>1096</v>
      </c>
      <c r="N435" t="s">
        <v>50</v>
      </c>
      <c r="O435">
        <v>52</v>
      </c>
      <c r="P435" t="s">
        <v>2265</v>
      </c>
      <c r="Q435">
        <v>0</v>
      </c>
      <c r="R435">
        <v>1000</v>
      </c>
      <c r="S435" t="s">
        <v>2265</v>
      </c>
      <c r="T435" t="s">
        <v>51</v>
      </c>
      <c r="U435" t="s">
        <v>52</v>
      </c>
      <c r="V435" t="s">
        <v>52</v>
      </c>
      <c r="W435" t="s">
        <v>52</v>
      </c>
      <c r="X435">
        <v>2022</v>
      </c>
      <c r="Y435" t="s">
        <v>114</v>
      </c>
      <c r="Z435" t="s">
        <v>41</v>
      </c>
    </row>
    <row r="436" spans="1:26">
      <c r="A436" t="s">
        <v>1133</v>
      </c>
      <c r="B436" t="s">
        <v>108</v>
      </c>
      <c r="C436" t="s">
        <v>67</v>
      </c>
      <c r="D436" t="s">
        <v>77</v>
      </c>
      <c r="E436" t="s">
        <v>94</v>
      </c>
      <c r="F436" t="s">
        <v>238</v>
      </c>
      <c r="G436" t="s">
        <v>32</v>
      </c>
      <c r="H436">
        <v>5</v>
      </c>
      <c r="I436">
        <v>14.6</v>
      </c>
      <c r="J436" t="s">
        <v>33</v>
      </c>
      <c r="K436" t="s">
        <v>323</v>
      </c>
      <c r="L436" t="s">
        <v>35</v>
      </c>
      <c r="M436" t="s">
        <v>472</v>
      </c>
      <c r="N436" t="s">
        <v>100</v>
      </c>
      <c r="O436">
        <v>36</v>
      </c>
      <c r="P436" t="s">
        <v>2265</v>
      </c>
      <c r="Q436">
        <v>0</v>
      </c>
      <c r="R436">
        <v>0</v>
      </c>
      <c r="S436" t="s">
        <v>2265</v>
      </c>
      <c r="T436" t="s">
        <v>62</v>
      </c>
      <c r="U436" t="s">
        <v>39</v>
      </c>
      <c r="V436" t="s">
        <v>39</v>
      </c>
      <c r="W436" t="s">
        <v>52</v>
      </c>
      <c r="X436">
        <v>2023</v>
      </c>
      <c r="Y436" t="s">
        <v>74</v>
      </c>
      <c r="Z436" t="s">
        <v>54</v>
      </c>
    </row>
    <row r="437" spans="1:26">
      <c r="A437" t="s">
        <v>1134</v>
      </c>
      <c r="B437" t="s">
        <v>43</v>
      </c>
      <c r="C437" t="s">
        <v>76</v>
      </c>
      <c r="D437" t="s">
        <v>122</v>
      </c>
      <c r="E437" t="s">
        <v>130</v>
      </c>
      <c r="F437" t="s">
        <v>109</v>
      </c>
      <c r="G437" t="s">
        <v>32</v>
      </c>
      <c r="H437">
        <v>0.5</v>
      </c>
      <c r="I437">
        <v>32.299999999999997</v>
      </c>
      <c r="J437" t="s">
        <v>144</v>
      </c>
      <c r="K437" t="s">
        <v>463</v>
      </c>
      <c r="L437" t="s">
        <v>126</v>
      </c>
      <c r="M437" t="s">
        <v>1135</v>
      </c>
      <c r="N437" t="s">
        <v>71</v>
      </c>
      <c r="O437">
        <v>112</v>
      </c>
      <c r="P437" t="s">
        <v>105</v>
      </c>
      <c r="Q437">
        <v>2110</v>
      </c>
      <c r="R437">
        <v>5000</v>
      </c>
      <c r="S437" t="s">
        <v>152</v>
      </c>
      <c r="T437" t="s">
        <v>51</v>
      </c>
      <c r="U437" t="s">
        <v>39</v>
      </c>
      <c r="V437" t="s">
        <v>39</v>
      </c>
      <c r="W437" t="s">
        <v>52</v>
      </c>
      <c r="X437">
        <v>2022</v>
      </c>
      <c r="Y437" t="s">
        <v>63</v>
      </c>
      <c r="Z437" t="s">
        <v>64</v>
      </c>
    </row>
    <row r="438" spans="1:26">
      <c r="A438" t="s">
        <v>1136</v>
      </c>
      <c r="B438" t="s">
        <v>27</v>
      </c>
      <c r="C438" t="s">
        <v>121</v>
      </c>
      <c r="D438" t="s">
        <v>29</v>
      </c>
      <c r="E438" t="s">
        <v>244</v>
      </c>
      <c r="F438" t="s">
        <v>46</v>
      </c>
      <c r="G438" t="s">
        <v>32</v>
      </c>
      <c r="H438">
        <v>5.4</v>
      </c>
      <c r="I438">
        <v>7.6</v>
      </c>
      <c r="J438" t="s">
        <v>96</v>
      </c>
      <c r="K438" t="s">
        <v>1137</v>
      </c>
      <c r="L438" t="s">
        <v>48</v>
      </c>
      <c r="M438" t="s">
        <v>282</v>
      </c>
      <c r="N438" t="s">
        <v>100</v>
      </c>
      <c r="O438">
        <v>180</v>
      </c>
      <c r="P438" t="s">
        <v>2265</v>
      </c>
      <c r="Q438">
        <v>0</v>
      </c>
      <c r="R438">
        <v>0</v>
      </c>
      <c r="S438" t="s">
        <v>2265</v>
      </c>
      <c r="T438" t="s">
        <v>51</v>
      </c>
      <c r="U438" t="s">
        <v>39</v>
      </c>
      <c r="V438" t="s">
        <v>39</v>
      </c>
      <c r="W438" t="s">
        <v>52</v>
      </c>
      <c r="X438">
        <v>2022</v>
      </c>
      <c r="Y438" t="s">
        <v>91</v>
      </c>
      <c r="Z438" t="s">
        <v>64</v>
      </c>
    </row>
    <row r="439" spans="1:26">
      <c r="A439" t="s">
        <v>1138</v>
      </c>
      <c r="B439" t="s">
        <v>93</v>
      </c>
      <c r="C439" t="s">
        <v>67</v>
      </c>
      <c r="D439" t="s">
        <v>85</v>
      </c>
      <c r="E439" t="s">
        <v>208</v>
      </c>
      <c r="F439" t="s">
        <v>68</v>
      </c>
      <c r="G439" t="s">
        <v>58</v>
      </c>
      <c r="H439">
        <v>2.6</v>
      </c>
      <c r="I439">
        <v>18.2</v>
      </c>
      <c r="J439" t="s">
        <v>33</v>
      </c>
      <c r="K439" t="s">
        <v>1139</v>
      </c>
      <c r="L439" t="s">
        <v>140</v>
      </c>
      <c r="M439" t="s">
        <v>127</v>
      </c>
      <c r="N439" t="s">
        <v>61</v>
      </c>
      <c r="O439">
        <v>139</v>
      </c>
      <c r="P439" t="s">
        <v>2265</v>
      </c>
      <c r="Q439">
        <v>0</v>
      </c>
      <c r="R439">
        <v>0</v>
      </c>
      <c r="S439" t="s">
        <v>2265</v>
      </c>
      <c r="T439" t="s">
        <v>62</v>
      </c>
      <c r="U439" t="s">
        <v>39</v>
      </c>
      <c r="V439" t="s">
        <v>39</v>
      </c>
      <c r="W439" t="s">
        <v>52</v>
      </c>
      <c r="X439">
        <v>2024</v>
      </c>
      <c r="Y439" t="s">
        <v>63</v>
      </c>
      <c r="Z439" t="s">
        <v>64</v>
      </c>
    </row>
    <row r="440" spans="1:26">
      <c r="A440" t="s">
        <v>1140</v>
      </c>
      <c r="B440" t="s">
        <v>116</v>
      </c>
      <c r="C440" t="s">
        <v>76</v>
      </c>
      <c r="D440" t="s">
        <v>85</v>
      </c>
      <c r="E440" t="s">
        <v>138</v>
      </c>
      <c r="F440" t="s">
        <v>95</v>
      </c>
      <c r="G440" t="s">
        <v>32</v>
      </c>
      <c r="H440">
        <v>3.2</v>
      </c>
      <c r="I440">
        <v>18</v>
      </c>
      <c r="J440" t="s">
        <v>33</v>
      </c>
      <c r="K440" t="s">
        <v>1141</v>
      </c>
      <c r="L440" t="s">
        <v>140</v>
      </c>
      <c r="M440" t="s">
        <v>1142</v>
      </c>
      <c r="N440" t="s">
        <v>171</v>
      </c>
      <c r="O440">
        <v>16</v>
      </c>
      <c r="P440" t="s">
        <v>2265</v>
      </c>
      <c r="Q440">
        <v>0</v>
      </c>
      <c r="R440">
        <v>0</v>
      </c>
      <c r="S440" t="s">
        <v>2265</v>
      </c>
      <c r="T440" t="s">
        <v>38</v>
      </c>
      <c r="U440" t="s">
        <v>52</v>
      </c>
      <c r="V440" t="s">
        <v>52</v>
      </c>
      <c r="W440" t="s">
        <v>52</v>
      </c>
      <c r="X440">
        <v>2022</v>
      </c>
      <c r="Y440" t="s">
        <v>211</v>
      </c>
      <c r="Z440" t="s">
        <v>41</v>
      </c>
    </row>
    <row r="441" spans="1:26">
      <c r="A441" t="s">
        <v>1143</v>
      </c>
      <c r="B441" t="s">
        <v>27</v>
      </c>
      <c r="C441" t="s">
        <v>164</v>
      </c>
      <c r="D441" t="s">
        <v>77</v>
      </c>
      <c r="E441" t="s">
        <v>363</v>
      </c>
      <c r="F441" t="s">
        <v>57</v>
      </c>
      <c r="G441" t="s">
        <v>58</v>
      </c>
      <c r="H441">
        <v>8</v>
      </c>
      <c r="I441">
        <v>28.6</v>
      </c>
      <c r="J441" t="s">
        <v>33</v>
      </c>
      <c r="K441" t="s">
        <v>1144</v>
      </c>
      <c r="L441" t="s">
        <v>60</v>
      </c>
      <c r="M441" t="s">
        <v>1145</v>
      </c>
      <c r="N441" t="s">
        <v>61</v>
      </c>
      <c r="O441">
        <v>77</v>
      </c>
      <c r="P441" t="s">
        <v>2265</v>
      </c>
      <c r="Q441">
        <v>0</v>
      </c>
      <c r="R441">
        <v>0</v>
      </c>
      <c r="S441" t="s">
        <v>2265</v>
      </c>
      <c r="T441" t="s">
        <v>62</v>
      </c>
      <c r="U441" t="s">
        <v>39</v>
      </c>
      <c r="V441" t="s">
        <v>52</v>
      </c>
      <c r="W441" t="s">
        <v>52</v>
      </c>
      <c r="X441">
        <v>2023</v>
      </c>
      <c r="Y441" t="s">
        <v>63</v>
      </c>
      <c r="Z441" t="s">
        <v>64</v>
      </c>
    </row>
    <row r="442" spans="1:26">
      <c r="A442" t="s">
        <v>1146</v>
      </c>
      <c r="B442" t="s">
        <v>43</v>
      </c>
      <c r="C442" t="s">
        <v>121</v>
      </c>
      <c r="D442" t="s">
        <v>29</v>
      </c>
      <c r="E442" t="s">
        <v>45</v>
      </c>
      <c r="F442" t="s">
        <v>95</v>
      </c>
      <c r="G442" t="s">
        <v>32</v>
      </c>
      <c r="H442">
        <v>5.2</v>
      </c>
      <c r="I442">
        <v>5</v>
      </c>
      <c r="J442" t="s">
        <v>156</v>
      </c>
      <c r="K442" t="s">
        <v>1147</v>
      </c>
      <c r="L442" t="s">
        <v>140</v>
      </c>
      <c r="M442" t="s">
        <v>435</v>
      </c>
      <c r="N442" t="s">
        <v>71</v>
      </c>
      <c r="O442">
        <v>106</v>
      </c>
      <c r="P442" t="s">
        <v>112</v>
      </c>
      <c r="Q442">
        <v>1877</v>
      </c>
      <c r="R442">
        <v>0</v>
      </c>
      <c r="S442" t="s">
        <v>90</v>
      </c>
      <c r="T442" t="s">
        <v>51</v>
      </c>
      <c r="U442" t="s">
        <v>52</v>
      </c>
      <c r="V442" t="s">
        <v>52</v>
      </c>
      <c r="W442" t="s">
        <v>52</v>
      </c>
      <c r="X442">
        <v>2024</v>
      </c>
      <c r="Y442" t="s">
        <v>53</v>
      </c>
      <c r="Z442" t="s">
        <v>54</v>
      </c>
    </row>
    <row r="443" spans="1:26">
      <c r="A443" t="s">
        <v>1148</v>
      </c>
      <c r="B443" t="s">
        <v>66</v>
      </c>
      <c r="C443" t="s">
        <v>28</v>
      </c>
      <c r="D443" t="s">
        <v>77</v>
      </c>
      <c r="E443" t="s">
        <v>78</v>
      </c>
      <c r="F443" t="s">
        <v>124</v>
      </c>
      <c r="G443" t="s">
        <v>32</v>
      </c>
      <c r="H443">
        <v>5.9</v>
      </c>
      <c r="I443">
        <v>16.3</v>
      </c>
      <c r="J443" t="s">
        <v>144</v>
      </c>
      <c r="K443" t="s">
        <v>428</v>
      </c>
      <c r="L443" t="s">
        <v>35</v>
      </c>
      <c r="M443" t="s">
        <v>1149</v>
      </c>
      <c r="N443" t="s">
        <v>71</v>
      </c>
      <c r="O443">
        <v>42</v>
      </c>
      <c r="P443" t="s">
        <v>89</v>
      </c>
      <c r="Q443">
        <v>7143</v>
      </c>
      <c r="R443">
        <v>0</v>
      </c>
      <c r="S443" t="s">
        <v>152</v>
      </c>
      <c r="T443" t="s">
        <v>38</v>
      </c>
      <c r="U443" t="s">
        <v>52</v>
      </c>
      <c r="V443" t="s">
        <v>39</v>
      </c>
      <c r="W443" t="s">
        <v>39</v>
      </c>
      <c r="X443">
        <v>2024</v>
      </c>
      <c r="Y443" t="s">
        <v>53</v>
      </c>
      <c r="Z443" t="s">
        <v>54</v>
      </c>
    </row>
    <row r="444" spans="1:26">
      <c r="A444" t="s">
        <v>1150</v>
      </c>
      <c r="B444" t="s">
        <v>93</v>
      </c>
      <c r="C444" t="s">
        <v>121</v>
      </c>
      <c r="D444" t="s">
        <v>122</v>
      </c>
      <c r="E444" t="s">
        <v>202</v>
      </c>
      <c r="F444" t="s">
        <v>238</v>
      </c>
      <c r="G444" t="s">
        <v>58</v>
      </c>
      <c r="H444">
        <v>3.7</v>
      </c>
      <c r="I444">
        <v>13.4</v>
      </c>
      <c r="J444" t="s">
        <v>33</v>
      </c>
      <c r="K444" t="s">
        <v>1010</v>
      </c>
      <c r="L444" t="s">
        <v>140</v>
      </c>
      <c r="M444" t="s">
        <v>744</v>
      </c>
      <c r="N444" t="s">
        <v>71</v>
      </c>
      <c r="O444">
        <v>11</v>
      </c>
      <c r="P444" t="s">
        <v>112</v>
      </c>
      <c r="Q444">
        <v>982</v>
      </c>
      <c r="R444">
        <v>0</v>
      </c>
      <c r="S444" t="s">
        <v>73</v>
      </c>
      <c r="T444" t="s">
        <v>51</v>
      </c>
      <c r="U444" t="s">
        <v>39</v>
      </c>
      <c r="V444" t="s">
        <v>39</v>
      </c>
      <c r="W444" t="s">
        <v>52</v>
      </c>
      <c r="X444">
        <v>2023</v>
      </c>
      <c r="Y444" t="s">
        <v>211</v>
      </c>
      <c r="Z444" t="s">
        <v>41</v>
      </c>
    </row>
    <row r="445" spans="1:26">
      <c r="A445" t="s">
        <v>1151</v>
      </c>
      <c r="B445" t="s">
        <v>108</v>
      </c>
      <c r="C445" t="s">
        <v>173</v>
      </c>
      <c r="D445" t="s">
        <v>77</v>
      </c>
      <c r="E445" t="s">
        <v>220</v>
      </c>
      <c r="F445" t="s">
        <v>31</v>
      </c>
      <c r="G445" t="s">
        <v>32</v>
      </c>
      <c r="H445">
        <v>0.9</v>
      </c>
      <c r="I445">
        <v>2</v>
      </c>
      <c r="J445" t="s">
        <v>33</v>
      </c>
      <c r="K445" t="s">
        <v>1152</v>
      </c>
      <c r="L445" t="s">
        <v>126</v>
      </c>
      <c r="M445" t="s">
        <v>1153</v>
      </c>
      <c r="N445" t="s">
        <v>171</v>
      </c>
      <c r="O445">
        <v>141</v>
      </c>
      <c r="P445" t="s">
        <v>2265</v>
      </c>
      <c r="Q445">
        <v>0</v>
      </c>
      <c r="R445">
        <v>0</v>
      </c>
      <c r="S445" t="s">
        <v>2265</v>
      </c>
      <c r="T445" t="s">
        <v>136</v>
      </c>
      <c r="U445" t="s">
        <v>39</v>
      </c>
      <c r="V445" t="s">
        <v>39</v>
      </c>
      <c r="W445" t="s">
        <v>52</v>
      </c>
      <c r="X445">
        <v>2022</v>
      </c>
      <c r="Y445" t="s">
        <v>114</v>
      </c>
      <c r="Z445" t="s">
        <v>41</v>
      </c>
    </row>
    <row r="446" spans="1:26">
      <c r="A446" t="s">
        <v>1154</v>
      </c>
      <c r="B446" t="s">
        <v>27</v>
      </c>
      <c r="C446" t="s">
        <v>76</v>
      </c>
      <c r="D446" t="s">
        <v>77</v>
      </c>
      <c r="E446" t="s">
        <v>78</v>
      </c>
      <c r="F446" t="s">
        <v>149</v>
      </c>
      <c r="G446" t="s">
        <v>32</v>
      </c>
      <c r="H446">
        <v>2.9</v>
      </c>
      <c r="I446">
        <v>14.1</v>
      </c>
      <c r="J446" t="s">
        <v>156</v>
      </c>
      <c r="K446" t="s">
        <v>912</v>
      </c>
      <c r="L446" t="s">
        <v>35</v>
      </c>
      <c r="M446" t="s">
        <v>486</v>
      </c>
      <c r="N446" t="s">
        <v>71</v>
      </c>
      <c r="O446">
        <v>84</v>
      </c>
      <c r="P446" t="s">
        <v>89</v>
      </c>
      <c r="Q446">
        <v>6355</v>
      </c>
      <c r="R446">
        <v>500</v>
      </c>
      <c r="S446" t="s">
        <v>73</v>
      </c>
      <c r="T446" t="s">
        <v>62</v>
      </c>
      <c r="U446" t="s">
        <v>39</v>
      </c>
      <c r="V446" t="s">
        <v>52</v>
      </c>
      <c r="W446" t="s">
        <v>39</v>
      </c>
      <c r="X446">
        <v>2022</v>
      </c>
      <c r="Y446" t="s">
        <v>128</v>
      </c>
      <c r="Z446" t="s">
        <v>64</v>
      </c>
    </row>
    <row r="447" spans="1:26">
      <c r="A447" t="s">
        <v>1155</v>
      </c>
      <c r="B447" t="s">
        <v>116</v>
      </c>
      <c r="C447" t="s">
        <v>28</v>
      </c>
      <c r="D447" t="s">
        <v>29</v>
      </c>
      <c r="E447" t="s">
        <v>30</v>
      </c>
      <c r="F447" t="s">
        <v>109</v>
      </c>
      <c r="G447" t="s">
        <v>58</v>
      </c>
      <c r="H447">
        <v>2.4</v>
      </c>
      <c r="I447">
        <v>16.899999999999999</v>
      </c>
      <c r="J447" t="s">
        <v>33</v>
      </c>
      <c r="K447" t="s">
        <v>1156</v>
      </c>
      <c r="L447" t="s">
        <v>60</v>
      </c>
      <c r="M447" t="s">
        <v>226</v>
      </c>
      <c r="N447" t="s">
        <v>71</v>
      </c>
      <c r="O447">
        <v>159</v>
      </c>
      <c r="P447" t="s">
        <v>89</v>
      </c>
      <c r="Q447">
        <v>3835</v>
      </c>
      <c r="R447">
        <v>1000</v>
      </c>
      <c r="S447" t="s">
        <v>113</v>
      </c>
      <c r="T447" t="s">
        <v>62</v>
      </c>
      <c r="U447" t="s">
        <v>52</v>
      </c>
      <c r="V447" t="s">
        <v>39</v>
      </c>
      <c r="W447" t="s">
        <v>52</v>
      </c>
      <c r="X447">
        <v>2023</v>
      </c>
      <c r="Y447" t="s">
        <v>106</v>
      </c>
      <c r="Z447" t="s">
        <v>83</v>
      </c>
    </row>
    <row r="448" spans="1:26">
      <c r="A448" t="s">
        <v>1157</v>
      </c>
      <c r="B448" t="s">
        <v>27</v>
      </c>
      <c r="C448" t="s">
        <v>67</v>
      </c>
      <c r="D448" t="s">
        <v>85</v>
      </c>
      <c r="E448" t="s">
        <v>138</v>
      </c>
      <c r="F448" t="s">
        <v>57</v>
      </c>
      <c r="G448" t="s">
        <v>32</v>
      </c>
      <c r="H448">
        <v>2.2000000000000002</v>
      </c>
      <c r="I448">
        <v>1.3</v>
      </c>
      <c r="J448" t="s">
        <v>33</v>
      </c>
      <c r="K448" t="s">
        <v>1158</v>
      </c>
      <c r="L448" t="s">
        <v>35</v>
      </c>
      <c r="M448" t="s">
        <v>1159</v>
      </c>
      <c r="N448" t="s">
        <v>71</v>
      </c>
      <c r="O448">
        <v>126</v>
      </c>
      <c r="P448" t="s">
        <v>230</v>
      </c>
      <c r="Q448">
        <v>1892</v>
      </c>
      <c r="R448">
        <v>500</v>
      </c>
      <c r="S448" t="s">
        <v>113</v>
      </c>
      <c r="T448" t="s">
        <v>51</v>
      </c>
      <c r="U448" t="s">
        <v>39</v>
      </c>
      <c r="V448" t="s">
        <v>39</v>
      </c>
      <c r="W448" t="s">
        <v>52</v>
      </c>
      <c r="X448">
        <v>2022</v>
      </c>
      <c r="Y448" t="s">
        <v>74</v>
      </c>
      <c r="Z448" t="s">
        <v>54</v>
      </c>
    </row>
    <row r="449" spans="1:26">
      <c r="A449" t="s">
        <v>1160</v>
      </c>
      <c r="B449" t="s">
        <v>66</v>
      </c>
      <c r="C449" t="s">
        <v>76</v>
      </c>
      <c r="D449" t="s">
        <v>29</v>
      </c>
      <c r="E449" t="s">
        <v>45</v>
      </c>
      <c r="F449" t="s">
        <v>160</v>
      </c>
      <c r="G449" t="s">
        <v>32</v>
      </c>
      <c r="H449">
        <v>11.5</v>
      </c>
      <c r="I449">
        <v>6.8</v>
      </c>
      <c r="J449" t="s">
        <v>33</v>
      </c>
      <c r="K449" t="s">
        <v>1161</v>
      </c>
      <c r="L449" t="s">
        <v>60</v>
      </c>
      <c r="M449" t="s">
        <v>1162</v>
      </c>
      <c r="N449" t="s">
        <v>71</v>
      </c>
      <c r="O449">
        <v>105</v>
      </c>
      <c r="P449" t="s">
        <v>89</v>
      </c>
      <c r="Q449">
        <v>1741</v>
      </c>
      <c r="R449">
        <v>1000</v>
      </c>
      <c r="S449" t="s">
        <v>90</v>
      </c>
      <c r="T449" t="s">
        <v>51</v>
      </c>
      <c r="U449" t="s">
        <v>39</v>
      </c>
      <c r="V449" t="s">
        <v>52</v>
      </c>
      <c r="W449" t="s">
        <v>39</v>
      </c>
      <c r="X449">
        <v>2023</v>
      </c>
      <c r="Y449" t="s">
        <v>114</v>
      </c>
      <c r="Z449" t="s">
        <v>41</v>
      </c>
    </row>
    <row r="450" spans="1:26">
      <c r="A450" t="s">
        <v>1163</v>
      </c>
      <c r="B450" t="s">
        <v>116</v>
      </c>
      <c r="C450" t="s">
        <v>173</v>
      </c>
      <c r="D450" t="s">
        <v>77</v>
      </c>
      <c r="E450" t="s">
        <v>363</v>
      </c>
      <c r="F450" t="s">
        <v>238</v>
      </c>
      <c r="G450" t="s">
        <v>32</v>
      </c>
      <c r="H450">
        <v>6.2</v>
      </c>
      <c r="I450">
        <v>17.899999999999999</v>
      </c>
      <c r="J450" t="s">
        <v>144</v>
      </c>
      <c r="K450" t="s">
        <v>267</v>
      </c>
      <c r="L450" t="s">
        <v>140</v>
      </c>
      <c r="M450" t="s">
        <v>1164</v>
      </c>
      <c r="N450" t="s">
        <v>37</v>
      </c>
      <c r="O450">
        <v>153</v>
      </c>
      <c r="P450" t="s">
        <v>2265</v>
      </c>
      <c r="Q450">
        <v>0</v>
      </c>
      <c r="R450">
        <v>1000</v>
      </c>
      <c r="S450" t="s">
        <v>2265</v>
      </c>
      <c r="T450" t="s">
        <v>136</v>
      </c>
      <c r="U450" t="s">
        <v>39</v>
      </c>
      <c r="V450" t="s">
        <v>52</v>
      </c>
      <c r="W450" t="s">
        <v>39</v>
      </c>
      <c r="X450">
        <v>2023</v>
      </c>
      <c r="Y450" t="s">
        <v>53</v>
      </c>
      <c r="Z450" t="s">
        <v>54</v>
      </c>
    </row>
    <row r="451" spans="1:26">
      <c r="A451" t="s">
        <v>1165</v>
      </c>
      <c r="B451" t="s">
        <v>93</v>
      </c>
      <c r="C451" t="s">
        <v>44</v>
      </c>
      <c r="D451" t="s">
        <v>85</v>
      </c>
      <c r="E451" t="s">
        <v>208</v>
      </c>
      <c r="F451" t="s">
        <v>149</v>
      </c>
      <c r="G451" t="s">
        <v>58</v>
      </c>
      <c r="H451">
        <v>6.7</v>
      </c>
      <c r="I451">
        <v>27.6</v>
      </c>
      <c r="J451" t="s">
        <v>96</v>
      </c>
      <c r="K451" t="s">
        <v>341</v>
      </c>
      <c r="L451" t="s">
        <v>98</v>
      </c>
      <c r="M451" t="s">
        <v>592</v>
      </c>
      <c r="N451" t="s">
        <v>71</v>
      </c>
      <c r="O451">
        <v>69</v>
      </c>
      <c r="P451" t="s">
        <v>105</v>
      </c>
      <c r="Q451">
        <v>1508</v>
      </c>
      <c r="R451">
        <v>5000</v>
      </c>
      <c r="S451" t="s">
        <v>113</v>
      </c>
      <c r="T451" t="s">
        <v>81</v>
      </c>
      <c r="U451" t="s">
        <v>39</v>
      </c>
      <c r="V451" t="s">
        <v>52</v>
      </c>
      <c r="W451" t="s">
        <v>52</v>
      </c>
      <c r="X451">
        <v>2022</v>
      </c>
      <c r="Y451" t="s">
        <v>82</v>
      </c>
      <c r="Z451" t="s">
        <v>83</v>
      </c>
    </row>
    <row r="452" spans="1:26">
      <c r="A452" t="s">
        <v>1166</v>
      </c>
      <c r="B452" t="s">
        <v>43</v>
      </c>
      <c r="C452" t="s">
        <v>76</v>
      </c>
      <c r="D452" t="s">
        <v>77</v>
      </c>
      <c r="E452" t="s">
        <v>94</v>
      </c>
      <c r="F452" t="s">
        <v>238</v>
      </c>
      <c r="G452" t="s">
        <v>32</v>
      </c>
      <c r="H452">
        <v>7.5</v>
      </c>
      <c r="I452">
        <v>23</v>
      </c>
      <c r="J452" t="s">
        <v>33</v>
      </c>
      <c r="K452" t="s">
        <v>914</v>
      </c>
      <c r="L452" t="s">
        <v>140</v>
      </c>
      <c r="M452" t="s">
        <v>478</v>
      </c>
      <c r="N452" t="s">
        <v>71</v>
      </c>
      <c r="O452">
        <v>11</v>
      </c>
      <c r="P452" t="s">
        <v>72</v>
      </c>
      <c r="Q452">
        <v>6806</v>
      </c>
      <c r="R452">
        <v>5000</v>
      </c>
      <c r="S452" t="s">
        <v>90</v>
      </c>
      <c r="T452" t="s">
        <v>51</v>
      </c>
      <c r="U452" t="s">
        <v>39</v>
      </c>
      <c r="V452" t="s">
        <v>52</v>
      </c>
      <c r="W452" t="s">
        <v>52</v>
      </c>
      <c r="X452">
        <v>2024</v>
      </c>
      <c r="Y452" t="s">
        <v>40</v>
      </c>
      <c r="Z452" t="s">
        <v>41</v>
      </c>
    </row>
    <row r="453" spans="1:26">
      <c r="A453" t="s">
        <v>1167</v>
      </c>
      <c r="B453" t="s">
        <v>43</v>
      </c>
      <c r="C453" t="s">
        <v>173</v>
      </c>
      <c r="D453" t="s">
        <v>77</v>
      </c>
      <c r="E453" t="s">
        <v>216</v>
      </c>
      <c r="F453" t="s">
        <v>57</v>
      </c>
      <c r="G453" t="s">
        <v>58</v>
      </c>
      <c r="H453">
        <v>4.8</v>
      </c>
      <c r="I453">
        <v>4.7</v>
      </c>
      <c r="J453" t="s">
        <v>20</v>
      </c>
      <c r="K453" t="s">
        <v>1168</v>
      </c>
      <c r="L453" t="s">
        <v>140</v>
      </c>
      <c r="M453" t="s">
        <v>127</v>
      </c>
      <c r="N453" t="s">
        <v>71</v>
      </c>
      <c r="O453">
        <v>145</v>
      </c>
      <c r="P453" t="s">
        <v>72</v>
      </c>
      <c r="Q453">
        <v>5462</v>
      </c>
      <c r="R453">
        <v>0</v>
      </c>
      <c r="S453" t="s">
        <v>152</v>
      </c>
      <c r="T453" t="s">
        <v>51</v>
      </c>
      <c r="U453" t="s">
        <v>52</v>
      </c>
      <c r="V453" t="s">
        <v>52</v>
      </c>
      <c r="W453" t="s">
        <v>52</v>
      </c>
      <c r="X453">
        <v>2024</v>
      </c>
      <c r="Y453" t="s">
        <v>63</v>
      </c>
      <c r="Z453" t="s">
        <v>64</v>
      </c>
    </row>
    <row r="454" spans="1:26">
      <c r="A454" t="s">
        <v>1169</v>
      </c>
      <c r="B454" t="s">
        <v>66</v>
      </c>
      <c r="C454" t="s">
        <v>76</v>
      </c>
      <c r="D454" t="s">
        <v>122</v>
      </c>
      <c r="E454" t="s">
        <v>155</v>
      </c>
      <c r="F454" t="s">
        <v>31</v>
      </c>
      <c r="G454" t="s">
        <v>32</v>
      </c>
      <c r="H454">
        <v>0.3</v>
      </c>
      <c r="I454">
        <v>24.4</v>
      </c>
      <c r="J454" t="s">
        <v>33</v>
      </c>
      <c r="K454" t="s">
        <v>459</v>
      </c>
      <c r="L454" t="s">
        <v>35</v>
      </c>
      <c r="M454" t="s">
        <v>1170</v>
      </c>
      <c r="N454" t="s">
        <v>171</v>
      </c>
      <c r="O454">
        <v>118</v>
      </c>
      <c r="P454" t="s">
        <v>2265</v>
      </c>
      <c r="Q454">
        <v>0</v>
      </c>
      <c r="R454">
        <v>0</v>
      </c>
      <c r="S454" t="s">
        <v>2265</v>
      </c>
      <c r="T454" t="s">
        <v>81</v>
      </c>
      <c r="U454" t="s">
        <v>52</v>
      </c>
      <c r="V454" t="s">
        <v>52</v>
      </c>
      <c r="W454" t="s">
        <v>52</v>
      </c>
      <c r="X454">
        <v>2023</v>
      </c>
      <c r="Y454" t="s">
        <v>312</v>
      </c>
      <c r="Z454" t="s">
        <v>83</v>
      </c>
    </row>
    <row r="455" spans="1:26">
      <c r="A455" t="s">
        <v>1171</v>
      </c>
      <c r="B455" t="s">
        <v>108</v>
      </c>
      <c r="C455" t="s">
        <v>28</v>
      </c>
      <c r="D455" t="s">
        <v>85</v>
      </c>
      <c r="E455" t="s">
        <v>138</v>
      </c>
      <c r="F455" t="s">
        <v>46</v>
      </c>
      <c r="G455" t="s">
        <v>32</v>
      </c>
      <c r="H455">
        <v>10.7</v>
      </c>
      <c r="I455">
        <v>28.7</v>
      </c>
      <c r="J455" t="s">
        <v>96</v>
      </c>
      <c r="K455" t="s">
        <v>248</v>
      </c>
      <c r="L455" t="s">
        <v>140</v>
      </c>
      <c r="M455" t="s">
        <v>1172</v>
      </c>
      <c r="N455" t="s">
        <v>71</v>
      </c>
      <c r="O455">
        <v>167</v>
      </c>
      <c r="P455" t="s">
        <v>72</v>
      </c>
      <c r="Q455">
        <v>2706</v>
      </c>
      <c r="R455">
        <v>0</v>
      </c>
      <c r="S455" t="s">
        <v>90</v>
      </c>
      <c r="T455" t="s">
        <v>81</v>
      </c>
      <c r="U455" t="s">
        <v>39</v>
      </c>
      <c r="V455" t="s">
        <v>39</v>
      </c>
      <c r="W455" t="s">
        <v>52</v>
      </c>
      <c r="X455">
        <v>2022</v>
      </c>
      <c r="Y455" t="s">
        <v>153</v>
      </c>
      <c r="Z455" t="s">
        <v>54</v>
      </c>
    </row>
    <row r="456" spans="1:26">
      <c r="A456" t="s">
        <v>1173</v>
      </c>
      <c r="B456" t="s">
        <v>66</v>
      </c>
      <c r="C456" t="s">
        <v>67</v>
      </c>
      <c r="D456" t="s">
        <v>122</v>
      </c>
      <c r="E456" t="s">
        <v>148</v>
      </c>
      <c r="F456" t="s">
        <v>124</v>
      </c>
      <c r="G456" t="s">
        <v>58</v>
      </c>
      <c r="H456">
        <v>9.1</v>
      </c>
      <c r="I456">
        <v>24</v>
      </c>
      <c r="J456" t="s">
        <v>96</v>
      </c>
      <c r="K456" t="s">
        <v>1174</v>
      </c>
      <c r="L456" t="s">
        <v>140</v>
      </c>
      <c r="M456" t="s">
        <v>1175</v>
      </c>
      <c r="N456" t="s">
        <v>37</v>
      </c>
      <c r="O456">
        <v>3</v>
      </c>
      <c r="P456" t="s">
        <v>2265</v>
      </c>
      <c r="Q456">
        <v>0</v>
      </c>
      <c r="R456">
        <v>0</v>
      </c>
      <c r="S456" t="s">
        <v>2265</v>
      </c>
      <c r="T456" t="s">
        <v>51</v>
      </c>
      <c r="U456" t="s">
        <v>39</v>
      </c>
      <c r="V456" t="s">
        <v>39</v>
      </c>
      <c r="W456" t="s">
        <v>52</v>
      </c>
      <c r="X456">
        <v>2024</v>
      </c>
      <c r="Y456" t="s">
        <v>153</v>
      </c>
      <c r="Z456" t="s">
        <v>54</v>
      </c>
    </row>
    <row r="457" spans="1:26">
      <c r="A457" t="s">
        <v>1176</v>
      </c>
      <c r="B457" t="s">
        <v>108</v>
      </c>
      <c r="C457" t="s">
        <v>28</v>
      </c>
      <c r="D457" t="s">
        <v>122</v>
      </c>
      <c r="E457" t="s">
        <v>123</v>
      </c>
      <c r="F457" t="s">
        <v>160</v>
      </c>
      <c r="G457" t="s">
        <v>32</v>
      </c>
      <c r="H457">
        <v>2.4</v>
      </c>
      <c r="I457">
        <v>28.8</v>
      </c>
      <c r="J457" t="s">
        <v>33</v>
      </c>
      <c r="K457" t="s">
        <v>753</v>
      </c>
      <c r="L457" t="s">
        <v>140</v>
      </c>
      <c r="M457" t="s">
        <v>1177</v>
      </c>
      <c r="N457" t="s">
        <v>37</v>
      </c>
      <c r="O457">
        <v>127</v>
      </c>
      <c r="P457" t="s">
        <v>2265</v>
      </c>
      <c r="Q457">
        <v>0</v>
      </c>
      <c r="R457">
        <v>0</v>
      </c>
      <c r="S457" t="s">
        <v>2265</v>
      </c>
      <c r="T457" t="s">
        <v>81</v>
      </c>
      <c r="U457" t="s">
        <v>39</v>
      </c>
      <c r="V457" t="s">
        <v>39</v>
      </c>
      <c r="W457" t="s">
        <v>52</v>
      </c>
      <c r="X457">
        <v>2023</v>
      </c>
      <c r="Y457" t="s">
        <v>40</v>
      </c>
      <c r="Z457" t="s">
        <v>41</v>
      </c>
    </row>
    <row r="458" spans="1:26">
      <c r="A458" t="s">
        <v>1178</v>
      </c>
      <c r="B458" t="s">
        <v>66</v>
      </c>
      <c r="C458" t="s">
        <v>173</v>
      </c>
      <c r="D458" t="s">
        <v>29</v>
      </c>
      <c r="E458" t="s">
        <v>45</v>
      </c>
      <c r="F458" t="s">
        <v>109</v>
      </c>
      <c r="G458" t="s">
        <v>32</v>
      </c>
      <c r="H458">
        <v>2.4</v>
      </c>
      <c r="I458">
        <v>23.9</v>
      </c>
      <c r="J458" t="s">
        <v>33</v>
      </c>
      <c r="K458" t="s">
        <v>268</v>
      </c>
      <c r="L458" t="s">
        <v>126</v>
      </c>
      <c r="M458" t="s">
        <v>214</v>
      </c>
      <c r="N458" t="s">
        <v>37</v>
      </c>
      <c r="O458">
        <v>146</v>
      </c>
      <c r="P458" t="s">
        <v>2265</v>
      </c>
      <c r="Q458">
        <v>0</v>
      </c>
      <c r="R458">
        <v>500</v>
      </c>
      <c r="S458" t="s">
        <v>2265</v>
      </c>
      <c r="T458" t="s">
        <v>38</v>
      </c>
      <c r="U458" t="s">
        <v>39</v>
      </c>
      <c r="V458" t="s">
        <v>52</v>
      </c>
      <c r="W458" t="s">
        <v>52</v>
      </c>
      <c r="X458">
        <v>2023</v>
      </c>
      <c r="Y458" t="s">
        <v>153</v>
      </c>
      <c r="Z458" t="s">
        <v>54</v>
      </c>
    </row>
    <row r="459" spans="1:26">
      <c r="A459" t="s">
        <v>1179</v>
      </c>
      <c r="B459" t="s">
        <v>66</v>
      </c>
      <c r="C459" t="s">
        <v>102</v>
      </c>
      <c r="D459" t="s">
        <v>29</v>
      </c>
      <c r="E459" t="s">
        <v>30</v>
      </c>
      <c r="F459" t="s">
        <v>238</v>
      </c>
      <c r="G459" t="s">
        <v>32</v>
      </c>
      <c r="H459">
        <v>6.3</v>
      </c>
      <c r="I459">
        <v>2</v>
      </c>
      <c r="J459" t="s">
        <v>144</v>
      </c>
      <c r="K459" t="s">
        <v>1180</v>
      </c>
      <c r="L459" t="s">
        <v>140</v>
      </c>
      <c r="M459" t="s">
        <v>127</v>
      </c>
      <c r="N459" t="s">
        <v>50</v>
      </c>
      <c r="O459">
        <v>120</v>
      </c>
      <c r="P459" t="s">
        <v>2265</v>
      </c>
      <c r="Q459">
        <v>0</v>
      </c>
      <c r="R459">
        <v>500</v>
      </c>
      <c r="S459" t="s">
        <v>2265</v>
      </c>
      <c r="T459" t="s">
        <v>136</v>
      </c>
      <c r="U459" t="s">
        <v>39</v>
      </c>
      <c r="V459" t="s">
        <v>39</v>
      </c>
      <c r="W459" t="s">
        <v>52</v>
      </c>
      <c r="X459">
        <v>2024</v>
      </c>
      <c r="Y459" t="s">
        <v>128</v>
      </c>
      <c r="Z459" t="s">
        <v>64</v>
      </c>
    </row>
    <row r="460" spans="1:26">
      <c r="A460" t="s">
        <v>1181</v>
      </c>
      <c r="B460" t="s">
        <v>43</v>
      </c>
      <c r="C460" t="s">
        <v>102</v>
      </c>
      <c r="D460" t="s">
        <v>77</v>
      </c>
      <c r="E460" t="s">
        <v>260</v>
      </c>
      <c r="F460" t="s">
        <v>68</v>
      </c>
      <c r="G460" t="s">
        <v>32</v>
      </c>
      <c r="H460">
        <v>5.0999999999999996</v>
      </c>
      <c r="I460">
        <v>3.1</v>
      </c>
      <c r="J460" t="s">
        <v>33</v>
      </c>
      <c r="K460" t="s">
        <v>378</v>
      </c>
      <c r="L460" t="s">
        <v>35</v>
      </c>
      <c r="M460" t="s">
        <v>184</v>
      </c>
      <c r="N460" t="s">
        <v>71</v>
      </c>
      <c r="O460">
        <v>147</v>
      </c>
      <c r="P460" t="s">
        <v>230</v>
      </c>
      <c r="Q460">
        <v>4848</v>
      </c>
      <c r="R460">
        <v>2000</v>
      </c>
      <c r="S460" t="s">
        <v>73</v>
      </c>
      <c r="T460" t="s">
        <v>136</v>
      </c>
      <c r="U460" t="s">
        <v>52</v>
      </c>
      <c r="V460" t="s">
        <v>39</v>
      </c>
      <c r="W460" t="s">
        <v>52</v>
      </c>
      <c r="X460">
        <v>2022</v>
      </c>
      <c r="Y460" t="s">
        <v>153</v>
      </c>
      <c r="Z460" t="s">
        <v>54</v>
      </c>
    </row>
    <row r="461" spans="1:26">
      <c r="A461" t="s">
        <v>1182</v>
      </c>
      <c r="B461" t="s">
        <v>27</v>
      </c>
      <c r="C461" t="s">
        <v>102</v>
      </c>
      <c r="D461" t="s">
        <v>29</v>
      </c>
      <c r="E461" t="s">
        <v>45</v>
      </c>
      <c r="F461" t="s">
        <v>95</v>
      </c>
      <c r="G461" t="s">
        <v>32</v>
      </c>
      <c r="H461">
        <v>10</v>
      </c>
      <c r="I461">
        <v>28.8</v>
      </c>
      <c r="J461" t="s">
        <v>96</v>
      </c>
      <c r="K461" t="s">
        <v>965</v>
      </c>
      <c r="L461" t="s">
        <v>35</v>
      </c>
      <c r="M461" t="s">
        <v>1027</v>
      </c>
      <c r="N461" t="s">
        <v>37</v>
      </c>
      <c r="O461">
        <v>122</v>
      </c>
      <c r="P461" t="s">
        <v>2265</v>
      </c>
      <c r="Q461">
        <v>0</v>
      </c>
      <c r="R461">
        <v>500</v>
      </c>
      <c r="S461" t="s">
        <v>2265</v>
      </c>
      <c r="T461" t="s">
        <v>136</v>
      </c>
      <c r="U461" t="s">
        <v>39</v>
      </c>
      <c r="V461" t="s">
        <v>39</v>
      </c>
      <c r="W461" t="s">
        <v>39</v>
      </c>
      <c r="X461">
        <v>2022</v>
      </c>
      <c r="Y461" t="s">
        <v>211</v>
      </c>
      <c r="Z461" t="s">
        <v>41</v>
      </c>
    </row>
    <row r="462" spans="1:26">
      <c r="A462" t="s">
        <v>1183</v>
      </c>
      <c r="B462" t="s">
        <v>93</v>
      </c>
      <c r="C462" t="s">
        <v>44</v>
      </c>
      <c r="D462" t="s">
        <v>77</v>
      </c>
      <c r="E462" t="s">
        <v>94</v>
      </c>
      <c r="F462" t="s">
        <v>95</v>
      </c>
      <c r="G462" t="s">
        <v>58</v>
      </c>
      <c r="H462">
        <v>11</v>
      </c>
      <c r="I462">
        <v>15.7</v>
      </c>
      <c r="J462" t="s">
        <v>156</v>
      </c>
      <c r="K462" t="s">
        <v>750</v>
      </c>
      <c r="L462" t="s">
        <v>35</v>
      </c>
      <c r="M462" t="s">
        <v>1184</v>
      </c>
      <c r="N462" t="s">
        <v>71</v>
      </c>
      <c r="O462">
        <v>178</v>
      </c>
      <c r="P462" t="s">
        <v>105</v>
      </c>
      <c r="Q462">
        <v>4044</v>
      </c>
      <c r="R462">
        <v>0</v>
      </c>
      <c r="S462" t="s">
        <v>73</v>
      </c>
      <c r="T462" t="s">
        <v>51</v>
      </c>
      <c r="U462" t="s">
        <v>52</v>
      </c>
      <c r="V462" t="s">
        <v>52</v>
      </c>
      <c r="W462" t="s">
        <v>39</v>
      </c>
      <c r="X462">
        <v>2023</v>
      </c>
      <c r="Y462" t="s">
        <v>91</v>
      </c>
      <c r="Z462" t="s">
        <v>64</v>
      </c>
    </row>
    <row r="463" spans="1:26">
      <c r="A463" t="s">
        <v>1185</v>
      </c>
      <c r="B463" t="s">
        <v>27</v>
      </c>
      <c r="C463" t="s">
        <v>28</v>
      </c>
      <c r="D463" t="s">
        <v>77</v>
      </c>
      <c r="E463" t="s">
        <v>94</v>
      </c>
      <c r="F463" t="s">
        <v>46</v>
      </c>
      <c r="G463" t="s">
        <v>58</v>
      </c>
      <c r="H463">
        <v>5.6</v>
      </c>
      <c r="I463">
        <v>15.3</v>
      </c>
      <c r="J463" t="s">
        <v>144</v>
      </c>
      <c r="K463" t="s">
        <v>1186</v>
      </c>
      <c r="L463" t="s">
        <v>140</v>
      </c>
      <c r="M463" t="s">
        <v>875</v>
      </c>
      <c r="N463" t="s">
        <v>71</v>
      </c>
      <c r="O463">
        <v>154</v>
      </c>
      <c r="P463" t="s">
        <v>72</v>
      </c>
      <c r="Q463">
        <v>6714</v>
      </c>
      <c r="R463">
        <v>500</v>
      </c>
      <c r="S463" t="s">
        <v>113</v>
      </c>
      <c r="T463" t="s">
        <v>38</v>
      </c>
      <c r="U463" t="s">
        <v>39</v>
      </c>
      <c r="V463" t="s">
        <v>39</v>
      </c>
      <c r="W463" t="s">
        <v>39</v>
      </c>
      <c r="X463">
        <v>2023</v>
      </c>
      <c r="Y463" t="s">
        <v>74</v>
      </c>
      <c r="Z463" t="s">
        <v>54</v>
      </c>
    </row>
    <row r="464" spans="1:26">
      <c r="A464" t="s">
        <v>1187</v>
      </c>
      <c r="B464" t="s">
        <v>27</v>
      </c>
      <c r="C464" t="s">
        <v>121</v>
      </c>
      <c r="D464" t="s">
        <v>77</v>
      </c>
      <c r="E464" t="s">
        <v>363</v>
      </c>
      <c r="F464" t="s">
        <v>68</v>
      </c>
      <c r="G464" t="s">
        <v>58</v>
      </c>
      <c r="H464">
        <v>4.3</v>
      </c>
      <c r="I464">
        <v>17.100000000000001</v>
      </c>
      <c r="J464" t="s">
        <v>33</v>
      </c>
      <c r="K464" t="s">
        <v>1188</v>
      </c>
      <c r="L464" t="s">
        <v>35</v>
      </c>
      <c r="M464" t="s">
        <v>1189</v>
      </c>
      <c r="N464" t="s">
        <v>61</v>
      </c>
      <c r="O464">
        <v>164</v>
      </c>
      <c r="P464" t="s">
        <v>2265</v>
      </c>
      <c r="Q464">
        <v>0</v>
      </c>
      <c r="R464">
        <v>0</v>
      </c>
      <c r="S464" t="s">
        <v>2265</v>
      </c>
      <c r="T464" t="s">
        <v>38</v>
      </c>
      <c r="U464" t="s">
        <v>39</v>
      </c>
      <c r="V464" t="s">
        <v>52</v>
      </c>
      <c r="W464" t="s">
        <v>52</v>
      </c>
      <c r="X464">
        <v>2022</v>
      </c>
      <c r="Y464" t="s">
        <v>114</v>
      </c>
      <c r="Z464" t="s">
        <v>41</v>
      </c>
    </row>
    <row r="465" spans="1:26">
      <c r="A465" t="s">
        <v>1190</v>
      </c>
      <c r="B465" t="s">
        <v>93</v>
      </c>
      <c r="C465" t="s">
        <v>76</v>
      </c>
      <c r="D465" t="s">
        <v>29</v>
      </c>
      <c r="E465" t="s">
        <v>94</v>
      </c>
      <c r="F465" t="s">
        <v>109</v>
      </c>
      <c r="G465" t="s">
        <v>58</v>
      </c>
      <c r="H465">
        <v>3.8</v>
      </c>
      <c r="I465">
        <v>12.3</v>
      </c>
      <c r="J465" t="s">
        <v>33</v>
      </c>
      <c r="K465" t="s">
        <v>1191</v>
      </c>
      <c r="L465" t="s">
        <v>48</v>
      </c>
      <c r="M465" t="s">
        <v>1192</v>
      </c>
      <c r="N465" t="s">
        <v>71</v>
      </c>
      <c r="O465">
        <v>80</v>
      </c>
      <c r="P465" t="s">
        <v>105</v>
      </c>
      <c r="Q465">
        <v>2103</v>
      </c>
      <c r="R465">
        <v>500</v>
      </c>
      <c r="S465" t="s">
        <v>73</v>
      </c>
      <c r="T465" t="s">
        <v>136</v>
      </c>
      <c r="U465" t="s">
        <v>39</v>
      </c>
      <c r="V465" t="s">
        <v>39</v>
      </c>
      <c r="W465" t="s">
        <v>52</v>
      </c>
      <c r="X465">
        <v>2024</v>
      </c>
      <c r="Y465" t="s">
        <v>106</v>
      </c>
      <c r="Z465" t="s">
        <v>83</v>
      </c>
    </row>
    <row r="466" spans="1:26">
      <c r="A466" t="s">
        <v>1193</v>
      </c>
      <c r="B466" t="s">
        <v>27</v>
      </c>
      <c r="C466" t="s">
        <v>67</v>
      </c>
      <c r="D466" t="s">
        <v>77</v>
      </c>
      <c r="E466" t="s">
        <v>143</v>
      </c>
      <c r="F466" t="s">
        <v>31</v>
      </c>
      <c r="G466" t="s">
        <v>32</v>
      </c>
      <c r="H466">
        <v>7.2</v>
      </c>
      <c r="I466">
        <v>11.9</v>
      </c>
      <c r="J466" t="s">
        <v>144</v>
      </c>
      <c r="K466" t="s">
        <v>1111</v>
      </c>
      <c r="L466" t="s">
        <v>60</v>
      </c>
      <c r="M466" t="s">
        <v>762</v>
      </c>
      <c r="N466" t="s">
        <v>50</v>
      </c>
      <c r="O466">
        <v>49</v>
      </c>
      <c r="P466" t="s">
        <v>2265</v>
      </c>
      <c r="Q466">
        <v>0</v>
      </c>
      <c r="R466">
        <v>1000</v>
      </c>
      <c r="S466" t="s">
        <v>2265</v>
      </c>
      <c r="T466" t="s">
        <v>81</v>
      </c>
      <c r="U466" t="s">
        <v>39</v>
      </c>
      <c r="V466" t="s">
        <v>52</v>
      </c>
      <c r="W466" t="s">
        <v>39</v>
      </c>
      <c r="X466">
        <v>2023</v>
      </c>
      <c r="Y466" t="s">
        <v>63</v>
      </c>
      <c r="Z466" t="s">
        <v>64</v>
      </c>
    </row>
    <row r="467" spans="1:26">
      <c r="A467" t="s">
        <v>1194</v>
      </c>
      <c r="B467" t="s">
        <v>108</v>
      </c>
      <c r="C467" t="s">
        <v>67</v>
      </c>
      <c r="D467" t="s">
        <v>77</v>
      </c>
      <c r="E467" t="s">
        <v>363</v>
      </c>
      <c r="F467" t="s">
        <v>57</v>
      </c>
      <c r="G467" t="s">
        <v>58</v>
      </c>
      <c r="H467">
        <v>5.7</v>
      </c>
      <c r="I467">
        <v>7.9</v>
      </c>
      <c r="J467" t="s">
        <v>144</v>
      </c>
      <c r="K467" t="s">
        <v>1195</v>
      </c>
      <c r="L467" t="s">
        <v>48</v>
      </c>
      <c r="M467" t="s">
        <v>1196</v>
      </c>
      <c r="N467" t="s">
        <v>37</v>
      </c>
      <c r="O467">
        <v>164</v>
      </c>
      <c r="P467" t="s">
        <v>2265</v>
      </c>
      <c r="Q467">
        <v>0</v>
      </c>
      <c r="R467">
        <v>0</v>
      </c>
      <c r="S467" t="s">
        <v>2265</v>
      </c>
      <c r="T467" t="s">
        <v>38</v>
      </c>
      <c r="U467" t="s">
        <v>39</v>
      </c>
      <c r="V467" t="s">
        <v>39</v>
      </c>
      <c r="W467" t="s">
        <v>39</v>
      </c>
      <c r="X467">
        <v>2022</v>
      </c>
      <c r="Y467" t="s">
        <v>106</v>
      </c>
      <c r="Z467" t="s">
        <v>83</v>
      </c>
    </row>
    <row r="468" spans="1:26">
      <c r="A468" t="s">
        <v>1197</v>
      </c>
      <c r="B468" t="s">
        <v>93</v>
      </c>
      <c r="C468" t="s">
        <v>76</v>
      </c>
      <c r="D468" t="s">
        <v>122</v>
      </c>
      <c r="E468" t="s">
        <v>123</v>
      </c>
      <c r="F468" t="s">
        <v>238</v>
      </c>
      <c r="G468" t="s">
        <v>58</v>
      </c>
      <c r="H468">
        <v>5.3</v>
      </c>
      <c r="I468">
        <v>22.3</v>
      </c>
      <c r="J468" t="s">
        <v>33</v>
      </c>
      <c r="K468" t="s">
        <v>532</v>
      </c>
      <c r="L468" t="s">
        <v>60</v>
      </c>
      <c r="M468" t="s">
        <v>569</v>
      </c>
      <c r="N468" t="s">
        <v>61</v>
      </c>
      <c r="O468">
        <v>37</v>
      </c>
      <c r="P468" t="s">
        <v>2265</v>
      </c>
      <c r="Q468">
        <v>0</v>
      </c>
      <c r="R468">
        <v>0</v>
      </c>
      <c r="S468" t="s">
        <v>2265</v>
      </c>
      <c r="T468" t="s">
        <v>81</v>
      </c>
      <c r="U468" t="s">
        <v>39</v>
      </c>
      <c r="V468" t="s">
        <v>52</v>
      </c>
      <c r="W468" t="s">
        <v>52</v>
      </c>
      <c r="X468">
        <v>2022</v>
      </c>
      <c r="Y468" t="s">
        <v>211</v>
      </c>
      <c r="Z468" t="s">
        <v>41</v>
      </c>
    </row>
    <row r="469" spans="1:26">
      <c r="A469" t="s">
        <v>1198</v>
      </c>
      <c r="B469" t="s">
        <v>116</v>
      </c>
      <c r="C469" t="s">
        <v>76</v>
      </c>
      <c r="D469" t="s">
        <v>122</v>
      </c>
      <c r="E469" t="s">
        <v>202</v>
      </c>
      <c r="F469" t="s">
        <v>68</v>
      </c>
      <c r="G469" t="s">
        <v>32</v>
      </c>
      <c r="H469">
        <v>2.2000000000000002</v>
      </c>
      <c r="I469">
        <v>9.5</v>
      </c>
      <c r="J469" t="s">
        <v>156</v>
      </c>
      <c r="K469" t="s">
        <v>472</v>
      </c>
      <c r="L469" t="s">
        <v>35</v>
      </c>
      <c r="M469" t="s">
        <v>1170</v>
      </c>
      <c r="N469" t="s">
        <v>37</v>
      </c>
      <c r="O469">
        <v>46</v>
      </c>
      <c r="P469" t="s">
        <v>2265</v>
      </c>
      <c r="Q469">
        <v>0</v>
      </c>
      <c r="R469">
        <v>0</v>
      </c>
      <c r="S469" t="s">
        <v>2265</v>
      </c>
      <c r="T469" t="s">
        <v>51</v>
      </c>
      <c r="U469" t="s">
        <v>39</v>
      </c>
      <c r="V469" t="s">
        <v>52</v>
      </c>
      <c r="W469" t="s">
        <v>52</v>
      </c>
      <c r="X469">
        <v>2023</v>
      </c>
      <c r="Y469" t="s">
        <v>53</v>
      </c>
      <c r="Z469" t="s">
        <v>54</v>
      </c>
    </row>
    <row r="470" spans="1:26">
      <c r="A470" t="s">
        <v>1199</v>
      </c>
      <c r="B470" t="s">
        <v>66</v>
      </c>
      <c r="C470" t="s">
        <v>28</v>
      </c>
      <c r="D470" t="s">
        <v>77</v>
      </c>
      <c r="E470" t="s">
        <v>260</v>
      </c>
      <c r="F470" t="s">
        <v>95</v>
      </c>
      <c r="G470" t="s">
        <v>58</v>
      </c>
      <c r="H470">
        <v>12</v>
      </c>
      <c r="I470">
        <v>30.9</v>
      </c>
      <c r="J470" t="s">
        <v>33</v>
      </c>
      <c r="K470" t="s">
        <v>274</v>
      </c>
      <c r="L470" t="s">
        <v>48</v>
      </c>
      <c r="M470" t="s">
        <v>1200</v>
      </c>
      <c r="N470" t="s">
        <v>71</v>
      </c>
      <c r="O470">
        <v>170</v>
      </c>
      <c r="P470" t="s">
        <v>89</v>
      </c>
      <c r="Q470">
        <v>7316</v>
      </c>
      <c r="R470">
        <v>5000</v>
      </c>
      <c r="S470" t="s">
        <v>90</v>
      </c>
      <c r="T470" t="s">
        <v>51</v>
      </c>
      <c r="U470" t="s">
        <v>39</v>
      </c>
      <c r="V470" t="s">
        <v>52</v>
      </c>
      <c r="W470" t="s">
        <v>52</v>
      </c>
      <c r="X470">
        <v>2024</v>
      </c>
      <c r="Y470" t="s">
        <v>82</v>
      </c>
      <c r="Z470" t="s">
        <v>83</v>
      </c>
    </row>
    <row r="471" spans="1:26">
      <c r="A471" t="s">
        <v>1201</v>
      </c>
      <c r="B471" t="s">
        <v>116</v>
      </c>
      <c r="C471" t="s">
        <v>173</v>
      </c>
      <c r="D471" t="s">
        <v>77</v>
      </c>
      <c r="E471" t="s">
        <v>220</v>
      </c>
      <c r="F471" t="s">
        <v>68</v>
      </c>
      <c r="G471" t="s">
        <v>32</v>
      </c>
      <c r="H471">
        <v>9.5</v>
      </c>
      <c r="I471">
        <v>11.8</v>
      </c>
      <c r="J471" t="s">
        <v>33</v>
      </c>
      <c r="K471" t="s">
        <v>1202</v>
      </c>
      <c r="L471" t="s">
        <v>98</v>
      </c>
      <c r="M471" t="s">
        <v>825</v>
      </c>
      <c r="N471" t="s">
        <v>61</v>
      </c>
      <c r="O471">
        <v>138</v>
      </c>
      <c r="P471" t="s">
        <v>2265</v>
      </c>
      <c r="Q471">
        <v>0</v>
      </c>
      <c r="R471">
        <v>0</v>
      </c>
      <c r="S471" t="s">
        <v>2265</v>
      </c>
      <c r="T471" t="s">
        <v>38</v>
      </c>
      <c r="U471" t="s">
        <v>52</v>
      </c>
      <c r="V471" t="s">
        <v>52</v>
      </c>
      <c r="W471" t="s">
        <v>39</v>
      </c>
      <c r="X471">
        <v>2023</v>
      </c>
      <c r="Y471" t="s">
        <v>106</v>
      </c>
      <c r="Z471" t="s">
        <v>83</v>
      </c>
    </row>
    <row r="472" spans="1:26">
      <c r="A472" t="s">
        <v>1203</v>
      </c>
      <c r="B472" t="s">
        <v>27</v>
      </c>
      <c r="C472" t="s">
        <v>121</v>
      </c>
      <c r="D472" t="s">
        <v>77</v>
      </c>
      <c r="E472" t="s">
        <v>94</v>
      </c>
      <c r="F472" t="s">
        <v>149</v>
      </c>
      <c r="G472" t="s">
        <v>32</v>
      </c>
      <c r="H472">
        <v>2.2000000000000002</v>
      </c>
      <c r="I472">
        <v>25.1</v>
      </c>
      <c r="J472" t="s">
        <v>33</v>
      </c>
      <c r="K472" t="s">
        <v>1204</v>
      </c>
      <c r="L472" t="s">
        <v>140</v>
      </c>
      <c r="M472" t="s">
        <v>127</v>
      </c>
      <c r="N472" t="s">
        <v>50</v>
      </c>
      <c r="O472">
        <v>96</v>
      </c>
      <c r="P472" t="s">
        <v>2265</v>
      </c>
      <c r="Q472">
        <v>0</v>
      </c>
      <c r="R472">
        <v>1000</v>
      </c>
      <c r="S472" t="s">
        <v>2265</v>
      </c>
      <c r="T472" t="s">
        <v>136</v>
      </c>
      <c r="U472" t="s">
        <v>39</v>
      </c>
      <c r="V472" t="s">
        <v>39</v>
      </c>
      <c r="W472" t="s">
        <v>52</v>
      </c>
      <c r="X472">
        <v>2024</v>
      </c>
      <c r="Y472" t="s">
        <v>128</v>
      </c>
      <c r="Z472" t="s">
        <v>64</v>
      </c>
    </row>
    <row r="473" spans="1:26">
      <c r="A473" t="s">
        <v>1205</v>
      </c>
      <c r="B473" t="s">
        <v>43</v>
      </c>
      <c r="C473" t="s">
        <v>67</v>
      </c>
      <c r="D473" t="s">
        <v>77</v>
      </c>
      <c r="E473" t="s">
        <v>78</v>
      </c>
      <c r="F473" t="s">
        <v>160</v>
      </c>
      <c r="G473" t="s">
        <v>58</v>
      </c>
      <c r="H473">
        <v>5.2</v>
      </c>
      <c r="I473">
        <v>13.5</v>
      </c>
      <c r="J473" t="s">
        <v>33</v>
      </c>
      <c r="K473" t="s">
        <v>282</v>
      </c>
      <c r="L473" t="s">
        <v>35</v>
      </c>
      <c r="M473" t="s">
        <v>785</v>
      </c>
      <c r="N473" t="s">
        <v>37</v>
      </c>
      <c r="O473">
        <v>102</v>
      </c>
      <c r="P473" t="s">
        <v>2265</v>
      </c>
      <c r="Q473">
        <v>0</v>
      </c>
      <c r="R473">
        <v>500</v>
      </c>
      <c r="S473" t="s">
        <v>2265</v>
      </c>
      <c r="T473" t="s">
        <v>51</v>
      </c>
      <c r="U473" t="s">
        <v>52</v>
      </c>
      <c r="V473" t="s">
        <v>52</v>
      </c>
      <c r="W473" t="s">
        <v>52</v>
      </c>
      <c r="X473">
        <v>2023</v>
      </c>
      <c r="Y473" t="s">
        <v>74</v>
      </c>
      <c r="Z473" t="s">
        <v>54</v>
      </c>
    </row>
    <row r="474" spans="1:26">
      <c r="A474" t="s">
        <v>1206</v>
      </c>
      <c r="B474" t="s">
        <v>108</v>
      </c>
      <c r="C474" t="s">
        <v>67</v>
      </c>
      <c r="D474" t="s">
        <v>77</v>
      </c>
      <c r="E474" t="s">
        <v>220</v>
      </c>
      <c r="F474" t="s">
        <v>149</v>
      </c>
      <c r="G474" t="s">
        <v>32</v>
      </c>
      <c r="H474">
        <v>5.2</v>
      </c>
      <c r="I474">
        <v>16.600000000000001</v>
      </c>
      <c r="J474" t="s">
        <v>33</v>
      </c>
      <c r="K474" t="s">
        <v>1207</v>
      </c>
      <c r="L474" t="s">
        <v>126</v>
      </c>
      <c r="M474" t="s">
        <v>873</v>
      </c>
      <c r="N474" t="s">
        <v>171</v>
      </c>
      <c r="O474">
        <v>132</v>
      </c>
      <c r="P474" t="s">
        <v>2265</v>
      </c>
      <c r="Q474">
        <v>0</v>
      </c>
      <c r="R474">
        <v>0</v>
      </c>
      <c r="S474" t="s">
        <v>2265</v>
      </c>
      <c r="T474" t="s">
        <v>38</v>
      </c>
      <c r="U474" t="s">
        <v>39</v>
      </c>
      <c r="V474" t="s">
        <v>52</v>
      </c>
      <c r="W474" t="s">
        <v>52</v>
      </c>
      <c r="X474">
        <v>2024</v>
      </c>
      <c r="Y474" t="s">
        <v>211</v>
      </c>
      <c r="Z474" t="s">
        <v>41</v>
      </c>
    </row>
    <row r="475" spans="1:26">
      <c r="A475" t="s">
        <v>1208</v>
      </c>
      <c r="B475" t="s">
        <v>116</v>
      </c>
      <c r="C475" t="s">
        <v>173</v>
      </c>
      <c r="D475" t="s">
        <v>29</v>
      </c>
      <c r="E475" t="s">
        <v>94</v>
      </c>
      <c r="F475" t="s">
        <v>124</v>
      </c>
      <c r="G475" t="s">
        <v>58</v>
      </c>
      <c r="H475">
        <v>6.1</v>
      </c>
      <c r="I475">
        <v>19.399999999999999</v>
      </c>
      <c r="J475" t="s">
        <v>33</v>
      </c>
      <c r="K475" t="s">
        <v>1209</v>
      </c>
      <c r="L475" t="s">
        <v>35</v>
      </c>
      <c r="M475" t="s">
        <v>235</v>
      </c>
      <c r="N475" t="s">
        <v>71</v>
      </c>
      <c r="O475">
        <v>92</v>
      </c>
      <c r="P475" t="s">
        <v>72</v>
      </c>
      <c r="Q475">
        <v>2706</v>
      </c>
      <c r="R475">
        <v>5000</v>
      </c>
      <c r="S475" t="s">
        <v>73</v>
      </c>
      <c r="T475" t="s">
        <v>62</v>
      </c>
      <c r="U475" t="s">
        <v>39</v>
      </c>
      <c r="V475" t="s">
        <v>52</v>
      </c>
      <c r="W475" t="s">
        <v>52</v>
      </c>
      <c r="X475">
        <v>2022</v>
      </c>
      <c r="Y475" t="s">
        <v>153</v>
      </c>
      <c r="Z475" t="s">
        <v>54</v>
      </c>
    </row>
    <row r="476" spans="1:26">
      <c r="A476" t="s">
        <v>1210</v>
      </c>
      <c r="B476" t="s">
        <v>43</v>
      </c>
      <c r="C476" t="s">
        <v>173</v>
      </c>
      <c r="D476" t="s">
        <v>122</v>
      </c>
      <c r="E476" t="s">
        <v>155</v>
      </c>
      <c r="F476" t="s">
        <v>238</v>
      </c>
      <c r="G476" t="s">
        <v>32</v>
      </c>
      <c r="H476">
        <v>2.4</v>
      </c>
      <c r="I476">
        <v>21.3</v>
      </c>
      <c r="J476" t="s">
        <v>33</v>
      </c>
      <c r="K476" t="s">
        <v>1086</v>
      </c>
      <c r="L476" t="s">
        <v>60</v>
      </c>
      <c r="M476" t="s">
        <v>1145</v>
      </c>
      <c r="N476" t="s">
        <v>61</v>
      </c>
      <c r="O476">
        <v>175</v>
      </c>
      <c r="P476" t="s">
        <v>2265</v>
      </c>
      <c r="Q476">
        <v>0</v>
      </c>
      <c r="R476">
        <v>0</v>
      </c>
      <c r="S476" t="s">
        <v>2265</v>
      </c>
      <c r="T476" t="s">
        <v>136</v>
      </c>
      <c r="U476" t="s">
        <v>52</v>
      </c>
      <c r="V476" t="s">
        <v>52</v>
      </c>
      <c r="W476" t="s">
        <v>39</v>
      </c>
      <c r="X476">
        <v>2023</v>
      </c>
      <c r="Y476" t="s">
        <v>114</v>
      </c>
      <c r="Z476" t="s">
        <v>41</v>
      </c>
    </row>
    <row r="477" spans="1:26">
      <c r="A477" t="s">
        <v>1211</v>
      </c>
      <c r="B477" t="s">
        <v>27</v>
      </c>
      <c r="C477" t="s">
        <v>121</v>
      </c>
      <c r="D477" t="s">
        <v>77</v>
      </c>
      <c r="E477" t="s">
        <v>216</v>
      </c>
      <c r="F477" t="s">
        <v>149</v>
      </c>
      <c r="G477" t="s">
        <v>32</v>
      </c>
      <c r="H477">
        <v>5.7</v>
      </c>
      <c r="I477">
        <v>18.3</v>
      </c>
      <c r="J477" t="s">
        <v>96</v>
      </c>
      <c r="K477" t="s">
        <v>308</v>
      </c>
      <c r="L477" t="s">
        <v>35</v>
      </c>
      <c r="M477" t="s">
        <v>318</v>
      </c>
      <c r="N477" t="s">
        <v>37</v>
      </c>
      <c r="O477">
        <v>59</v>
      </c>
      <c r="P477" t="s">
        <v>2265</v>
      </c>
      <c r="Q477">
        <v>0</v>
      </c>
      <c r="R477">
        <v>0</v>
      </c>
      <c r="S477" t="s">
        <v>2265</v>
      </c>
      <c r="T477" t="s">
        <v>51</v>
      </c>
      <c r="U477" t="s">
        <v>39</v>
      </c>
      <c r="V477" t="s">
        <v>52</v>
      </c>
      <c r="W477" t="s">
        <v>52</v>
      </c>
      <c r="X477">
        <v>2024</v>
      </c>
      <c r="Y477" t="s">
        <v>312</v>
      </c>
      <c r="Z477" t="s">
        <v>83</v>
      </c>
    </row>
    <row r="478" spans="1:26">
      <c r="A478" t="s">
        <v>1212</v>
      </c>
      <c r="B478" t="s">
        <v>66</v>
      </c>
      <c r="C478" t="s">
        <v>76</v>
      </c>
      <c r="D478" t="s">
        <v>77</v>
      </c>
      <c r="E478" t="s">
        <v>78</v>
      </c>
      <c r="F478" t="s">
        <v>149</v>
      </c>
      <c r="G478" t="s">
        <v>32</v>
      </c>
      <c r="H478">
        <v>7</v>
      </c>
      <c r="I478">
        <v>4.9000000000000004</v>
      </c>
      <c r="J478" t="s">
        <v>33</v>
      </c>
      <c r="K478" t="s">
        <v>199</v>
      </c>
      <c r="L478" t="s">
        <v>48</v>
      </c>
      <c r="M478" t="s">
        <v>905</v>
      </c>
      <c r="N478" t="s">
        <v>71</v>
      </c>
      <c r="O478">
        <v>143</v>
      </c>
      <c r="P478" t="s">
        <v>112</v>
      </c>
      <c r="Q478">
        <v>6069</v>
      </c>
      <c r="R478">
        <v>0</v>
      </c>
      <c r="S478" t="s">
        <v>90</v>
      </c>
      <c r="T478" t="s">
        <v>136</v>
      </c>
      <c r="U478" t="s">
        <v>39</v>
      </c>
      <c r="V478" t="s">
        <v>52</v>
      </c>
      <c r="W478" t="s">
        <v>39</v>
      </c>
      <c r="X478">
        <v>2024</v>
      </c>
      <c r="Y478" t="s">
        <v>40</v>
      </c>
      <c r="Z478" t="s">
        <v>41</v>
      </c>
    </row>
    <row r="479" spans="1:26">
      <c r="A479" t="s">
        <v>1213</v>
      </c>
      <c r="B479" t="s">
        <v>27</v>
      </c>
      <c r="C479" t="s">
        <v>44</v>
      </c>
      <c r="D479" t="s">
        <v>77</v>
      </c>
      <c r="E479" t="s">
        <v>220</v>
      </c>
      <c r="F479" t="s">
        <v>57</v>
      </c>
      <c r="G479" t="s">
        <v>58</v>
      </c>
      <c r="H479">
        <v>6.9</v>
      </c>
      <c r="I479">
        <v>28.1</v>
      </c>
      <c r="J479" t="s">
        <v>144</v>
      </c>
      <c r="K479" t="s">
        <v>1214</v>
      </c>
      <c r="L479" t="s">
        <v>35</v>
      </c>
      <c r="M479" t="s">
        <v>1215</v>
      </c>
      <c r="N479" t="s">
        <v>171</v>
      </c>
      <c r="O479">
        <v>40</v>
      </c>
      <c r="P479" t="s">
        <v>2265</v>
      </c>
      <c r="Q479">
        <v>0</v>
      </c>
      <c r="R479">
        <v>0</v>
      </c>
      <c r="S479" t="s">
        <v>2265</v>
      </c>
      <c r="T479" t="s">
        <v>62</v>
      </c>
      <c r="U479" t="s">
        <v>52</v>
      </c>
      <c r="V479" t="s">
        <v>39</v>
      </c>
      <c r="W479" t="s">
        <v>52</v>
      </c>
      <c r="X479">
        <v>2022</v>
      </c>
      <c r="Y479" t="s">
        <v>91</v>
      </c>
      <c r="Z479" t="s">
        <v>64</v>
      </c>
    </row>
    <row r="480" spans="1:26">
      <c r="A480" t="s">
        <v>1216</v>
      </c>
      <c r="B480" t="s">
        <v>27</v>
      </c>
      <c r="C480" t="s">
        <v>164</v>
      </c>
      <c r="D480" t="s">
        <v>29</v>
      </c>
      <c r="E480" t="s">
        <v>56</v>
      </c>
      <c r="F480" t="s">
        <v>238</v>
      </c>
      <c r="G480" t="s">
        <v>32</v>
      </c>
      <c r="H480">
        <v>1.2</v>
      </c>
      <c r="I480">
        <v>4.0999999999999996</v>
      </c>
      <c r="J480" t="s">
        <v>33</v>
      </c>
      <c r="K480" t="s">
        <v>1217</v>
      </c>
      <c r="L480" t="s">
        <v>48</v>
      </c>
      <c r="M480" t="s">
        <v>757</v>
      </c>
      <c r="N480" t="s">
        <v>61</v>
      </c>
      <c r="O480">
        <v>164</v>
      </c>
      <c r="P480" t="s">
        <v>2265</v>
      </c>
      <c r="Q480">
        <v>0</v>
      </c>
      <c r="R480">
        <v>0</v>
      </c>
      <c r="S480" t="s">
        <v>2265</v>
      </c>
      <c r="T480" t="s">
        <v>81</v>
      </c>
      <c r="U480" t="s">
        <v>39</v>
      </c>
      <c r="V480" t="s">
        <v>52</v>
      </c>
      <c r="W480" t="s">
        <v>52</v>
      </c>
      <c r="X480">
        <v>2024</v>
      </c>
      <c r="Y480" t="s">
        <v>40</v>
      </c>
      <c r="Z480" t="s">
        <v>41</v>
      </c>
    </row>
    <row r="481" spans="1:26">
      <c r="A481" t="s">
        <v>1218</v>
      </c>
      <c r="B481" t="s">
        <v>93</v>
      </c>
      <c r="C481" t="s">
        <v>44</v>
      </c>
      <c r="D481" t="s">
        <v>77</v>
      </c>
      <c r="E481" t="s">
        <v>363</v>
      </c>
      <c r="F481" t="s">
        <v>57</v>
      </c>
      <c r="G481" t="s">
        <v>58</v>
      </c>
      <c r="H481">
        <v>4.5</v>
      </c>
      <c r="I481">
        <v>0.9</v>
      </c>
      <c r="J481" t="s">
        <v>33</v>
      </c>
      <c r="K481" t="s">
        <v>793</v>
      </c>
      <c r="L481" t="s">
        <v>48</v>
      </c>
      <c r="M481" t="s">
        <v>1219</v>
      </c>
      <c r="N481" t="s">
        <v>71</v>
      </c>
      <c r="O481">
        <v>169</v>
      </c>
      <c r="P481" t="s">
        <v>105</v>
      </c>
      <c r="Q481">
        <v>6724</v>
      </c>
      <c r="R481">
        <v>0</v>
      </c>
      <c r="S481" t="s">
        <v>90</v>
      </c>
      <c r="T481" t="s">
        <v>136</v>
      </c>
      <c r="U481" t="s">
        <v>39</v>
      </c>
      <c r="V481" t="s">
        <v>52</v>
      </c>
      <c r="W481" t="s">
        <v>52</v>
      </c>
      <c r="X481">
        <v>2023</v>
      </c>
      <c r="Y481" t="s">
        <v>211</v>
      </c>
      <c r="Z481" t="s">
        <v>41</v>
      </c>
    </row>
    <row r="482" spans="1:26">
      <c r="A482" t="s">
        <v>1220</v>
      </c>
      <c r="B482" t="s">
        <v>27</v>
      </c>
      <c r="C482" t="s">
        <v>102</v>
      </c>
      <c r="D482" t="s">
        <v>77</v>
      </c>
      <c r="E482" t="s">
        <v>363</v>
      </c>
      <c r="F482" t="s">
        <v>109</v>
      </c>
      <c r="G482" t="s">
        <v>32</v>
      </c>
      <c r="H482">
        <v>7.3</v>
      </c>
      <c r="I482">
        <v>32.9</v>
      </c>
      <c r="J482" t="s">
        <v>33</v>
      </c>
      <c r="K482" t="s">
        <v>360</v>
      </c>
      <c r="L482" t="s">
        <v>48</v>
      </c>
      <c r="M482" t="s">
        <v>1221</v>
      </c>
      <c r="N482" t="s">
        <v>50</v>
      </c>
      <c r="O482">
        <v>111</v>
      </c>
      <c r="P482" t="s">
        <v>2265</v>
      </c>
      <c r="Q482">
        <v>0</v>
      </c>
      <c r="R482">
        <v>0</v>
      </c>
      <c r="S482" t="s">
        <v>2265</v>
      </c>
      <c r="T482" t="s">
        <v>38</v>
      </c>
      <c r="U482" t="s">
        <v>39</v>
      </c>
      <c r="V482" t="s">
        <v>52</v>
      </c>
      <c r="W482" t="s">
        <v>39</v>
      </c>
      <c r="X482">
        <v>2023</v>
      </c>
      <c r="Y482" t="s">
        <v>114</v>
      </c>
      <c r="Z482" t="s">
        <v>41</v>
      </c>
    </row>
    <row r="483" spans="1:26">
      <c r="A483" t="s">
        <v>1222</v>
      </c>
      <c r="B483" t="s">
        <v>108</v>
      </c>
      <c r="C483" t="s">
        <v>121</v>
      </c>
      <c r="D483" t="s">
        <v>85</v>
      </c>
      <c r="E483" t="s">
        <v>138</v>
      </c>
      <c r="F483" t="s">
        <v>31</v>
      </c>
      <c r="G483" t="s">
        <v>58</v>
      </c>
      <c r="H483">
        <v>10.9</v>
      </c>
      <c r="I483">
        <v>30.8</v>
      </c>
      <c r="J483" t="s">
        <v>156</v>
      </c>
      <c r="K483" t="s">
        <v>421</v>
      </c>
      <c r="L483" t="s">
        <v>35</v>
      </c>
      <c r="M483" t="s">
        <v>1223</v>
      </c>
      <c r="N483" t="s">
        <v>171</v>
      </c>
      <c r="O483">
        <v>135</v>
      </c>
      <c r="P483" t="s">
        <v>2265</v>
      </c>
      <c r="Q483">
        <v>0</v>
      </c>
      <c r="R483">
        <v>0</v>
      </c>
      <c r="S483" t="s">
        <v>2265</v>
      </c>
      <c r="T483" t="s">
        <v>51</v>
      </c>
      <c r="U483" t="s">
        <v>52</v>
      </c>
      <c r="V483" t="s">
        <v>52</v>
      </c>
      <c r="W483" t="s">
        <v>52</v>
      </c>
      <c r="X483">
        <v>2023</v>
      </c>
      <c r="Y483" t="s">
        <v>53</v>
      </c>
      <c r="Z483" t="s">
        <v>54</v>
      </c>
    </row>
    <row r="484" spans="1:26">
      <c r="A484" t="s">
        <v>1224</v>
      </c>
      <c r="B484" t="s">
        <v>108</v>
      </c>
      <c r="C484" t="s">
        <v>44</v>
      </c>
      <c r="D484" t="s">
        <v>85</v>
      </c>
      <c r="E484" t="s">
        <v>138</v>
      </c>
      <c r="F484" t="s">
        <v>68</v>
      </c>
      <c r="G484" t="s">
        <v>58</v>
      </c>
      <c r="H484">
        <v>10.8</v>
      </c>
      <c r="I484">
        <v>25.8</v>
      </c>
      <c r="J484" t="s">
        <v>144</v>
      </c>
      <c r="K484" t="s">
        <v>257</v>
      </c>
      <c r="L484" t="s">
        <v>98</v>
      </c>
      <c r="M484" t="s">
        <v>1225</v>
      </c>
      <c r="N484" t="s">
        <v>37</v>
      </c>
      <c r="O484">
        <v>107</v>
      </c>
      <c r="P484" t="s">
        <v>2265</v>
      </c>
      <c r="Q484">
        <v>0</v>
      </c>
      <c r="R484">
        <v>0</v>
      </c>
      <c r="S484" t="s">
        <v>2265</v>
      </c>
      <c r="T484" t="s">
        <v>38</v>
      </c>
      <c r="U484" t="s">
        <v>39</v>
      </c>
      <c r="V484" t="s">
        <v>39</v>
      </c>
      <c r="W484" t="s">
        <v>52</v>
      </c>
      <c r="X484">
        <v>2022</v>
      </c>
      <c r="Y484" t="s">
        <v>63</v>
      </c>
      <c r="Z484" t="s">
        <v>64</v>
      </c>
    </row>
    <row r="485" spans="1:26">
      <c r="A485" t="s">
        <v>1226</v>
      </c>
      <c r="B485" t="s">
        <v>116</v>
      </c>
      <c r="C485" t="s">
        <v>67</v>
      </c>
      <c r="D485" t="s">
        <v>29</v>
      </c>
      <c r="E485" t="s">
        <v>56</v>
      </c>
      <c r="F485" t="s">
        <v>95</v>
      </c>
      <c r="G485" t="s">
        <v>58</v>
      </c>
      <c r="H485">
        <v>5</v>
      </c>
      <c r="I485">
        <v>26.8</v>
      </c>
      <c r="J485" t="s">
        <v>20</v>
      </c>
      <c r="K485" t="s">
        <v>1227</v>
      </c>
      <c r="L485" t="s">
        <v>60</v>
      </c>
      <c r="M485" t="s">
        <v>1023</v>
      </c>
      <c r="N485" t="s">
        <v>37</v>
      </c>
      <c r="O485">
        <v>179</v>
      </c>
      <c r="P485" t="s">
        <v>2265</v>
      </c>
      <c r="Q485">
        <v>0</v>
      </c>
      <c r="R485">
        <v>1000</v>
      </c>
      <c r="S485" t="s">
        <v>2265</v>
      </c>
      <c r="T485" t="s">
        <v>136</v>
      </c>
      <c r="U485" t="s">
        <v>52</v>
      </c>
      <c r="V485" t="s">
        <v>39</v>
      </c>
      <c r="W485" t="s">
        <v>52</v>
      </c>
      <c r="X485">
        <v>2022</v>
      </c>
      <c r="Y485" t="s">
        <v>53</v>
      </c>
      <c r="Z485" t="s">
        <v>54</v>
      </c>
    </row>
    <row r="486" spans="1:26">
      <c r="A486" t="s">
        <v>1228</v>
      </c>
      <c r="B486" t="s">
        <v>43</v>
      </c>
      <c r="C486" t="s">
        <v>44</v>
      </c>
      <c r="D486" t="s">
        <v>77</v>
      </c>
      <c r="E486" t="s">
        <v>220</v>
      </c>
      <c r="F486" t="s">
        <v>238</v>
      </c>
      <c r="G486" t="s">
        <v>58</v>
      </c>
      <c r="H486">
        <v>4.2</v>
      </c>
      <c r="I486">
        <v>14.3</v>
      </c>
      <c r="J486" t="s">
        <v>33</v>
      </c>
      <c r="K486" t="s">
        <v>466</v>
      </c>
      <c r="L486" t="s">
        <v>35</v>
      </c>
      <c r="M486" t="s">
        <v>994</v>
      </c>
      <c r="N486" t="s">
        <v>71</v>
      </c>
      <c r="O486">
        <v>7</v>
      </c>
      <c r="P486" t="s">
        <v>89</v>
      </c>
      <c r="Q486">
        <v>6783</v>
      </c>
      <c r="R486">
        <v>500</v>
      </c>
      <c r="S486" t="s">
        <v>152</v>
      </c>
      <c r="T486" t="s">
        <v>136</v>
      </c>
      <c r="U486" t="s">
        <v>52</v>
      </c>
      <c r="V486" t="s">
        <v>52</v>
      </c>
      <c r="W486" t="s">
        <v>39</v>
      </c>
      <c r="X486">
        <v>2024</v>
      </c>
      <c r="Y486" t="s">
        <v>211</v>
      </c>
      <c r="Z486" t="s">
        <v>41</v>
      </c>
    </row>
    <row r="487" spans="1:26">
      <c r="A487" t="s">
        <v>1229</v>
      </c>
      <c r="B487" t="s">
        <v>116</v>
      </c>
      <c r="C487" t="s">
        <v>28</v>
      </c>
      <c r="D487" t="s">
        <v>29</v>
      </c>
      <c r="E487" t="s">
        <v>244</v>
      </c>
      <c r="F487" t="s">
        <v>68</v>
      </c>
      <c r="G487" t="s">
        <v>32</v>
      </c>
      <c r="H487">
        <v>3.4</v>
      </c>
      <c r="I487">
        <v>6.1</v>
      </c>
      <c r="J487" t="s">
        <v>33</v>
      </c>
      <c r="K487" t="s">
        <v>767</v>
      </c>
      <c r="L487" t="s">
        <v>140</v>
      </c>
      <c r="M487" t="s">
        <v>543</v>
      </c>
      <c r="N487" t="s">
        <v>71</v>
      </c>
      <c r="O487">
        <v>113</v>
      </c>
      <c r="P487" t="s">
        <v>112</v>
      </c>
      <c r="Q487">
        <v>3428</v>
      </c>
      <c r="R487">
        <v>5000</v>
      </c>
      <c r="S487" t="s">
        <v>113</v>
      </c>
      <c r="T487" t="s">
        <v>38</v>
      </c>
      <c r="U487" t="s">
        <v>39</v>
      </c>
      <c r="V487" t="s">
        <v>52</v>
      </c>
      <c r="W487" t="s">
        <v>52</v>
      </c>
      <c r="X487">
        <v>2023</v>
      </c>
      <c r="Y487" t="s">
        <v>53</v>
      </c>
      <c r="Z487" t="s">
        <v>54</v>
      </c>
    </row>
    <row r="488" spans="1:26">
      <c r="A488" t="s">
        <v>1230</v>
      </c>
      <c r="B488" t="s">
        <v>108</v>
      </c>
      <c r="C488" t="s">
        <v>76</v>
      </c>
      <c r="D488" t="s">
        <v>77</v>
      </c>
      <c r="E488" t="s">
        <v>78</v>
      </c>
      <c r="F488" t="s">
        <v>109</v>
      </c>
      <c r="G488" t="s">
        <v>58</v>
      </c>
      <c r="H488">
        <v>10.7</v>
      </c>
      <c r="I488">
        <v>18.899999999999999</v>
      </c>
      <c r="J488" t="s">
        <v>144</v>
      </c>
      <c r="K488" t="s">
        <v>1162</v>
      </c>
      <c r="L488" t="s">
        <v>98</v>
      </c>
      <c r="M488" t="s">
        <v>1231</v>
      </c>
      <c r="N488" t="s">
        <v>37</v>
      </c>
      <c r="O488">
        <v>46</v>
      </c>
      <c r="P488" t="s">
        <v>2265</v>
      </c>
      <c r="Q488">
        <v>0</v>
      </c>
      <c r="R488">
        <v>0</v>
      </c>
      <c r="S488" t="s">
        <v>2265</v>
      </c>
      <c r="T488" t="s">
        <v>51</v>
      </c>
      <c r="U488" t="s">
        <v>52</v>
      </c>
      <c r="V488" t="s">
        <v>39</v>
      </c>
      <c r="W488" t="s">
        <v>39</v>
      </c>
      <c r="X488">
        <v>2024</v>
      </c>
      <c r="Y488" t="s">
        <v>106</v>
      </c>
      <c r="Z488" t="s">
        <v>83</v>
      </c>
    </row>
    <row r="489" spans="1:26">
      <c r="A489" t="s">
        <v>1232</v>
      </c>
      <c r="B489" t="s">
        <v>116</v>
      </c>
      <c r="C489" t="s">
        <v>44</v>
      </c>
      <c r="D489" t="s">
        <v>77</v>
      </c>
      <c r="E489" t="s">
        <v>94</v>
      </c>
      <c r="F489" t="s">
        <v>238</v>
      </c>
      <c r="G489" t="s">
        <v>58</v>
      </c>
      <c r="H489">
        <v>10.9</v>
      </c>
      <c r="I489">
        <v>7.4</v>
      </c>
      <c r="J489" t="s">
        <v>33</v>
      </c>
      <c r="K489" t="s">
        <v>784</v>
      </c>
      <c r="L489" t="s">
        <v>48</v>
      </c>
      <c r="M489" t="s">
        <v>1186</v>
      </c>
      <c r="N489" t="s">
        <v>171</v>
      </c>
      <c r="O489">
        <v>64</v>
      </c>
      <c r="P489" t="s">
        <v>2265</v>
      </c>
      <c r="Q489">
        <v>0</v>
      </c>
      <c r="R489">
        <v>0</v>
      </c>
      <c r="S489" t="s">
        <v>2265</v>
      </c>
      <c r="T489" t="s">
        <v>38</v>
      </c>
      <c r="U489" t="s">
        <v>39</v>
      </c>
      <c r="V489" t="s">
        <v>39</v>
      </c>
      <c r="W489" t="s">
        <v>52</v>
      </c>
      <c r="X489">
        <v>2023</v>
      </c>
      <c r="Y489" t="s">
        <v>82</v>
      </c>
      <c r="Z489" t="s">
        <v>83</v>
      </c>
    </row>
    <row r="490" spans="1:26">
      <c r="A490" t="s">
        <v>1233</v>
      </c>
      <c r="B490" t="s">
        <v>43</v>
      </c>
      <c r="C490" t="s">
        <v>44</v>
      </c>
      <c r="D490" t="s">
        <v>77</v>
      </c>
      <c r="E490" t="s">
        <v>220</v>
      </c>
      <c r="F490" t="s">
        <v>57</v>
      </c>
      <c r="G490" t="s">
        <v>58</v>
      </c>
      <c r="H490">
        <v>6.8</v>
      </c>
      <c r="I490">
        <v>7</v>
      </c>
      <c r="J490" t="s">
        <v>33</v>
      </c>
      <c r="K490" t="s">
        <v>871</v>
      </c>
      <c r="L490" t="s">
        <v>48</v>
      </c>
      <c r="M490" t="s">
        <v>1234</v>
      </c>
      <c r="N490" t="s">
        <v>71</v>
      </c>
      <c r="O490">
        <v>132</v>
      </c>
      <c r="P490" t="s">
        <v>230</v>
      </c>
      <c r="Q490">
        <v>5679</v>
      </c>
      <c r="R490">
        <v>0</v>
      </c>
      <c r="S490" t="s">
        <v>152</v>
      </c>
      <c r="T490" t="s">
        <v>51</v>
      </c>
      <c r="U490" t="s">
        <v>39</v>
      </c>
      <c r="V490" t="s">
        <v>39</v>
      </c>
      <c r="W490" t="s">
        <v>52</v>
      </c>
      <c r="X490">
        <v>2024</v>
      </c>
      <c r="Y490" t="s">
        <v>53</v>
      </c>
      <c r="Z490" t="s">
        <v>54</v>
      </c>
    </row>
    <row r="491" spans="1:26">
      <c r="A491" t="s">
        <v>1235</v>
      </c>
      <c r="B491" t="s">
        <v>66</v>
      </c>
      <c r="C491" t="s">
        <v>67</v>
      </c>
      <c r="D491" t="s">
        <v>122</v>
      </c>
      <c r="E491" t="s">
        <v>123</v>
      </c>
      <c r="F491" t="s">
        <v>238</v>
      </c>
      <c r="G491" t="s">
        <v>58</v>
      </c>
      <c r="H491">
        <v>0.9</v>
      </c>
      <c r="I491">
        <v>28.6</v>
      </c>
      <c r="J491" t="s">
        <v>33</v>
      </c>
      <c r="K491" t="s">
        <v>1236</v>
      </c>
      <c r="L491" t="s">
        <v>126</v>
      </c>
      <c r="M491" t="s">
        <v>245</v>
      </c>
      <c r="N491" t="s">
        <v>50</v>
      </c>
      <c r="O491">
        <v>55</v>
      </c>
      <c r="P491" t="s">
        <v>2265</v>
      </c>
      <c r="Q491">
        <v>0</v>
      </c>
      <c r="R491">
        <v>0</v>
      </c>
      <c r="S491" t="s">
        <v>2265</v>
      </c>
      <c r="T491" t="s">
        <v>51</v>
      </c>
      <c r="U491" t="s">
        <v>52</v>
      </c>
      <c r="V491" t="s">
        <v>39</v>
      </c>
      <c r="W491" t="s">
        <v>52</v>
      </c>
      <c r="X491">
        <v>2024</v>
      </c>
      <c r="Y491" t="s">
        <v>312</v>
      </c>
      <c r="Z491" t="s">
        <v>83</v>
      </c>
    </row>
    <row r="492" spans="1:26">
      <c r="A492" t="s">
        <v>1237</v>
      </c>
      <c r="B492" t="s">
        <v>66</v>
      </c>
      <c r="C492" t="s">
        <v>164</v>
      </c>
      <c r="D492" t="s">
        <v>29</v>
      </c>
      <c r="E492" t="s">
        <v>30</v>
      </c>
      <c r="F492" t="s">
        <v>46</v>
      </c>
      <c r="G492" t="s">
        <v>58</v>
      </c>
      <c r="H492">
        <v>8.1999999999999993</v>
      </c>
      <c r="I492">
        <v>34</v>
      </c>
      <c r="J492" t="s">
        <v>156</v>
      </c>
      <c r="K492" t="s">
        <v>1238</v>
      </c>
      <c r="L492" t="s">
        <v>98</v>
      </c>
      <c r="M492" t="s">
        <v>689</v>
      </c>
      <c r="N492" t="s">
        <v>100</v>
      </c>
      <c r="O492">
        <v>162</v>
      </c>
      <c r="P492" t="s">
        <v>2265</v>
      </c>
      <c r="Q492">
        <v>0</v>
      </c>
      <c r="R492">
        <v>0</v>
      </c>
      <c r="S492" t="s">
        <v>2265</v>
      </c>
      <c r="T492" t="s">
        <v>51</v>
      </c>
      <c r="U492" t="s">
        <v>52</v>
      </c>
      <c r="V492" t="s">
        <v>39</v>
      </c>
      <c r="W492" t="s">
        <v>52</v>
      </c>
      <c r="X492">
        <v>2023</v>
      </c>
      <c r="Y492" t="s">
        <v>91</v>
      </c>
      <c r="Z492" t="s">
        <v>64</v>
      </c>
    </row>
    <row r="493" spans="1:26">
      <c r="A493" t="s">
        <v>1239</v>
      </c>
      <c r="B493" t="s">
        <v>116</v>
      </c>
      <c r="C493" t="s">
        <v>173</v>
      </c>
      <c r="D493" t="s">
        <v>77</v>
      </c>
      <c r="E493" t="s">
        <v>78</v>
      </c>
      <c r="F493" t="s">
        <v>124</v>
      </c>
      <c r="G493" t="s">
        <v>32</v>
      </c>
      <c r="H493">
        <v>2.9</v>
      </c>
      <c r="I493">
        <v>21.8</v>
      </c>
      <c r="J493" t="s">
        <v>96</v>
      </c>
      <c r="K493" t="s">
        <v>829</v>
      </c>
      <c r="L493" t="s">
        <v>48</v>
      </c>
      <c r="M493" t="s">
        <v>567</v>
      </c>
      <c r="N493" t="s">
        <v>37</v>
      </c>
      <c r="O493">
        <v>131</v>
      </c>
      <c r="P493" t="s">
        <v>2265</v>
      </c>
      <c r="Q493">
        <v>0</v>
      </c>
      <c r="R493">
        <v>0</v>
      </c>
      <c r="S493" t="s">
        <v>2265</v>
      </c>
      <c r="T493" t="s">
        <v>62</v>
      </c>
      <c r="U493" t="s">
        <v>39</v>
      </c>
      <c r="V493" t="s">
        <v>39</v>
      </c>
      <c r="W493" t="s">
        <v>52</v>
      </c>
      <c r="X493">
        <v>2024</v>
      </c>
      <c r="Y493" t="s">
        <v>82</v>
      </c>
      <c r="Z493" t="s">
        <v>83</v>
      </c>
    </row>
    <row r="494" spans="1:26">
      <c r="A494" t="s">
        <v>1240</v>
      </c>
      <c r="B494" t="s">
        <v>66</v>
      </c>
      <c r="C494" t="s">
        <v>121</v>
      </c>
      <c r="D494" t="s">
        <v>122</v>
      </c>
      <c r="E494" t="s">
        <v>130</v>
      </c>
      <c r="F494" t="s">
        <v>46</v>
      </c>
      <c r="G494" t="s">
        <v>58</v>
      </c>
      <c r="H494">
        <v>7.7</v>
      </c>
      <c r="I494">
        <v>8.6999999999999993</v>
      </c>
      <c r="J494" t="s">
        <v>33</v>
      </c>
      <c r="K494" t="s">
        <v>1241</v>
      </c>
      <c r="L494" t="s">
        <v>60</v>
      </c>
      <c r="M494" t="s">
        <v>320</v>
      </c>
      <c r="N494" t="s">
        <v>71</v>
      </c>
      <c r="O494">
        <v>52</v>
      </c>
      <c r="P494" t="s">
        <v>230</v>
      </c>
      <c r="Q494">
        <v>2039</v>
      </c>
      <c r="R494">
        <v>0</v>
      </c>
      <c r="S494" t="s">
        <v>90</v>
      </c>
      <c r="T494" t="s">
        <v>51</v>
      </c>
      <c r="U494" t="s">
        <v>39</v>
      </c>
      <c r="V494" t="s">
        <v>39</v>
      </c>
      <c r="W494" t="s">
        <v>52</v>
      </c>
      <c r="X494">
        <v>2023</v>
      </c>
      <c r="Y494" t="s">
        <v>211</v>
      </c>
      <c r="Z494" t="s">
        <v>41</v>
      </c>
    </row>
    <row r="495" spans="1:26">
      <c r="A495" t="s">
        <v>1242</v>
      </c>
      <c r="B495" t="s">
        <v>27</v>
      </c>
      <c r="C495" t="s">
        <v>44</v>
      </c>
      <c r="D495" t="s">
        <v>122</v>
      </c>
      <c r="E495" t="s">
        <v>148</v>
      </c>
      <c r="F495" t="s">
        <v>109</v>
      </c>
      <c r="G495" t="s">
        <v>32</v>
      </c>
      <c r="H495">
        <v>8.3000000000000007</v>
      </c>
      <c r="I495">
        <v>25.3</v>
      </c>
      <c r="J495" t="s">
        <v>33</v>
      </c>
      <c r="K495" t="s">
        <v>1243</v>
      </c>
      <c r="L495" t="s">
        <v>126</v>
      </c>
      <c r="M495" t="s">
        <v>561</v>
      </c>
      <c r="N495" t="s">
        <v>71</v>
      </c>
      <c r="O495">
        <v>139</v>
      </c>
      <c r="P495" t="s">
        <v>230</v>
      </c>
      <c r="Q495">
        <v>1517</v>
      </c>
      <c r="R495">
        <v>5000</v>
      </c>
      <c r="S495" t="s">
        <v>73</v>
      </c>
      <c r="T495" t="s">
        <v>136</v>
      </c>
      <c r="U495" t="s">
        <v>39</v>
      </c>
      <c r="V495" t="s">
        <v>39</v>
      </c>
      <c r="W495" t="s">
        <v>39</v>
      </c>
      <c r="X495">
        <v>2023</v>
      </c>
      <c r="Y495" t="s">
        <v>82</v>
      </c>
      <c r="Z495" t="s">
        <v>83</v>
      </c>
    </row>
    <row r="496" spans="1:26">
      <c r="A496" t="s">
        <v>1244</v>
      </c>
      <c r="B496" t="s">
        <v>43</v>
      </c>
      <c r="C496" t="s">
        <v>28</v>
      </c>
      <c r="D496" t="s">
        <v>77</v>
      </c>
      <c r="E496" t="s">
        <v>363</v>
      </c>
      <c r="F496" t="s">
        <v>57</v>
      </c>
      <c r="G496" t="s">
        <v>32</v>
      </c>
      <c r="H496">
        <v>10</v>
      </c>
      <c r="I496">
        <v>32.6</v>
      </c>
      <c r="J496" t="s">
        <v>33</v>
      </c>
      <c r="K496" t="s">
        <v>1245</v>
      </c>
      <c r="L496" t="s">
        <v>48</v>
      </c>
      <c r="M496" t="s">
        <v>338</v>
      </c>
      <c r="N496" t="s">
        <v>71</v>
      </c>
      <c r="O496">
        <v>24</v>
      </c>
      <c r="P496" t="s">
        <v>89</v>
      </c>
      <c r="Q496">
        <v>7854</v>
      </c>
      <c r="R496">
        <v>1000</v>
      </c>
      <c r="S496" t="s">
        <v>113</v>
      </c>
      <c r="T496" t="s">
        <v>136</v>
      </c>
      <c r="U496" t="s">
        <v>39</v>
      </c>
      <c r="V496" t="s">
        <v>52</v>
      </c>
      <c r="W496" t="s">
        <v>52</v>
      </c>
      <c r="X496">
        <v>2022</v>
      </c>
      <c r="Y496" t="s">
        <v>114</v>
      </c>
      <c r="Z496" t="s">
        <v>41</v>
      </c>
    </row>
    <row r="497" spans="1:26">
      <c r="A497" t="s">
        <v>1246</v>
      </c>
      <c r="B497" t="s">
        <v>93</v>
      </c>
      <c r="C497" t="s">
        <v>44</v>
      </c>
      <c r="D497" t="s">
        <v>29</v>
      </c>
      <c r="E497" t="s">
        <v>56</v>
      </c>
      <c r="F497" t="s">
        <v>57</v>
      </c>
      <c r="G497" t="s">
        <v>58</v>
      </c>
      <c r="H497">
        <v>10.4</v>
      </c>
      <c r="I497">
        <v>17.100000000000001</v>
      </c>
      <c r="J497" t="s">
        <v>144</v>
      </c>
      <c r="K497" t="s">
        <v>336</v>
      </c>
      <c r="L497" t="s">
        <v>126</v>
      </c>
      <c r="M497" t="s">
        <v>910</v>
      </c>
      <c r="N497" t="s">
        <v>37</v>
      </c>
      <c r="O497">
        <v>163</v>
      </c>
      <c r="P497" t="s">
        <v>2265</v>
      </c>
      <c r="Q497">
        <v>0</v>
      </c>
      <c r="R497">
        <v>500</v>
      </c>
      <c r="S497" t="s">
        <v>2265</v>
      </c>
      <c r="T497" t="s">
        <v>136</v>
      </c>
      <c r="U497" t="s">
        <v>52</v>
      </c>
      <c r="V497" t="s">
        <v>39</v>
      </c>
      <c r="W497" t="s">
        <v>52</v>
      </c>
      <c r="X497">
        <v>2024</v>
      </c>
      <c r="Y497" t="s">
        <v>40</v>
      </c>
      <c r="Z497" t="s">
        <v>41</v>
      </c>
    </row>
    <row r="498" spans="1:26">
      <c r="A498" t="s">
        <v>1247</v>
      </c>
      <c r="B498" t="s">
        <v>66</v>
      </c>
      <c r="C498" t="s">
        <v>164</v>
      </c>
      <c r="D498" t="s">
        <v>77</v>
      </c>
      <c r="E498" t="s">
        <v>94</v>
      </c>
      <c r="F498" t="s">
        <v>160</v>
      </c>
      <c r="G498" t="s">
        <v>32</v>
      </c>
      <c r="H498">
        <v>7.2</v>
      </c>
      <c r="I498">
        <v>5.8</v>
      </c>
      <c r="J498" t="s">
        <v>144</v>
      </c>
      <c r="K498" t="s">
        <v>1248</v>
      </c>
      <c r="L498" t="s">
        <v>60</v>
      </c>
      <c r="M498" t="s">
        <v>551</v>
      </c>
      <c r="N498" t="s">
        <v>61</v>
      </c>
      <c r="O498">
        <v>22</v>
      </c>
      <c r="P498" t="s">
        <v>2265</v>
      </c>
      <c r="Q498">
        <v>0</v>
      </c>
      <c r="R498">
        <v>0</v>
      </c>
      <c r="S498" t="s">
        <v>2265</v>
      </c>
      <c r="T498" t="s">
        <v>136</v>
      </c>
      <c r="U498" t="s">
        <v>39</v>
      </c>
      <c r="V498" t="s">
        <v>52</v>
      </c>
      <c r="W498" t="s">
        <v>52</v>
      </c>
      <c r="X498">
        <v>2024</v>
      </c>
      <c r="Y498" t="s">
        <v>53</v>
      </c>
      <c r="Z498" t="s">
        <v>54</v>
      </c>
    </row>
    <row r="499" spans="1:26">
      <c r="A499" t="s">
        <v>1249</v>
      </c>
      <c r="B499" t="s">
        <v>27</v>
      </c>
      <c r="C499" t="s">
        <v>67</v>
      </c>
      <c r="D499" t="s">
        <v>29</v>
      </c>
      <c r="E499" t="s">
        <v>56</v>
      </c>
      <c r="F499" t="s">
        <v>149</v>
      </c>
      <c r="G499" t="s">
        <v>32</v>
      </c>
      <c r="H499">
        <v>11</v>
      </c>
      <c r="I499">
        <v>0.6</v>
      </c>
      <c r="J499" t="s">
        <v>144</v>
      </c>
      <c r="K499" t="s">
        <v>345</v>
      </c>
      <c r="L499" t="s">
        <v>126</v>
      </c>
      <c r="M499" t="s">
        <v>1250</v>
      </c>
      <c r="N499" t="s">
        <v>37</v>
      </c>
      <c r="O499">
        <v>121</v>
      </c>
      <c r="P499" t="s">
        <v>2265</v>
      </c>
      <c r="Q499">
        <v>0</v>
      </c>
      <c r="R499">
        <v>0</v>
      </c>
      <c r="S499" t="s">
        <v>2265</v>
      </c>
      <c r="T499" t="s">
        <v>51</v>
      </c>
      <c r="U499" t="s">
        <v>52</v>
      </c>
      <c r="V499" t="s">
        <v>52</v>
      </c>
      <c r="W499" t="s">
        <v>52</v>
      </c>
      <c r="X499">
        <v>2022</v>
      </c>
      <c r="Y499" t="s">
        <v>91</v>
      </c>
      <c r="Z499" t="s">
        <v>64</v>
      </c>
    </row>
    <row r="500" spans="1:26">
      <c r="A500" t="s">
        <v>1251</v>
      </c>
      <c r="B500" t="s">
        <v>93</v>
      </c>
      <c r="C500" t="s">
        <v>67</v>
      </c>
      <c r="D500" t="s">
        <v>77</v>
      </c>
      <c r="E500" t="s">
        <v>143</v>
      </c>
      <c r="F500" t="s">
        <v>109</v>
      </c>
      <c r="G500" t="s">
        <v>32</v>
      </c>
      <c r="H500">
        <v>2</v>
      </c>
      <c r="I500">
        <v>26.8</v>
      </c>
      <c r="J500" t="s">
        <v>156</v>
      </c>
      <c r="K500" t="s">
        <v>1252</v>
      </c>
      <c r="L500" t="s">
        <v>98</v>
      </c>
      <c r="M500" t="s">
        <v>80</v>
      </c>
      <c r="N500" t="s">
        <v>71</v>
      </c>
      <c r="O500">
        <v>10</v>
      </c>
      <c r="P500" t="s">
        <v>72</v>
      </c>
      <c r="Q500">
        <v>6152</v>
      </c>
      <c r="R500">
        <v>1000</v>
      </c>
      <c r="S500" t="s">
        <v>73</v>
      </c>
      <c r="T500" t="s">
        <v>136</v>
      </c>
      <c r="U500" t="s">
        <v>52</v>
      </c>
      <c r="V500" t="s">
        <v>52</v>
      </c>
      <c r="W500" t="s">
        <v>52</v>
      </c>
      <c r="X500">
        <v>2024</v>
      </c>
      <c r="Y500" t="s">
        <v>74</v>
      </c>
      <c r="Z500" t="s">
        <v>54</v>
      </c>
    </row>
    <row r="501" spans="1:26">
      <c r="A501" t="s">
        <v>1253</v>
      </c>
      <c r="B501" t="s">
        <v>43</v>
      </c>
      <c r="C501" t="s">
        <v>173</v>
      </c>
      <c r="D501" t="s">
        <v>77</v>
      </c>
      <c r="E501" t="s">
        <v>78</v>
      </c>
      <c r="F501" t="s">
        <v>124</v>
      </c>
      <c r="G501" t="s">
        <v>58</v>
      </c>
      <c r="H501">
        <v>7.3</v>
      </c>
      <c r="I501">
        <v>33.1</v>
      </c>
      <c r="J501" t="s">
        <v>33</v>
      </c>
      <c r="K501" t="s">
        <v>1254</v>
      </c>
      <c r="L501" t="s">
        <v>35</v>
      </c>
      <c r="M501" t="s">
        <v>1255</v>
      </c>
      <c r="N501" t="s">
        <v>71</v>
      </c>
      <c r="O501">
        <v>93</v>
      </c>
      <c r="P501" t="s">
        <v>230</v>
      </c>
      <c r="Q501">
        <v>4211</v>
      </c>
      <c r="R501">
        <v>0</v>
      </c>
      <c r="S501" t="s">
        <v>90</v>
      </c>
      <c r="T501" t="s">
        <v>136</v>
      </c>
      <c r="U501" t="s">
        <v>39</v>
      </c>
      <c r="V501" t="s">
        <v>52</v>
      </c>
      <c r="W501" t="s">
        <v>52</v>
      </c>
      <c r="X501">
        <v>2022</v>
      </c>
      <c r="Y501" t="s">
        <v>312</v>
      </c>
      <c r="Z501" t="s">
        <v>83</v>
      </c>
    </row>
    <row r="502" spans="1:26">
      <c r="A502" t="s">
        <v>1256</v>
      </c>
      <c r="B502" t="s">
        <v>108</v>
      </c>
      <c r="C502" t="s">
        <v>173</v>
      </c>
      <c r="D502" t="s">
        <v>85</v>
      </c>
      <c r="E502" t="s">
        <v>208</v>
      </c>
      <c r="F502" t="s">
        <v>57</v>
      </c>
      <c r="G502" t="s">
        <v>58</v>
      </c>
      <c r="H502">
        <v>6.1</v>
      </c>
      <c r="I502">
        <v>18.899999999999999</v>
      </c>
      <c r="J502" t="s">
        <v>33</v>
      </c>
      <c r="K502" t="s">
        <v>1257</v>
      </c>
      <c r="L502" t="s">
        <v>98</v>
      </c>
      <c r="M502" t="s">
        <v>280</v>
      </c>
      <c r="N502" t="s">
        <v>61</v>
      </c>
      <c r="O502">
        <v>65</v>
      </c>
      <c r="P502" t="s">
        <v>2265</v>
      </c>
      <c r="Q502">
        <v>0</v>
      </c>
      <c r="R502">
        <v>0</v>
      </c>
      <c r="S502" t="s">
        <v>2265</v>
      </c>
      <c r="T502" t="s">
        <v>62</v>
      </c>
      <c r="U502" t="s">
        <v>39</v>
      </c>
      <c r="V502" t="s">
        <v>39</v>
      </c>
      <c r="W502" t="s">
        <v>52</v>
      </c>
      <c r="X502">
        <v>2024</v>
      </c>
      <c r="Y502" t="s">
        <v>53</v>
      </c>
      <c r="Z502" t="s">
        <v>54</v>
      </c>
    </row>
    <row r="503" spans="1:26">
      <c r="A503" t="s">
        <v>1258</v>
      </c>
      <c r="B503" t="s">
        <v>108</v>
      </c>
      <c r="C503" t="s">
        <v>44</v>
      </c>
      <c r="D503" t="s">
        <v>77</v>
      </c>
      <c r="E503" t="s">
        <v>94</v>
      </c>
      <c r="F503" t="s">
        <v>160</v>
      </c>
      <c r="G503" t="s">
        <v>32</v>
      </c>
      <c r="H503">
        <v>1.3</v>
      </c>
      <c r="I503">
        <v>27.2</v>
      </c>
      <c r="J503" t="s">
        <v>33</v>
      </c>
      <c r="K503" t="s">
        <v>162</v>
      </c>
      <c r="L503" t="s">
        <v>48</v>
      </c>
      <c r="M503" t="s">
        <v>1259</v>
      </c>
      <c r="N503" t="s">
        <v>71</v>
      </c>
      <c r="O503">
        <v>2</v>
      </c>
      <c r="P503" t="s">
        <v>72</v>
      </c>
      <c r="Q503">
        <v>7028</v>
      </c>
      <c r="R503">
        <v>0</v>
      </c>
      <c r="S503" t="s">
        <v>113</v>
      </c>
      <c r="T503" t="s">
        <v>81</v>
      </c>
      <c r="U503" t="s">
        <v>39</v>
      </c>
      <c r="V503" t="s">
        <v>52</v>
      </c>
      <c r="W503" t="s">
        <v>52</v>
      </c>
      <c r="X503">
        <v>2023</v>
      </c>
      <c r="Y503" t="s">
        <v>114</v>
      </c>
      <c r="Z503" t="s">
        <v>41</v>
      </c>
    </row>
    <row r="504" spans="1:26">
      <c r="A504" t="s">
        <v>1260</v>
      </c>
      <c r="B504" t="s">
        <v>43</v>
      </c>
      <c r="C504" t="s">
        <v>173</v>
      </c>
      <c r="D504" t="s">
        <v>29</v>
      </c>
      <c r="E504" t="s">
        <v>30</v>
      </c>
      <c r="F504" t="s">
        <v>57</v>
      </c>
      <c r="G504" t="s">
        <v>32</v>
      </c>
      <c r="H504">
        <v>2.5</v>
      </c>
      <c r="I504">
        <v>26.4</v>
      </c>
      <c r="J504" t="s">
        <v>156</v>
      </c>
      <c r="K504" t="s">
        <v>233</v>
      </c>
      <c r="L504" t="s">
        <v>140</v>
      </c>
      <c r="M504" t="s">
        <v>1261</v>
      </c>
      <c r="N504" t="s">
        <v>37</v>
      </c>
      <c r="O504">
        <v>146</v>
      </c>
      <c r="P504" t="s">
        <v>2265</v>
      </c>
      <c r="Q504">
        <v>0</v>
      </c>
      <c r="R504">
        <v>0</v>
      </c>
      <c r="S504" t="s">
        <v>2265</v>
      </c>
      <c r="T504" t="s">
        <v>38</v>
      </c>
      <c r="U504" t="s">
        <v>39</v>
      </c>
      <c r="V504" t="s">
        <v>39</v>
      </c>
      <c r="W504" t="s">
        <v>52</v>
      </c>
      <c r="X504">
        <v>2024</v>
      </c>
      <c r="Y504" t="s">
        <v>40</v>
      </c>
      <c r="Z504" t="s">
        <v>41</v>
      </c>
    </row>
    <row r="505" spans="1:26">
      <c r="A505" t="s">
        <v>1262</v>
      </c>
      <c r="B505" t="s">
        <v>66</v>
      </c>
      <c r="C505" t="s">
        <v>28</v>
      </c>
      <c r="D505" t="s">
        <v>29</v>
      </c>
      <c r="E505" t="s">
        <v>117</v>
      </c>
      <c r="F505" t="s">
        <v>238</v>
      </c>
      <c r="G505" t="s">
        <v>58</v>
      </c>
      <c r="H505">
        <v>7.1</v>
      </c>
      <c r="I505">
        <v>17</v>
      </c>
      <c r="J505" t="s">
        <v>33</v>
      </c>
      <c r="K505" t="s">
        <v>1130</v>
      </c>
      <c r="L505" t="s">
        <v>35</v>
      </c>
      <c r="M505" t="s">
        <v>1060</v>
      </c>
      <c r="N505" t="s">
        <v>71</v>
      </c>
      <c r="O505">
        <v>71</v>
      </c>
      <c r="P505" t="s">
        <v>105</v>
      </c>
      <c r="Q505">
        <v>2901</v>
      </c>
      <c r="R505">
        <v>0</v>
      </c>
      <c r="S505" t="s">
        <v>73</v>
      </c>
      <c r="T505" t="s">
        <v>38</v>
      </c>
      <c r="U505" t="s">
        <v>39</v>
      </c>
      <c r="V505" t="s">
        <v>52</v>
      </c>
      <c r="W505" t="s">
        <v>39</v>
      </c>
      <c r="X505">
        <v>2022</v>
      </c>
      <c r="Y505" t="s">
        <v>114</v>
      </c>
      <c r="Z505" t="s">
        <v>41</v>
      </c>
    </row>
    <row r="506" spans="1:26">
      <c r="A506" t="s">
        <v>1263</v>
      </c>
      <c r="B506" t="s">
        <v>93</v>
      </c>
      <c r="C506" t="s">
        <v>67</v>
      </c>
      <c r="D506" t="s">
        <v>85</v>
      </c>
      <c r="E506" t="s">
        <v>138</v>
      </c>
      <c r="F506" t="s">
        <v>46</v>
      </c>
      <c r="G506" t="s">
        <v>32</v>
      </c>
      <c r="H506">
        <v>9.1</v>
      </c>
      <c r="I506">
        <v>21.4</v>
      </c>
      <c r="J506" t="s">
        <v>96</v>
      </c>
      <c r="K506" t="s">
        <v>1139</v>
      </c>
      <c r="L506" t="s">
        <v>48</v>
      </c>
      <c r="M506" t="s">
        <v>127</v>
      </c>
      <c r="N506" t="s">
        <v>50</v>
      </c>
      <c r="O506">
        <v>69</v>
      </c>
      <c r="P506" t="s">
        <v>2265</v>
      </c>
      <c r="Q506">
        <v>0</v>
      </c>
      <c r="R506">
        <v>1000</v>
      </c>
      <c r="S506" t="s">
        <v>2265</v>
      </c>
      <c r="T506" t="s">
        <v>51</v>
      </c>
      <c r="U506" t="s">
        <v>52</v>
      </c>
      <c r="V506" t="s">
        <v>52</v>
      </c>
      <c r="W506" t="s">
        <v>39</v>
      </c>
      <c r="X506">
        <v>2024</v>
      </c>
      <c r="Y506" t="s">
        <v>63</v>
      </c>
      <c r="Z506" t="s">
        <v>64</v>
      </c>
    </row>
    <row r="507" spans="1:26">
      <c r="A507" t="s">
        <v>1264</v>
      </c>
      <c r="B507" t="s">
        <v>43</v>
      </c>
      <c r="C507" t="s">
        <v>76</v>
      </c>
      <c r="D507" t="s">
        <v>122</v>
      </c>
      <c r="E507" t="s">
        <v>155</v>
      </c>
      <c r="F507" t="s">
        <v>31</v>
      </c>
      <c r="G507" t="s">
        <v>58</v>
      </c>
      <c r="H507">
        <v>8.6999999999999993</v>
      </c>
      <c r="I507">
        <v>31.1</v>
      </c>
      <c r="J507" t="s">
        <v>96</v>
      </c>
      <c r="K507" t="s">
        <v>1265</v>
      </c>
      <c r="L507" t="s">
        <v>140</v>
      </c>
      <c r="M507" t="s">
        <v>694</v>
      </c>
      <c r="N507" t="s">
        <v>50</v>
      </c>
      <c r="O507">
        <v>1</v>
      </c>
      <c r="P507" t="s">
        <v>2265</v>
      </c>
      <c r="Q507">
        <v>0</v>
      </c>
      <c r="R507">
        <v>1000</v>
      </c>
      <c r="S507" t="s">
        <v>2265</v>
      </c>
      <c r="T507" t="s">
        <v>51</v>
      </c>
      <c r="U507" t="s">
        <v>39</v>
      </c>
      <c r="V507" t="s">
        <v>52</v>
      </c>
      <c r="W507" t="s">
        <v>52</v>
      </c>
      <c r="X507">
        <v>2022</v>
      </c>
      <c r="Y507" t="s">
        <v>40</v>
      </c>
      <c r="Z507" t="s">
        <v>41</v>
      </c>
    </row>
    <row r="508" spans="1:26">
      <c r="A508" t="s">
        <v>1266</v>
      </c>
      <c r="B508" t="s">
        <v>93</v>
      </c>
      <c r="C508" t="s">
        <v>76</v>
      </c>
      <c r="D508" t="s">
        <v>77</v>
      </c>
      <c r="E508" t="s">
        <v>78</v>
      </c>
      <c r="F508" t="s">
        <v>46</v>
      </c>
      <c r="G508" t="s">
        <v>58</v>
      </c>
      <c r="H508">
        <v>11.8</v>
      </c>
      <c r="I508">
        <v>33.5</v>
      </c>
      <c r="J508" t="s">
        <v>96</v>
      </c>
      <c r="K508" t="s">
        <v>1267</v>
      </c>
      <c r="L508" t="s">
        <v>98</v>
      </c>
      <c r="M508" t="s">
        <v>127</v>
      </c>
      <c r="N508" t="s">
        <v>37</v>
      </c>
      <c r="O508">
        <v>106</v>
      </c>
      <c r="P508" t="s">
        <v>2265</v>
      </c>
      <c r="Q508">
        <v>0</v>
      </c>
      <c r="R508">
        <v>0</v>
      </c>
      <c r="S508" t="s">
        <v>2265</v>
      </c>
      <c r="T508" t="s">
        <v>51</v>
      </c>
      <c r="U508" t="s">
        <v>52</v>
      </c>
      <c r="V508" t="s">
        <v>39</v>
      </c>
      <c r="W508" t="s">
        <v>52</v>
      </c>
      <c r="X508">
        <v>2024</v>
      </c>
      <c r="Y508" t="s">
        <v>128</v>
      </c>
      <c r="Z508" t="s">
        <v>64</v>
      </c>
    </row>
    <row r="509" spans="1:26">
      <c r="A509" t="s">
        <v>1268</v>
      </c>
      <c r="B509" t="s">
        <v>108</v>
      </c>
      <c r="C509" t="s">
        <v>28</v>
      </c>
      <c r="D509" t="s">
        <v>85</v>
      </c>
      <c r="E509" t="s">
        <v>138</v>
      </c>
      <c r="F509" t="s">
        <v>57</v>
      </c>
      <c r="G509" t="s">
        <v>32</v>
      </c>
      <c r="H509">
        <v>11.3</v>
      </c>
      <c r="I509">
        <v>33</v>
      </c>
      <c r="J509" t="s">
        <v>20</v>
      </c>
      <c r="K509" t="s">
        <v>248</v>
      </c>
      <c r="L509" t="s">
        <v>48</v>
      </c>
      <c r="M509" t="s">
        <v>1034</v>
      </c>
      <c r="N509" t="s">
        <v>100</v>
      </c>
      <c r="O509">
        <v>90</v>
      </c>
      <c r="P509" t="s">
        <v>2265</v>
      </c>
      <c r="Q509">
        <v>0</v>
      </c>
      <c r="R509">
        <v>0</v>
      </c>
      <c r="S509" t="s">
        <v>2265</v>
      </c>
      <c r="T509" t="s">
        <v>81</v>
      </c>
      <c r="U509" t="s">
        <v>39</v>
      </c>
      <c r="V509" t="s">
        <v>39</v>
      </c>
      <c r="W509" t="s">
        <v>52</v>
      </c>
      <c r="X509">
        <v>2022</v>
      </c>
      <c r="Y509" t="s">
        <v>153</v>
      </c>
      <c r="Z509" t="s">
        <v>54</v>
      </c>
    </row>
    <row r="510" spans="1:26">
      <c r="A510" t="s">
        <v>1269</v>
      </c>
      <c r="B510" t="s">
        <v>43</v>
      </c>
      <c r="C510" t="s">
        <v>102</v>
      </c>
      <c r="D510" t="s">
        <v>29</v>
      </c>
      <c r="E510" t="s">
        <v>56</v>
      </c>
      <c r="F510" t="s">
        <v>68</v>
      </c>
      <c r="G510" t="s">
        <v>58</v>
      </c>
      <c r="H510">
        <v>5.8</v>
      </c>
      <c r="I510">
        <v>19.2</v>
      </c>
      <c r="J510" t="s">
        <v>33</v>
      </c>
      <c r="K510" t="s">
        <v>1270</v>
      </c>
      <c r="L510" t="s">
        <v>126</v>
      </c>
      <c r="M510" t="s">
        <v>1271</v>
      </c>
      <c r="N510" t="s">
        <v>50</v>
      </c>
      <c r="O510">
        <v>44</v>
      </c>
      <c r="P510" t="s">
        <v>2265</v>
      </c>
      <c r="Q510">
        <v>0</v>
      </c>
      <c r="R510">
        <v>0</v>
      </c>
      <c r="S510" t="s">
        <v>2265</v>
      </c>
      <c r="T510" t="s">
        <v>38</v>
      </c>
      <c r="U510" t="s">
        <v>39</v>
      </c>
      <c r="V510" t="s">
        <v>52</v>
      </c>
      <c r="W510" t="s">
        <v>52</v>
      </c>
      <c r="X510">
        <v>2024</v>
      </c>
      <c r="Y510" t="s">
        <v>211</v>
      </c>
      <c r="Z510" t="s">
        <v>41</v>
      </c>
    </row>
    <row r="511" spans="1:26">
      <c r="A511" t="s">
        <v>1272</v>
      </c>
      <c r="B511" t="s">
        <v>66</v>
      </c>
      <c r="C511" t="s">
        <v>121</v>
      </c>
      <c r="D511" t="s">
        <v>29</v>
      </c>
      <c r="E511" t="s">
        <v>45</v>
      </c>
      <c r="F511" t="s">
        <v>95</v>
      </c>
      <c r="G511" t="s">
        <v>32</v>
      </c>
      <c r="H511">
        <v>8</v>
      </c>
      <c r="I511">
        <v>32.299999999999997</v>
      </c>
      <c r="J511" t="s">
        <v>96</v>
      </c>
      <c r="K511" t="s">
        <v>1273</v>
      </c>
      <c r="L511" t="s">
        <v>48</v>
      </c>
      <c r="M511" t="s">
        <v>1274</v>
      </c>
      <c r="N511" t="s">
        <v>50</v>
      </c>
      <c r="O511">
        <v>171</v>
      </c>
      <c r="P511" t="s">
        <v>2265</v>
      </c>
      <c r="Q511">
        <v>0</v>
      </c>
      <c r="R511">
        <v>0</v>
      </c>
      <c r="S511" t="s">
        <v>2265</v>
      </c>
      <c r="T511" t="s">
        <v>62</v>
      </c>
      <c r="U511" t="s">
        <v>39</v>
      </c>
      <c r="V511" t="s">
        <v>52</v>
      </c>
      <c r="W511" t="s">
        <v>52</v>
      </c>
      <c r="X511">
        <v>2023</v>
      </c>
      <c r="Y511" t="s">
        <v>153</v>
      </c>
      <c r="Z511" t="s">
        <v>54</v>
      </c>
    </row>
    <row r="512" spans="1:26">
      <c r="A512" t="s">
        <v>1275</v>
      </c>
      <c r="B512" t="s">
        <v>116</v>
      </c>
      <c r="C512" t="s">
        <v>67</v>
      </c>
      <c r="D512" t="s">
        <v>85</v>
      </c>
      <c r="E512" t="s">
        <v>86</v>
      </c>
      <c r="F512" t="s">
        <v>31</v>
      </c>
      <c r="G512" t="s">
        <v>58</v>
      </c>
      <c r="H512">
        <v>1.5</v>
      </c>
      <c r="I512">
        <v>3.5</v>
      </c>
      <c r="J512" t="s">
        <v>156</v>
      </c>
      <c r="K512" t="s">
        <v>255</v>
      </c>
      <c r="L512" t="s">
        <v>35</v>
      </c>
      <c r="M512" t="s">
        <v>1276</v>
      </c>
      <c r="N512" t="s">
        <v>37</v>
      </c>
      <c r="O512">
        <v>60</v>
      </c>
      <c r="P512" t="s">
        <v>2265</v>
      </c>
      <c r="Q512">
        <v>0</v>
      </c>
      <c r="R512">
        <v>500</v>
      </c>
      <c r="S512" t="s">
        <v>2265</v>
      </c>
      <c r="T512" t="s">
        <v>62</v>
      </c>
      <c r="U512" t="s">
        <v>39</v>
      </c>
      <c r="V512" t="s">
        <v>39</v>
      </c>
      <c r="W512" t="s">
        <v>52</v>
      </c>
      <c r="X512">
        <v>2024</v>
      </c>
      <c r="Y512" t="s">
        <v>153</v>
      </c>
      <c r="Z512" t="s">
        <v>54</v>
      </c>
    </row>
    <row r="513" spans="1:26">
      <c r="A513" t="s">
        <v>1277</v>
      </c>
      <c r="B513" t="s">
        <v>108</v>
      </c>
      <c r="C513" t="s">
        <v>67</v>
      </c>
      <c r="D513" t="s">
        <v>85</v>
      </c>
      <c r="E513" t="s">
        <v>138</v>
      </c>
      <c r="F513" t="s">
        <v>46</v>
      </c>
      <c r="G513" t="s">
        <v>58</v>
      </c>
      <c r="H513">
        <v>2.4</v>
      </c>
      <c r="I513">
        <v>13.9</v>
      </c>
      <c r="J513" t="s">
        <v>20</v>
      </c>
      <c r="K513" t="s">
        <v>1278</v>
      </c>
      <c r="L513" t="s">
        <v>98</v>
      </c>
      <c r="M513" t="s">
        <v>1042</v>
      </c>
      <c r="N513" t="s">
        <v>71</v>
      </c>
      <c r="O513">
        <v>80</v>
      </c>
      <c r="P513" t="s">
        <v>105</v>
      </c>
      <c r="Q513">
        <v>2916</v>
      </c>
      <c r="R513">
        <v>1000</v>
      </c>
      <c r="S513" t="s">
        <v>113</v>
      </c>
      <c r="T513" t="s">
        <v>38</v>
      </c>
      <c r="U513" t="s">
        <v>52</v>
      </c>
      <c r="V513" t="s">
        <v>39</v>
      </c>
      <c r="W513" t="s">
        <v>52</v>
      </c>
      <c r="X513">
        <v>2022</v>
      </c>
      <c r="Y513" t="s">
        <v>106</v>
      </c>
      <c r="Z513" t="s">
        <v>83</v>
      </c>
    </row>
    <row r="514" spans="1:26">
      <c r="A514" t="s">
        <v>1279</v>
      </c>
      <c r="B514" t="s">
        <v>66</v>
      </c>
      <c r="C514" t="s">
        <v>76</v>
      </c>
      <c r="D514" t="s">
        <v>122</v>
      </c>
      <c r="E514" t="s">
        <v>148</v>
      </c>
      <c r="F514" t="s">
        <v>31</v>
      </c>
      <c r="G514" t="s">
        <v>32</v>
      </c>
      <c r="H514">
        <v>1.9</v>
      </c>
      <c r="I514">
        <v>10.3</v>
      </c>
      <c r="J514" t="s">
        <v>33</v>
      </c>
      <c r="K514" t="s">
        <v>1241</v>
      </c>
      <c r="L514" t="s">
        <v>140</v>
      </c>
      <c r="M514" t="s">
        <v>1238</v>
      </c>
      <c r="N514" t="s">
        <v>50</v>
      </c>
      <c r="O514">
        <v>57</v>
      </c>
      <c r="P514" t="s">
        <v>2265</v>
      </c>
      <c r="Q514">
        <v>0</v>
      </c>
      <c r="R514">
        <v>1000</v>
      </c>
      <c r="S514" t="s">
        <v>2265</v>
      </c>
      <c r="T514" t="s">
        <v>38</v>
      </c>
      <c r="U514" t="s">
        <v>39</v>
      </c>
      <c r="V514" t="s">
        <v>52</v>
      </c>
      <c r="W514" t="s">
        <v>52</v>
      </c>
      <c r="X514">
        <v>2023</v>
      </c>
      <c r="Y514" t="s">
        <v>211</v>
      </c>
      <c r="Z514" t="s">
        <v>41</v>
      </c>
    </row>
    <row r="515" spans="1:26">
      <c r="A515" t="s">
        <v>1280</v>
      </c>
      <c r="B515" t="s">
        <v>66</v>
      </c>
      <c r="C515" t="s">
        <v>102</v>
      </c>
      <c r="D515" t="s">
        <v>77</v>
      </c>
      <c r="E515" t="s">
        <v>78</v>
      </c>
      <c r="F515" t="s">
        <v>238</v>
      </c>
      <c r="G515" t="s">
        <v>58</v>
      </c>
      <c r="H515">
        <v>10</v>
      </c>
      <c r="I515">
        <v>7.8</v>
      </c>
      <c r="J515" t="s">
        <v>96</v>
      </c>
      <c r="K515" t="s">
        <v>793</v>
      </c>
      <c r="L515" t="s">
        <v>126</v>
      </c>
      <c r="M515" t="s">
        <v>1281</v>
      </c>
      <c r="N515" t="s">
        <v>71</v>
      </c>
      <c r="O515">
        <v>97</v>
      </c>
      <c r="P515" t="s">
        <v>112</v>
      </c>
      <c r="Q515">
        <v>5729</v>
      </c>
      <c r="R515">
        <v>0</v>
      </c>
      <c r="S515" t="s">
        <v>152</v>
      </c>
      <c r="T515" t="s">
        <v>81</v>
      </c>
      <c r="U515" t="s">
        <v>39</v>
      </c>
      <c r="V515" t="s">
        <v>52</v>
      </c>
      <c r="W515" t="s">
        <v>52</v>
      </c>
      <c r="X515">
        <v>2023</v>
      </c>
      <c r="Y515" t="s">
        <v>211</v>
      </c>
      <c r="Z515" t="s">
        <v>41</v>
      </c>
    </row>
    <row r="516" spans="1:26">
      <c r="A516" t="s">
        <v>1282</v>
      </c>
      <c r="B516" t="s">
        <v>93</v>
      </c>
      <c r="C516" t="s">
        <v>173</v>
      </c>
      <c r="D516" t="s">
        <v>122</v>
      </c>
      <c r="E516" t="s">
        <v>130</v>
      </c>
      <c r="F516" t="s">
        <v>124</v>
      </c>
      <c r="G516" t="s">
        <v>32</v>
      </c>
      <c r="H516">
        <v>4.8</v>
      </c>
      <c r="I516">
        <v>18.7</v>
      </c>
      <c r="J516" t="s">
        <v>33</v>
      </c>
      <c r="K516" t="s">
        <v>1283</v>
      </c>
      <c r="L516" t="s">
        <v>48</v>
      </c>
      <c r="M516" t="s">
        <v>1001</v>
      </c>
      <c r="N516" t="s">
        <v>100</v>
      </c>
      <c r="O516">
        <v>90</v>
      </c>
      <c r="P516" t="s">
        <v>2265</v>
      </c>
      <c r="Q516">
        <v>0</v>
      </c>
      <c r="R516">
        <v>0</v>
      </c>
      <c r="S516" t="s">
        <v>2265</v>
      </c>
      <c r="T516" t="s">
        <v>51</v>
      </c>
      <c r="U516" t="s">
        <v>39</v>
      </c>
      <c r="V516" t="s">
        <v>52</v>
      </c>
      <c r="W516" t="s">
        <v>52</v>
      </c>
      <c r="X516">
        <v>2024</v>
      </c>
      <c r="Y516" t="s">
        <v>211</v>
      </c>
      <c r="Z516" t="s">
        <v>41</v>
      </c>
    </row>
    <row r="517" spans="1:26">
      <c r="A517" t="s">
        <v>1284</v>
      </c>
      <c r="B517" t="s">
        <v>66</v>
      </c>
      <c r="C517" t="s">
        <v>102</v>
      </c>
      <c r="D517" t="s">
        <v>77</v>
      </c>
      <c r="E517" t="s">
        <v>216</v>
      </c>
      <c r="F517" t="s">
        <v>238</v>
      </c>
      <c r="G517" t="s">
        <v>32</v>
      </c>
      <c r="H517">
        <v>10.8</v>
      </c>
      <c r="I517">
        <v>7.7</v>
      </c>
      <c r="J517" t="s">
        <v>156</v>
      </c>
      <c r="K517" t="s">
        <v>338</v>
      </c>
      <c r="L517" t="s">
        <v>140</v>
      </c>
      <c r="M517" t="s">
        <v>1285</v>
      </c>
      <c r="N517" t="s">
        <v>50</v>
      </c>
      <c r="O517">
        <v>114</v>
      </c>
      <c r="P517" t="s">
        <v>2265</v>
      </c>
      <c r="Q517">
        <v>0</v>
      </c>
      <c r="R517">
        <v>500</v>
      </c>
      <c r="S517" t="s">
        <v>2265</v>
      </c>
      <c r="T517" t="s">
        <v>38</v>
      </c>
      <c r="U517" t="s">
        <v>39</v>
      </c>
      <c r="V517" t="s">
        <v>52</v>
      </c>
      <c r="W517" t="s">
        <v>52</v>
      </c>
      <c r="X517">
        <v>2022</v>
      </c>
      <c r="Y517" t="s">
        <v>91</v>
      </c>
      <c r="Z517" t="s">
        <v>64</v>
      </c>
    </row>
    <row r="518" spans="1:26">
      <c r="A518" t="s">
        <v>1286</v>
      </c>
      <c r="B518" t="s">
        <v>27</v>
      </c>
      <c r="C518" t="s">
        <v>67</v>
      </c>
      <c r="D518" t="s">
        <v>77</v>
      </c>
      <c r="E518" t="s">
        <v>220</v>
      </c>
      <c r="F518" t="s">
        <v>31</v>
      </c>
      <c r="G518" t="s">
        <v>32</v>
      </c>
      <c r="H518">
        <v>11.3</v>
      </c>
      <c r="I518">
        <v>4.5</v>
      </c>
      <c r="J518" t="s">
        <v>33</v>
      </c>
      <c r="K518" t="s">
        <v>1287</v>
      </c>
      <c r="L518" t="s">
        <v>98</v>
      </c>
      <c r="M518" t="s">
        <v>423</v>
      </c>
      <c r="N518" t="s">
        <v>50</v>
      </c>
      <c r="O518">
        <v>92</v>
      </c>
      <c r="P518" t="s">
        <v>2265</v>
      </c>
      <c r="Q518">
        <v>0</v>
      </c>
      <c r="R518">
        <v>0</v>
      </c>
      <c r="S518" t="s">
        <v>2265</v>
      </c>
      <c r="T518" t="s">
        <v>136</v>
      </c>
      <c r="U518" t="s">
        <v>39</v>
      </c>
      <c r="V518" t="s">
        <v>39</v>
      </c>
      <c r="W518" t="s">
        <v>39</v>
      </c>
      <c r="X518">
        <v>2022</v>
      </c>
      <c r="Y518" t="s">
        <v>40</v>
      </c>
      <c r="Z518" t="s">
        <v>41</v>
      </c>
    </row>
    <row r="519" spans="1:26">
      <c r="A519" t="s">
        <v>1288</v>
      </c>
      <c r="B519" t="s">
        <v>66</v>
      </c>
      <c r="C519" t="s">
        <v>28</v>
      </c>
      <c r="D519" t="s">
        <v>77</v>
      </c>
      <c r="E519" t="s">
        <v>94</v>
      </c>
      <c r="F519" t="s">
        <v>149</v>
      </c>
      <c r="G519" t="s">
        <v>32</v>
      </c>
      <c r="H519">
        <v>8.3000000000000007</v>
      </c>
      <c r="I519">
        <v>27.9</v>
      </c>
      <c r="J519" t="s">
        <v>33</v>
      </c>
      <c r="K519" t="s">
        <v>1271</v>
      </c>
      <c r="L519" t="s">
        <v>98</v>
      </c>
      <c r="M519" t="s">
        <v>190</v>
      </c>
      <c r="N519" t="s">
        <v>71</v>
      </c>
      <c r="O519">
        <v>78</v>
      </c>
      <c r="P519" t="s">
        <v>112</v>
      </c>
      <c r="Q519">
        <v>6075</v>
      </c>
      <c r="R519">
        <v>5000</v>
      </c>
      <c r="S519" t="s">
        <v>152</v>
      </c>
      <c r="T519" t="s">
        <v>38</v>
      </c>
      <c r="U519" t="s">
        <v>39</v>
      </c>
      <c r="V519" t="s">
        <v>39</v>
      </c>
      <c r="W519" t="s">
        <v>39</v>
      </c>
      <c r="X519">
        <v>2024</v>
      </c>
      <c r="Y519" t="s">
        <v>114</v>
      </c>
      <c r="Z519" t="s">
        <v>41</v>
      </c>
    </row>
    <row r="520" spans="1:26">
      <c r="A520" t="s">
        <v>1289</v>
      </c>
      <c r="B520" t="s">
        <v>66</v>
      </c>
      <c r="C520" t="s">
        <v>28</v>
      </c>
      <c r="D520" t="s">
        <v>29</v>
      </c>
      <c r="E520" t="s">
        <v>117</v>
      </c>
      <c r="F520" t="s">
        <v>31</v>
      </c>
      <c r="G520" t="s">
        <v>58</v>
      </c>
      <c r="H520">
        <v>11.8</v>
      </c>
      <c r="I520">
        <v>17</v>
      </c>
      <c r="J520" t="s">
        <v>144</v>
      </c>
      <c r="K520" t="s">
        <v>505</v>
      </c>
      <c r="L520" t="s">
        <v>126</v>
      </c>
      <c r="M520" t="s">
        <v>127</v>
      </c>
      <c r="N520" t="s">
        <v>71</v>
      </c>
      <c r="O520">
        <v>58</v>
      </c>
      <c r="P520" t="s">
        <v>112</v>
      </c>
      <c r="Q520">
        <v>3903</v>
      </c>
      <c r="R520">
        <v>1000</v>
      </c>
      <c r="S520" t="s">
        <v>152</v>
      </c>
      <c r="T520" t="s">
        <v>62</v>
      </c>
      <c r="U520" t="s">
        <v>39</v>
      </c>
      <c r="V520" t="s">
        <v>39</v>
      </c>
      <c r="W520" t="s">
        <v>52</v>
      </c>
      <c r="X520">
        <v>2024</v>
      </c>
      <c r="Y520" t="s">
        <v>128</v>
      </c>
      <c r="Z520" t="s">
        <v>64</v>
      </c>
    </row>
    <row r="521" spans="1:26">
      <c r="A521" t="s">
        <v>1290</v>
      </c>
      <c r="B521" t="s">
        <v>27</v>
      </c>
      <c r="C521" t="s">
        <v>121</v>
      </c>
      <c r="D521" t="s">
        <v>29</v>
      </c>
      <c r="E521" t="s">
        <v>94</v>
      </c>
      <c r="F521" t="s">
        <v>95</v>
      </c>
      <c r="G521" t="s">
        <v>58</v>
      </c>
      <c r="H521">
        <v>9.8000000000000007</v>
      </c>
      <c r="I521">
        <v>27.5</v>
      </c>
      <c r="J521" t="s">
        <v>96</v>
      </c>
      <c r="K521" t="s">
        <v>1291</v>
      </c>
      <c r="L521" t="s">
        <v>48</v>
      </c>
      <c r="M521" t="s">
        <v>1028</v>
      </c>
      <c r="N521" t="s">
        <v>71</v>
      </c>
      <c r="O521">
        <v>104</v>
      </c>
      <c r="P521" t="s">
        <v>230</v>
      </c>
      <c r="Q521">
        <v>3112</v>
      </c>
      <c r="R521">
        <v>1000</v>
      </c>
      <c r="S521" t="s">
        <v>113</v>
      </c>
      <c r="T521" t="s">
        <v>62</v>
      </c>
      <c r="U521" t="s">
        <v>39</v>
      </c>
      <c r="V521" t="s">
        <v>39</v>
      </c>
      <c r="W521" t="s">
        <v>52</v>
      </c>
      <c r="X521">
        <v>2023</v>
      </c>
      <c r="Y521" t="s">
        <v>106</v>
      </c>
      <c r="Z521" t="s">
        <v>83</v>
      </c>
    </row>
    <row r="522" spans="1:26">
      <c r="A522" t="s">
        <v>1292</v>
      </c>
      <c r="B522" t="s">
        <v>116</v>
      </c>
      <c r="C522" t="s">
        <v>28</v>
      </c>
      <c r="D522" t="s">
        <v>122</v>
      </c>
      <c r="E522" t="s">
        <v>123</v>
      </c>
      <c r="F522" t="s">
        <v>95</v>
      </c>
      <c r="G522" t="s">
        <v>32</v>
      </c>
      <c r="H522">
        <v>1.1000000000000001</v>
      </c>
      <c r="I522">
        <v>9.4</v>
      </c>
      <c r="J522" t="s">
        <v>33</v>
      </c>
      <c r="K522" t="s">
        <v>456</v>
      </c>
      <c r="L522" t="s">
        <v>140</v>
      </c>
      <c r="M522" t="s">
        <v>628</v>
      </c>
      <c r="N522" t="s">
        <v>37</v>
      </c>
      <c r="O522">
        <v>33</v>
      </c>
      <c r="P522" t="s">
        <v>2265</v>
      </c>
      <c r="Q522">
        <v>0</v>
      </c>
      <c r="R522">
        <v>0</v>
      </c>
      <c r="S522" t="s">
        <v>2265</v>
      </c>
      <c r="T522" t="s">
        <v>81</v>
      </c>
      <c r="U522" t="s">
        <v>52</v>
      </c>
      <c r="V522" t="s">
        <v>52</v>
      </c>
      <c r="W522" t="s">
        <v>39</v>
      </c>
      <c r="X522">
        <v>2022</v>
      </c>
      <c r="Y522" t="s">
        <v>312</v>
      </c>
      <c r="Z522" t="s">
        <v>83</v>
      </c>
    </row>
    <row r="523" spans="1:26">
      <c r="A523" t="s">
        <v>1293</v>
      </c>
      <c r="B523" t="s">
        <v>27</v>
      </c>
      <c r="C523" t="s">
        <v>121</v>
      </c>
      <c r="D523" t="s">
        <v>77</v>
      </c>
      <c r="E523" t="s">
        <v>168</v>
      </c>
      <c r="F523" t="s">
        <v>46</v>
      </c>
      <c r="G523" t="s">
        <v>32</v>
      </c>
      <c r="H523">
        <v>7.9</v>
      </c>
      <c r="I523">
        <v>15.8</v>
      </c>
      <c r="J523" t="s">
        <v>20</v>
      </c>
      <c r="K523" t="s">
        <v>1294</v>
      </c>
      <c r="L523" t="s">
        <v>140</v>
      </c>
      <c r="M523" t="s">
        <v>1129</v>
      </c>
      <c r="N523" t="s">
        <v>61</v>
      </c>
      <c r="O523">
        <v>133</v>
      </c>
      <c r="P523" t="s">
        <v>2265</v>
      </c>
      <c r="Q523">
        <v>0</v>
      </c>
      <c r="R523">
        <v>0</v>
      </c>
      <c r="S523" t="s">
        <v>2265</v>
      </c>
      <c r="T523" t="s">
        <v>62</v>
      </c>
      <c r="U523" t="s">
        <v>39</v>
      </c>
      <c r="V523" t="s">
        <v>52</v>
      </c>
      <c r="W523" t="s">
        <v>39</v>
      </c>
      <c r="X523">
        <v>2022</v>
      </c>
      <c r="Y523" t="s">
        <v>74</v>
      </c>
      <c r="Z523" t="s">
        <v>54</v>
      </c>
    </row>
    <row r="524" spans="1:26">
      <c r="A524" t="s">
        <v>1295</v>
      </c>
      <c r="B524" t="s">
        <v>27</v>
      </c>
      <c r="C524" t="s">
        <v>102</v>
      </c>
      <c r="D524" t="s">
        <v>77</v>
      </c>
      <c r="E524" t="s">
        <v>363</v>
      </c>
      <c r="F524" t="s">
        <v>31</v>
      </c>
      <c r="G524" t="s">
        <v>32</v>
      </c>
      <c r="H524">
        <v>10</v>
      </c>
      <c r="I524">
        <v>33.5</v>
      </c>
      <c r="J524" t="s">
        <v>33</v>
      </c>
      <c r="K524" t="s">
        <v>1296</v>
      </c>
      <c r="L524" t="s">
        <v>48</v>
      </c>
      <c r="M524" t="s">
        <v>1297</v>
      </c>
      <c r="N524" t="s">
        <v>71</v>
      </c>
      <c r="O524">
        <v>49</v>
      </c>
      <c r="P524" t="s">
        <v>105</v>
      </c>
      <c r="Q524">
        <v>5455</v>
      </c>
      <c r="R524">
        <v>5000</v>
      </c>
      <c r="S524" t="s">
        <v>90</v>
      </c>
      <c r="T524" t="s">
        <v>38</v>
      </c>
      <c r="U524" t="s">
        <v>39</v>
      </c>
      <c r="V524" t="s">
        <v>52</v>
      </c>
      <c r="W524" t="s">
        <v>52</v>
      </c>
      <c r="X524">
        <v>2022</v>
      </c>
      <c r="Y524" t="s">
        <v>312</v>
      </c>
      <c r="Z524" t="s">
        <v>83</v>
      </c>
    </row>
    <row r="525" spans="1:26">
      <c r="A525" t="s">
        <v>1298</v>
      </c>
      <c r="B525" t="s">
        <v>43</v>
      </c>
      <c r="C525" t="s">
        <v>102</v>
      </c>
      <c r="D525" t="s">
        <v>77</v>
      </c>
      <c r="E525" t="s">
        <v>94</v>
      </c>
      <c r="F525" t="s">
        <v>95</v>
      </c>
      <c r="G525" t="s">
        <v>32</v>
      </c>
      <c r="H525">
        <v>8.1999999999999993</v>
      </c>
      <c r="I525">
        <v>32.9</v>
      </c>
      <c r="J525" t="s">
        <v>156</v>
      </c>
      <c r="K525" t="s">
        <v>1299</v>
      </c>
      <c r="L525" t="s">
        <v>98</v>
      </c>
      <c r="M525" t="s">
        <v>1270</v>
      </c>
      <c r="N525" t="s">
        <v>61</v>
      </c>
      <c r="O525">
        <v>22</v>
      </c>
      <c r="P525" t="s">
        <v>2265</v>
      </c>
      <c r="Q525">
        <v>0</v>
      </c>
      <c r="R525">
        <v>0</v>
      </c>
      <c r="S525" t="s">
        <v>2265</v>
      </c>
      <c r="T525" t="s">
        <v>81</v>
      </c>
      <c r="U525" t="s">
        <v>39</v>
      </c>
      <c r="V525" t="s">
        <v>52</v>
      </c>
      <c r="W525" t="s">
        <v>52</v>
      </c>
      <c r="X525">
        <v>2024</v>
      </c>
      <c r="Y525" t="s">
        <v>40</v>
      </c>
      <c r="Z525" t="s">
        <v>41</v>
      </c>
    </row>
    <row r="526" spans="1:26">
      <c r="A526" t="s">
        <v>1300</v>
      </c>
      <c r="B526" t="s">
        <v>116</v>
      </c>
      <c r="C526" t="s">
        <v>173</v>
      </c>
      <c r="D526" t="s">
        <v>85</v>
      </c>
      <c r="E526" t="s">
        <v>208</v>
      </c>
      <c r="F526" t="s">
        <v>95</v>
      </c>
      <c r="G526" t="s">
        <v>58</v>
      </c>
      <c r="H526">
        <v>0.4</v>
      </c>
      <c r="I526">
        <v>21.3</v>
      </c>
      <c r="J526" t="s">
        <v>156</v>
      </c>
      <c r="K526" t="s">
        <v>1092</v>
      </c>
      <c r="L526" t="s">
        <v>140</v>
      </c>
      <c r="M526" t="s">
        <v>857</v>
      </c>
      <c r="N526" t="s">
        <v>100</v>
      </c>
      <c r="O526">
        <v>112</v>
      </c>
      <c r="P526" t="s">
        <v>2265</v>
      </c>
      <c r="Q526">
        <v>0</v>
      </c>
      <c r="R526">
        <v>0</v>
      </c>
      <c r="S526" t="s">
        <v>2265</v>
      </c>
      <c r="T526" t="s">
        <v>136</v>
      </c>
      <c r="U526" t="s">
        <v>39</v>
      </c>
      <c r="V526" t="s">
        <v>52</v>
      </c>
      <c r="W526" t="s">
        <v>39</v>
      </c>
      <c r="X526">
        <v>2023</v>
      </c>
      <c r="Y526" t="s">
        <v>91</v>
      </c>
      <c r="Z526" t="s">
        <v>64</v>
      </c>
    </row>
    <row r="527" spans="1:26">
      <c r="A527" t="s">
        <v>1301</v>
      </c>
      <c r="B527" t="s">
        <v>43</v>
      </c>
      <c r="C527" t="s">
        <v>44</v>
      </c>
      <c r="D527" t="s">
        <v>122</v>
      </c>
      <c r="E527" t="s">
        <v>155</v>
      </c>
      <c r="F527" t="s">
        <v>95</v>
      </c>
      <c r="G527" t="s">
        <v>58</v>
      </c>
      <c r="H527">
        <v>0.2</v>
      </c>
      <c r="I527">
        <v>13.5</v>
      </c>
      <c r="J527" t="s">
        <v>33</v>
      </c>
      <c r="K527" t="s">
        <v>270</v>
      </c>
      <c r="L527" t="s">
        <v>140</v>
      </c>
      <c r="M527" t="s">
        <v>642</v>
      </c>
      <c r="N527" t="s">
        <v>37</v>
      </c>
      <c r="O527">
        <v>38</v>
      </c>
      <c r="P527" t="s">
        <v>2265</v>
      </c>
      <c r="Q527">
        <v>0</v>
      </c>
      <c r="R527">
        <v>500</v>
      </c>
      <c r="S527" t="s">
        <v>2265</v>
      </c>
      <c r="T527" t="s">
        <v>51</v>
      </c>
      <c r="U527" t="s">
        <v>52</v>
      </c>
      <c r="V527" t="s">
        <v>39</v>
      </c>
      <c r="W527" t="s">
        <v>52</v>
      </c>
      <c r="X527">
        <v>2023</v>
      </c>
      <c r="Y527" t="s">
        <v>40</v>
      </c>
      <c r="Z527" t="s">
        <v>41</v>
      </c>
    </row>
    <row r="528" spans="1:26">
      <c r="A528" t="s">
        <v>1302</v>
      </c>
      <c r="B528" t="s">
        <v>43</v>
      </c>
      <c r="C528" t="s">
        <v>67</v>
      </c>
      <c r="D528" t="s">
        <v>77</v>
      </c>
      <c r="E528" t="s">
        <v>168</v>
      </c>
      <c r="F528" t="s">
        <v>109</v>
      </c>
      <c r="G528" t="s">
        <v>32</v>
      </c>
      <c r="H528">
        <v>3.9</v>
      </c>
      <c r="I528">
        <v>26.4</v>
      </c>
      <c r="J528" t="s">
        <v>144</v>
      </c>
      <c r="K528" t="s">
        <v>1303</v>
      </c>
      <c r="L528" t="s">
        <v>140</v>
      </c>
      <c r="M528" t="s">
        <v>227</v>
      </c>
      <c r="N528" t="s">
        <v>71</v>
      </c>
      <c r="O528">
        <v>156</v>
      </c>
      <c r="P528" t="s">
        <v>89</v>
      </c>
      <c r="Q528">
        <v>3392</v>
      </c>
      <c r="R528">
        <v>0</v>
      </c>
      <c r="S528" t="s">
        <v>152</v>
      </c>
      <c r="T528" t="s">
        <v>38</v>
      </c>
      <c r="U528" t="s">
        <v>39</v>
      </c>
      <c r="V528" t="s">
        <v>52</v>
      </c>
      <c r="W528" t="s">
        <v>52</v>
      </c>
      <c r="X528">
        <v>2023</v>
      </c>
      <c r="Y528" t="s">
        <v>40</v>
      </c>
      <c r="Z528" t="s">
        <v>41</v>
      </c>
    </row>
    <row r="529" spans="1:26">
      <c r="A529" t="s">
        <v>1304</v>
      </c>
      <c r="B529" t="s">
        <v>27</v>
      </c>
      <c r="C529" t="s">
        <v>44</v>
      </c>
      <c r="D529" t="s">
        <v>77</v>
      </c>
      <c r="E529" t="s">
        <v>94</v>
      </c>
      <c r="F529" t="s">
        <v>149</v>
      </c>
      <c r="G529" t="s">
        <v>58</v>
      </c>
      <c r="H529">
        <v>8.5</v>
      </c>
      <c r="I529">
        <v>9.1</v>
      </c>
      <c r="J529" t="s">
        <v>144</v>
      </c>
      <c r="K529" t="s">
        <v>996</v>
      </c>
      <c r="L529" t="s">
        <v>60</v>
      </c>
      <c r="M529" t="s">
        <v>1305</v>
      </c>
      <c r="N529" t="s">
        <v>171</v>
      </c>
      <c r="O529">
        <v>14</v>
      </c>
      <c r="P529" t="s">
        <v>2265</v>
      </c>
      <c r="Q529">
        <v>0</v>
      </c>
      <c r="R529">
        <v>0</v>
      </c>
      <c r="S529" t="s">
        <v>2265</v>
      </c>
      <c r="T529" t="s">
        <v>136</v>
      </c>
      <c r="U529" t="s">
        <v>39</v>
      </c>
      <c r="V529" t="s">
        <v>52</v>
      </c>
      <c r="W529" t="s">
        <v>52</v>
      </c>
      <c r="X529">
        <v>2023</v>
      </c>
      <c r="Y529" t="s">
        <v>40</v>
      </c>
      <c r="Z529" t="s">
        <v>41</v>
      </c>
    </row>
    <row r="530" spans="1:26">
      <c r="A530" t="s">
        <v>1306</v>
      </c>
      <c r="B530" t="s">
        <v>66</v>
      </c>
      <c r="C530" t="s">
        <v>28</v>
      </c>
      <c r="D530" t="s">
        <v>29</v>
      </c>
      <c r="E530" t="s">
        <v>94</v>
      </c>
      <c r="F530" t="s">
        <v>95</v>
      </c>
      <c r="G530" t="s">
        <v>58</v>
      </c>
      <c r="H530">
        <v>9.3000000000000007</v>
      </c>
      <c r="I530">
        <v>29.7</v>
      </c>
      <c r="J530" t="s">
        <v>33</v>
      </c>
      <c r="K530" t="s">
        <v>1307</v>
      </c>
      <c r="L530" t="s">
        <v>48</v>
      </c>
      <c r="M530" t="s">
        <v>996</v>
      </c>
      <c r="N530" t="s">
        <v>71</v>
      </c>
      <c r="O530">
        <v>79</v>
      </c>
      <c r="P530" t="s">
        <v>105</v>
      </c>
      <c r="Q530">
        <v>2751</v>
      </c>
      <c r="R530">
        <v>500</v>
      </c>
      <c r="S530" t="s">
        <v>73</v>
      </c>
      <c r="T530" t="s">
        <v>38</v>
      </c>
      <c r="U530" t="s">
        <v>39</v>
      </c>
      <c r="V530" t="s">
        <v>52</v>
      </c>
      <c r="W530" t="s">
        <v>52</v>
      </c>
      <c r="X530">
        <v>2023</v>
      </c>
      <c r="Y530" t="s">
        <v>74</v>
      </c>
      <c r="Z530" t="s">
        <v>54</v>
      </c>
    </row>
    <row r="531" spans="1:26">
      <c r="A531" t="s">
        <v>1308</v>
      </c>
      <c r="B531" t="s">
        <v>27</v>
      </c>
      <c r="C531" t="s">
        <v>28</v>
      </c>
      <c r="D531" t="s">
        <v>77</v>
      </c>
      <c r="E531" t="s">
        <v>94</v>
      </c>
      <c r="F531" t="s">
        <v>57</v>
      </c>
      <c r="G531" t="s">
        <v>58</v>
      </c>
      <c r="H531">
        <v>6.2</v>
      </c>
      <c r="I531">
        <v>34.9</v>
      </c>
      <c r="J531" t="s">
        <v>20</v>
      </c>
      <c r="K531" t="s">
        <v>780</v>
      </c>
      <c r="L531" t="s">
        <v>48</v>
      </c>
      <c r="M531" t="s">
        <v>547</v>
      </c>
      <c r="N531" t="s">
        <v>50</v>
      </c>
      <c r="O531">
        <v>35</v>
      </c>
      <c r="P531" t="s">
        <v>2265</v>
      </c>
      <c r="Q531">
        <v>0</v>
      </c>
      <c r="R531">
        <v>1000</v>
      </c>
      <c r="S531" t="s">
        <v>2265</v>
      </c>
      <c r="T531" t="s">
        <v>38</v>
      </c>
      <c r="U531" t="s">
        <v>52</v>
      </c>
      <c r="V531" t="s">
        <v>52</v>
      </c>
      <c r="W531" t="s">
        <v>52</v>
      </c>
      <c r="X531">
        <v>2024</v>
      </c>
      <c r="Y531" t="s">
        <v>128</v>
      </c>
      <c r="Z531" t="s">
        <v>64</v>
      </c>
    </row>
    <row r="532" spans="1:26">
      <c r="A532" t="s">
        <v>1309</v>
      </c>
      <c r="B532" t="s">
        <v>27</v>
      </c>
      <c r="C532" t="s">
        <v>67</v>
      </c>
      <c r="D532" t="s">
        <v>77</v>
      </c>
      <c r="E532" t="s">
        <v>220</v>
      </c>
      <c r="F532" t="s">
        <v>238</v>
      </c>
      <c r="G532" t="s">
        <v>32</v>
      </c>
      <c r="H532">
        <v>1</v>
      </c>
      <c r="I532">
        <v>29.5</v>
      </c>
      <c r="J532" t="s">
        <v>144</v>
      </c>
      <c r="K532" t="s">
        <v>336</v>
      </c>
      <c r="L532" t="s">
        <v>126</v>
      </c>
      <c r="M532" t="s">
        <v>1055</v>
      </c>
      <c r="N532" t="s">
        <v>37</v>
      </c>
      <c r="O532">
        <v>44</v>
      </c>
      <c r="P532" t="s">
        <v>2265</v>
      </c>
      <c r="Q532">
        <v>0</v>
      </c>
      <c r="R532">
        <v>0</v>
      </c>
      <c r="S532" t="s">
        <v>2265</v>
      </c>
      <c r="T532" t="s">
        <v>81</v>
      </c>
      <c r="U532" t="s">
        <v>39</v>
      </c>
      <c r="V532" t="s">
        <v>39</v>
      </c>
      <c r="W532" t="s">
        <v>52</v>
      </c>
      <c r="X532">
        <v>2024</v>
      </c>
      <c r="Y532" t="s">
        <v>40</v>
      </c>
      <c r="Z532" t="s">
        <v>41</v>
      </c>
    </row>
    <row r="533" spans="1:26">
      <c r="A533" t="s">
        <v>1310</v>
      </c>
      <c r="B533" t="s">
        <v>66</v>
      </c>
      <c r="C533" t="s">
        <v>44</v>
      </c>
      <c r="D533" t="s">
        <v>77</v>
      </c>
      <c r="E533" t="s">
        <v>143</v>
      </c>
      <c r="F533" t="s">
        <v>124</v>
      </c>
      <c r="G533" t="s">
        <v>32</v>
      </c>
      <c r="H533">
        <v>3.3</v>
      </c>
      <c r="I533">
        <v>0.6</v>
      </c>
      <c r="J533" t="s">
        <v>156</v>
      </c>
      <c r="K533" t="s">
        <v>1311</v>
      </c>
      <c r="L533" t="s">
        <v>140</v>
      </c>
      <c r="M533" t="s">
        <v>301</v>
      </c>
      <c r="N533" t="s">
        <v>50</v>
      </c>
      <c r="O533">
        <v>77</v>
      </c>
      <c r="P533" t="s">
        <v>2265</v>
      </c>
      <c r="Q533">
        <v>0</v>
      </c>
      <c r="R533">
        <v>500</v>
      </c>
      <c r="S533" t="s">
        <v>2265</v>
      </c>
      <c r="T533" t="s">
        <v>38</v>
      </c>
      <c r="U533" t="s">
        <v>52</v>
      </c>
      <c r="V533" t="s">
        <v>52</v>
      </c>
      <c r="W533" t="s">
        <v>52</v>
      </c>
      <c r="X533">
        <v>2023</v>
      </c>
      <c r="Y533" t="s">
        <v>211</v>
      </c>
      <c r="Z533" t="s">
        <v>41</v>
      </c>
    </row>
    <row r="534" spans="1:26">
      <c r="A534" t="s">
        <v>1312</v>
      </c>
      <c r="B534" t="s">
        <v>93</v>
      </c>
      <c r="C534" t="s">
        <v>164</v>
      </c>
      <c r="D534" t="s">
        <v>77</v>
      </c>
      <c r="E534" t="s">
        <v>260</v>
      </c>
      <c r="F534" t="s">
        <v>57</v>
      </c>
      <c r="G534" t="s">
        <v>32</v>
      </c>
      <c r="H534">
        <v>3.7</v>
      </c>
      <c r="I534">
        <v>4.2</v>
      </c>
      <c r="J534" t="s">
        <v>33</v>
      </c>
      <c r="K534" t="s">
        <v>1313</v>
      </c>
      <c r="L534" t="s">
        <v>35</v>
      </c>
      <c r="M534" t="s">
        <v>1314</v>
      </c>
      <c r="N534" t="s">
        <v>50</v>
      </c>
      <c r="O534">
        <v>158</v>
      </c>
      <c r="P534" t="s">
        <v>2265</v>
      </c>
      <c r="Q534">
        <v>0</v>
      </c>
      <c r="R534">
        <v>500</v>
      </c>
      <c r="S534" t="s">
        <v>2265</v>
      </c>
      <c r="T534" t="s">
        <v>136</v>
      </c>
      <c r="U534" t="s">
        <v>52</v>
      </c>
      <c r="V534" t="s">
        <v>39</v>
      </c>
      <c r="W534" t="s">
        <v>39</v>
      </c>
      <c r="X534">
        <v>2022</v>
      </c>
      <c r="Y534" t="s">
        <v>106</v>
      </c>
      <c r="Z534" t="s">
        <v>83</v>
      </c>
    </row>
    <row r="535" spans="1:26">
      <c r="A535" t="s">
        <v>1315</v>
      </c>
      <c r="B535" t="s">
        <v>43</v>
      </c>
      <c r="C535" t="s">
        <v>121</v>
      </c>
      <c r="D535" t="s">
        <v>29</v>
      </c>
      <c r="E535" t="s">
        <v>244</v>
      </c>
      <c r="F535" t="s">
        <v>57</v>
      </c>
      <c r="G535" t="s">
        <v>32</v>
      </c>
      <c r="H535">
        <v>2</v>
      </c>
      <c r="I535">
        <v>23.2</v>
      </c>
      <c r="J535" t="s">
        <v>33</v>
      </c>
      <c r="K535" t="s">
        <v>184</v>
      </c>
      <c r="L535" t="s">
        <v>60</v>
      </c>
      <c r="M535" t="s">
        <v>464</v>
      </c>
      <c r="N535" t="s">
        <v>71</v>
      </c>
      <c r="O535">
        <v>106</v>
      </c>
      <c r="P535" t="s">
        <v>112</v>
      </c>
      <c r="Q535">
        <v>3496</v>
      </c>
      <c r="R535">
        <v>0</v>
      </c>
      <c r="S535" t="s">
        <v>113</v>
      </c>
      <c r="T535" t="s">
        <v>62</v>
      </c>
      <c r="U535" t="s">
        <v>39</v>
      </c>
      <c r="V535" t="s">
        <v>39</v>
      </c>
      <c r="W535" t="s">
        <v>52</v>
      </c>
      <c r="X535">
        <v>2022</v>
      </c>
      <c r="Y535" t="s">
        <v>128</v>
      </c>
      <c r="Z535" t="s">
        <v>64</v>
      </c>
    </row>
    <row r="536" spans="1:26">
      <c r="A536" t="s">
        <v>1316</v>
      </c>
      <c r="B536" t="s">
        <v>66</v>
      </c>
      <c r="C536" t="s">
        <v>102</v>
      </c>
      <c r="D536" t="s">
        <v>77</v>
      </c>
      <c r="E536" t="s">
        <v>216</v>
      </c>
      <c r="F536" t="s">
        <v>95</v>
      </c>
      <c r="G536" t="s">
        <v>58</v>
      </c>
      <c r="H536">
        <v>0.2</v>
      </c>
      <c r="I536">
        <v>31</v>
      </c>
      <c r="J536" t="s">
        <v>33</v>
      </c>
      <c r="K536" t="s">
        <v>1317</v>
      </c>
      <c r="L536" t="s">
        <v>35</v>
      </c>
      <c r="M536" t="s">
        <v>305</v>
      </c>
      <c r="N536" t="s">
        <v>100</v>
      </c>
      <c r="O536">
        <v>91</v>
      </c>
      <c r="P536" t="s">
        <v>2265</v>
      </c>
      <c r="Q536">
        <v>0</v>
      </c>
      <c r="R536">
        <v>0</v>
      </c>
      <c r="S536" t="s">
        <v>2265</v>
      </c>
      <c r="T536" t="s">
        <v>81</v>
      </c>
      <c r="U536" t="s">
        <v>52</v>
      </c>
      <c r="V536" t="s">
        <v>52</v>
      </c>
      <c r="W536" t="s">
        <v>52</v>
      </c>
      <c r="X536">
        <v>2022</v>
      </c>
      <c r="Y536" t="s">
        <v>91</v>
      </c>
      <c r="Z536" t="s">
        <v>64</v>
      </c>
    </row>
    <row r="537" spans="1:26">
      <c r="A537" t="s">
        <v>1318</v>
      </c>
      <c r="B537" t="s">
        <v>108</v>
      </c>
      <c r="C537" t="s">
        <v>164</v>
      </c>
      <c r="D537" t="s">
        <v>77</v>
      </c>
      <c r="E537" t="s">
        <v>216</v>
      </c>
      <c r="F537" t="s">
        <v>46</v>
      </c>
      <c r="G537" t="s">
        <v>32</v>
      </c>
      <c r="H537">
        <v>1.5</v>
      </c>
      <c r="I537">
        <v>17.399999999999999</v>
      </c>
      <c r="J537" t="s">
        <v>20</v>
      </c>
      <c r="K537" t="s">
        <v>192</v>
      </c>
      <c r="L537" t="s">
        <v>98</v>
      </c>
      <c r="M537" t="s">
        <v>1319</v>
      </c>
      <c r="N537" t="s">
        <v>61</v>
      </c>
      <c r="O537">
        <v>123</v>
      </c>
      <c r="P537" t="s">
        <v>2265</v>
      </c>
      <c r="Q537">
        <v>0</v>
      </c>
      <c r="R537">
        <v>0</v>
      </c>
      <c r="S537" t="s">
        <v>2265</v>
      </c>
      <c r="T537" t="s">
        <v>136</v>
      </c>
      <c r="U537" t="s">
        <v>39</v>
      </c>
      <c r="V537" t="s">
        <v>39</v>
      </c>
      <c r="W537" t="s">
        <v>39</v>
      </c>
      <c r="X537">
        <v>2023</v>
      </c>
      <c r="Y537" t="s">
        <v>82</v>
      </c>
      <c r="Z537" t="s">
        <v>83</v>
      </c>
    </row>
    <row r="538" spans="1:26">
      <c r="A538" t="s">
        <v>1320</v>
      </c>
      <c r="B538" t="s">
        <v>27</v>
      </c>
      <c r="C538" t="s">
        <v>76</v>
      </c>
      <c r="D538" t="s">
        <v>77</v>
      </c>
      <c r="E538" t="s">
        <v>216</v>
      </c>
      <c r="F538" t="s">
        <v>57</v>
      </c>
      <c r="G538" t="s">
        <v>32</v>
      </c>
      <c r="H538">
        <v>8.1999999999999993</v>
      </c>
      <c r="I538">
        <v>12.3</v>
      </c>
      <c r="J538" t="s">
        <v>33</v>
      </c>
      <c r="K538" t="s">
        <v>1321</v>
      </c>
      <c r="L538" t="s">
        <v>60</v>
      </c>
      <c r="M538" t="s">
        <v>192</v>
      </c>
      <c r="N538" t="s">
        <v>71</v>
      </c>
      <c r="O538">
        <v>89</v>
      </c>
      <c r="P538" t="s">
        <v>112</v>
      </c>
      <c r="Q538">
        <v>4937</v>
      </c>
      <c r="R538">
        <v>0</v>
      </c>
      <c r="S538" t="s">
        <v>73</v>
      </c>
      <c r="T538" t="s">
        <v>136</v>
      </c>
      <c r="U538" t="s">
        <v>39</v>
      </c>
      <c r="V538" t="s">
        <v>52</v>
      </c>
      <c r="W538" t="s">
        <v>52</v>
      </c>
      <c r="X538">
        <v>2022</v>
      </c>
      <c r="Y538" t="s">
        <v>128</v>
      </c>
      <c r="Z538" t="s">
        <v>64</v>
      </c>
    </row>
    <row r="539" spans="1:26">
      <c r="A539" t="s">
        <v>1322</v>
      </c>
      <c r="B539" t="s">
        <v>43</v>
      </c>
      <c r="C539" t="s">
        <v>121</v>
      </c>
      <c r="D539" t="s">
        <v>29</v>
      </c>
      <c r="E539" t="s">
        <v>45</v>
      </c>
      <c r="F539" t="s">
        <v>95</v>
      </c>
      <c r="G539" t="s">
        <v>58</v>
      </c>
      <c r="H539">
        <v>3</v>
      </c>
      <c r="I539">
        <v>28.8</v>
      </c>
      <c r="J539" t="s">
        <v>33</v>
      </c>
      <c r="K539" t="s">
        <v>659</v>
      </c>
      <c r="L539" t="s">
        <v>140</v>
      </c>
      <c r="M539" t="s">
        <v>785</v>
      </c>
      <c r="N539" t="s">
        <v>71</v>
      </c>
      <c r="O539">
        <v>72</v>
      </c>
      <c r="P539" t="s">
        <v>89</v>
      </c>
      <c r="Q539">
        <v>2579</v>
      </c>
      <c r="R539">
        <v>2000</v>
      </c>
      <c r="S539" t="s">
        <v>113</v>
      </c>
      <c r="T539" t="s">
        <v>38</v>
      </c>
      <c r="U539" t="s">
        <v>39</v>
      </c>
      <c r="V539" t="s">
        <v>52</v>
      </c>
      <c r="W539" t="s">
        <v>39</v>
      </c>
      <c r="X539">
        <v>2023</v>
      </c>
      <c r="Y539" t="s">
        <v>53</v>
      </c>
      <c r="Z539" t="s">
        <v>54</v>
      </c>
    </row>
    <row r="540" spans="1:26">
      <c r="A540" t="s">
        <v>1323</v>
      </c>
      <c r="B540" t="s">
        <v>108</v>
      </c>
      <c r="C540" t="s">
        <v>173</v>
      </c>
      <c r="D540" t="s">
        <v>29</v>
      </c>
      <c r="E540" t="s">
        <v>45</v>
      </c>
      <c r="F540" t="s">
        <v>124</v>
      </c>
      <c r="G540" t="s">
        <v>58</v>
      </c>
      <c r="H540">
        <v>1.2</v>
      </c>
      <c r="I540">
        <v>2.2999999999999998</v>
      </c>
      <c r="J540" t="s">
        <v>33</v>
      </c>
      <c r="K540" t="s">
        <v>443</v>
      </c>
      <c r="L540" t="s">
        <v>126</v>
      </c>
      <c r="M540" t="s">
        <v>984</v>
      </c>
      <c r="N540" t="s">
        <v>71</v>
      </c>
      <c r="O540">
        <v>110</v>
      </c>
      <c r="P540" t="s">
        <v>112</v>
      </c>
      <c r="Q540">
        <v>4025</v>
      </c>
      <c r="R540">
        <v>0</v>
      </c>
      <c r="S540" t="s">
        <v>73</v>
      </c>
      <c r="T540" t="s">
        <v>62</v>
      </c>
      <c r="U540" t="s">
        <v>52</v>
      </c>
      <c r="V540" t="s">
        <v>52</v>
      </c>
      <c r="W540" t="s">
        <v>39</v>
      </c>
      <c r="X540">
        <v>2022</v>
      </c>
      <c r="Y540" t="s">
        <v>91</v>
      </c>
      <c r="Z540" t="s">
        <v>64</v>
      </c>
    </row>
    <row r="541" spans="1:26">
      <c r="A541" t="s">
        <v>1324</v>
      </c>
      <c r="B541" t="s">
        <v>43</v>
      </c>
      <c r="C541" t="s">
        <v>67</v>
      </c>
      <c r="D541" t="s">
        <v>29</v>
      </c>
      <c r="E541" t="s">
        <v>30</v>
      </c>
      <c r="F541" t="s">
        <v>238</v>
      </c>
      <c r="G541" t="s">
        <v>58</v>
      </c>
      <c r="H541">
        <v>11.3</v>
      </c>
      <c r="I541">
        <v>25</v>
      </c>
      <c r="J541" t="s">
        <v>33</v>
      </c>
      <c r="K541" t="s">
        <v>1325</v>
      </c>
      <c r="L541" t="s">
        <v>35</v>
      </c>
      <c r="M541" t="s">
        <v>151</v>
      </c>
      <c r="N541" t="s">
        <v>61</v>
      </c>
      <c r="O541">
        <v>94</v>
      </c>
      <c r="P541" t="s">
        <v>2265</v>
      </c>
      <c r="Q541">
        <v>0</v>
      </c>
      <c r="R541">
        <v>0</v>
      </c>
      <c r="S541" t="s">
        <v>2265</v>
      </c>
      <c r="T541" t="s">
        <v>38</v>
      </c>
      <c r="U541" t="s">
        <v>39</v>
      </c>
      <c r="V541" t="s">
        <v>39</v>
      </c>
      <c r="W541" t="s">
        <v>52</v>
      </c>
      <c r="X541">
        <v>2023</v>
      </c>
      <c r="Y541" t="s">
        <v>40</v>
      </c>
      <c r="Z541" t="s">
        <v>41</v>
      </c>
    </row>
    <row r="542" spans="1:26">
      <c r="A542" t="s">
        <v>1326</v>
      </c>
      <c r="B542" t="s">
        <v>116</v>
      </c>
      <c r="C542" t="s">
        <v>76</v>
      </c>
      <c r="D542" t="s">
        <v>77</v>
      </c>
      <c r="E542" t="s">
        <v>168</v>
      </c>
      <c r="F542" t="s">
        <v>109</v>
      </c>
      <c r="G542" t="s">
        <v>58</v>
      </c>
      <c r="H542">
        <v>4.4000000000000004</v>
      </c>
      <c r="I542">
        <v>11</v>
      </c>
      <c r="J542" t="s">
        <v>33</v>
      </c>
      <c r="K542" t="s">
        <v>694</v>
      </c>
      <c r="L542" t="s">
        <v>60</v>
      </c>
      <c r="M542" t="s">
        <v>1327</v>
      </c>
      <c r="N542" t="s">
        <v>71</v>
      </c>
      <c r="O542">
        <v>111</v>
      </c>
      <c r="P542" t="s">
        <v>72</v>
      </c>
      <c r="Q542">
        <v>5066</v>
      </c>
      <c r="R542">
        <v>500</v>
      </c>
      <c r="S542" t="s">
        <v>152</v>
      </c>
      <c r="T542" t="s">
        <v>81</v>
      </c>
      <c r="U542" t="s">
        <v>39</v>
      </c>
      <c r="V542" t="s">
        <v>39</v>
      </c>
      <c r="W542" t="s">
        <v>52</v>
      </c>
      <c r="X542">
        <v>2022</v>
      </c>
      <c r="Y542" t="s">
        <v>40</v>
      </c>
      <c r="Z542" t="s">
        <v>41</v>
      </c>
    </row>
    <row r="543" spans="1:26">
      <c r="A543" t="s">
        <v>1328</v>
      </c>
      <c r="B543" t="s">
        <v>43</v>
      </c>
      <c r="C543" t="s">
        <v>102</v>
      </c>
      <c r="D543" t="s">
        <v>29</v>
      </c>
      <c r="E543" t="s">
        <v>30</v>
      </c>
      <c r="F543" t="s">
        <v>149</v>
      </c>
      <c r="G543" t="s">
        <v>58</v>
      </c>
      <c r="H543">
        <v>11.6</v>
      </c>
      <c r="I543">
        <v>31</v>
      </c>
      <c r="J543" t="s">
        <v>33</v>
      </c>
      <c r="K543" t="s">
        <v>1329</v>
      </c>
      <c r="L543" t="s">
        <v>140</v>
      </c>
      <c r="M543" t="s">
        <v>1330</v>
      </c>
      <c r="N543" t="s">
        <v>71</v>
      </c>
      <c r="O543">
        <v>162</v>
      </c>
      <c r="P543" t="s">
        <v>105</v>
      </c>
      <c r="Q543">
        <v>1668</v>
      </c>
      <c r="R543">
        <v>1000</v>
      </c>
      <c r="S543" t="s">
        <v>152</v>
      </c>
      <c r="T543" t="s">
        <v>51</v>
      </c>
      <c r="U543" t="s">
        <v>52</v>
      </c>
      <c r="V543" t="s">
        <v>39</v>
      </c>
      <c r="W543" t="s">
        <v>52</v>
      </c>
      <c r="X543">
        <v>2022</v>
      </c>
      <c r="Y543" t="s">
        <v>114</v>
      </c>
      <c r="Z543" t="s">
        <v>41</v>
      </c>
    </row>
    <row r="544" spans="1:26">
      <c r="A544" t="s">
        <v>1331</v>
      </c>
      <c r="B544" t="s">
        <v>27</v>
      </c>
      <c r="C544" t="s">
        <v>67</v>
      </c>
      <c r="D544" t="s">
        <v>77</v>
      </c>
      <c r="E544" t="s">
        <v>216</v>
      </c>
      <c r="F544" t="s">
        <v>46</v>
      </c>
      <c r="G544" t="s">
        <v>32</v>
      </c>
      <c r="H544">
        <v>10.7</v>
      </c>
      <c r="I544">
        <v>26.7</v>
      </c>
      <c r="J544" t="s">
        <v>156</v>
      </c>
      <c r="K544" t="s">
        <v>186</v>
      </c>
      <c r="L544" t="s">
        <v>98</v>
      </c>
      <c r="M544" t="s">
        <v>187</v>
      </c>
      <c r="N544" t="s">
        <v>61</v>
      </c>
      <c r="O544">
        <v>108</v>
      </c>
      <c r="P544" t="s">
        <v>2265</v>
      </c>
      <c r="Q544">
        <v>0</v>
      </c>
      <c r="R544">
        <v>0</v>
      </c>
      <c r="S544" t="s">
        <v>2265</v>
      </c>
      <c r="T544" t="s">
        <v>38</v>
      </c>
      <c r="U544" t="s">
        <v>52</v>
      </c>
      <c r="V544" t="s">
        <v>39</v>
      </c>
      <c r="W544" t="s">
        <v>52</v>
      </c>
      <c r="X544">
        <v>2023</v>
      </c>
      <c r="Y544" t="s">
        <v>106</v>
      </c>
      <c r="Z544" t="s">
        <v>83</v>
      </c>
    </row>
    <row r="545" spans="1:26">
      <c r="A545" t="s">
        <v>1332</v>
      </c>
      <c r="B545" t="s">
        <v>116</v>
      </c>
      <c r="C545" t="s">
        <v>76</v>
      </c>
      <c r="D545" t="s">
        <v>85</v>
      </c>
      <c r="E545" t="s">
        <v>138</v>
      </c>
      <c r="F545" t="s">
        <v>124</v>
      </c>
      <c r="G545" t="s">
        <v>32</v>
      </c>
      <c r="H545">
        <v>8.4</v>
      </c>
      <c r="I545">
        <v>4.9000000000000004</v>
      </c>
      <c r="J545" t="s">
        <v>144</v>
      </c>
      <c r="K545" t="s">
        <v>1333</v>
      </c>
      <c r="L545" t="s">
        <v>98</v>
      </c>
      <c r="M545" t="s">
        <v>1334</v>
      </c>
      <c r="N545" t="s">
        <v>71</v>
      </c>
      <c r="O545">
        <v>6</v>
      </c>
      <c r="P545" t="s">
        <v>105</v>
      </c>
      <c r="Q545">
        <v>2954</v>
      </c>
      <c r="R545">
        <v>0</v>
      </c>
      <c r="S545" t="s">
        <v>73</v>
      </c>
      <c r="T545" t="s">
        <v>81</v>
      </c>
      <c r="U545" t="s">
        <v>52</v>
      </c>
      <c r="V545" t="s">
        <v>52</v>
      </c>
      <c r="W545" t="s">
        <v>52</v>
      </c>
      <c r="X545">
        <v>2024</v>
      </c>
      <c r="Y545" t="s">
        <v>91</v>
      </c>
      <c r="Z545" t="s">
        <v>64</v>
      </c>
    </row>
    <row r="546" spans="1:26">
      <c r="A546" t="s">
        <v>1335</v>
      </c>
      <c r="B546" t="s">
        <v>27</v>
      </c>
      <c r="C546" t="s">
        <v>102</v>
      </c>
      <c r="D546" t="s">
        <v>29</v>
      </c>
      <c r="E546" t="s">
        <v>195</v>
      </c>
      <c r="F546" t="s">
        <v>31</v>
      </c>
      <c r="G546" t="s">
        <v>58</v>
      </c>
      <c r="H546">
        <v>2.6</v>
      </c>
      <c r="I546">
        <v>0.6</v>
      </c>
      <c r="J546" t="s">
        <v>96</v>
      </c>
      <c r="K546" t="s">
        <v>1123</v>
      </c>
      <c r="L546" t="s">
        <v>140</v>
      </c>
      <c r="M546" t="s">
        <v>242</v>
      </c>
      <c r="N546" t="s">
        <v>61</v>
      </c>
      <c r="O546">
        <v>103</v>
      </c>
      <c r="P546" t="s">
        <v>2265</v>
      </c>
      <c r="Q546">
        <v>0</v>
      </c>
      <c r="R546">
        <v>0</v>
      </c>
      <c r="S546" t="s">
        <v>2265</v>
      </c>
      <c r="T546" t="s">
        <v>136</v>
      </c>
      <c r="U546" t="s">
        <v>39</v>
      </c>
      <c r="V546" t="s">
        <v>52</v>
      </c>
      <c r="W546" t="s">
        <v>52</v>
      </c>
      <c r="X546">
        <v>2024</v>
      </c>
      <c r="Y546" t="s">
        <v>312</v>
      </c>
      <c r="Z546" t="s">
        <v>83</v>
      </c>
    </row>
    <row r="547" spans="1:26">
      <c r="A547" t="s">
        <v>1336</v>
      </c>
      <c r="B547" t="s">
        <v>116</v>
      </c>
      <c r="C547" t="s">
        <v>164</v>
      </c>
      <c r="D547" t="s">
        <v>29</v>
      </c>
      <c r="E547" t="s">
        <v>94</v>
      </c>
      <c r="F547" t="s">
        <v>160</v>
      </c>
      <c r="G547" t="s">
        <v>58</v>
      </c>
      <c r="H547">
        <v>0.6</v>
      </c>
      <c r="I547">
        <v>8.6999999999999993</v>
      </c>
      <c r="J547" t="s">
        <v>33</v>
      </c>
      <c r="K547" t="s">
        <v>1170</v>
      </c>
      <c r="L547" t="s">
        <v>35</v>
      </c>
      <c r="M547" t="s">
        <v>111</v>
      </c>
      <c r="N547" t="s">
        <v>71</v>
      </c>
      <c r="O547">
        <v>142</v>
      </c>
      <c r="P547" t="s">
        <v>89</v>
      </c>
      <c r="Q547">
        <v>2200</v>
      </c>
      <c r="R547">
        <v>0</v>
      </c>
      <c r="S547" t="s">
        <v>113</v>
      </c>
      <c r="T547" t="s">
        <v>62</v>
      </c>
      <c r="U547" t="s">
        <v>39</v>
      </c>
      <c r="V547" t="s">
        <v>39</v>
      </c>
      <c r="W547" t="s">
        <v>52</v>
      </c>
      <c r="X547">
        <v>2023</v>
      </c>
      <c r="Y547" t="s">
        <v>40</v>
      </c>
      <c r="Z547" t="s">
        <v>41</v>
      </c>
    </row>
    <row r="548" spans="1:26">
      <c r="A548" t="s">
        <v>1337</v>
      </c>
      <c r="B548" t="s">
        <v>27</v>
      </c>
      <c r="C548" t="s">
        <v>173</v>
      </c>
      <c r="D548" t="s">
        <v>77</v>
      </c>
      <c r="E548" t="s">
        <v>260</v>
      </c>
      <c r="F548" t="s">
        <v>46</v>
      </c>
      <c r="G548" t="s">
        <v>58</v>
      </c>
      <c r="H548">
        <v>8.6999999999999993</v>
      </c>
      <c r="I548">
        <v>14.6</v>
      </c>
      <c r="J548" t="s">
        <v>156</v>
      </c>
      <c r="K548" t="s">
        <v>1238</v>
      </c>
      <c r="L548" t="s">
        <v>35</v>
      </c>
      <c r="M548" t="s">
        <v>588</v>
      </c>
      <c r="N548" t="s">
        <v>61</v>
      </c>
      <c r="O548">
        <v>22</v>
      </c>
      <c r="P548" t="s">
        <v>2265</v>
      </c>
      <c r="Q548">
        <v>0</v>
      </c>
      <c r="R548">
        <v>0</v>
      </c>
      <c r="S548" t="s">
        <v>2265</v>
      </c>
      <c r="T548" t="s">
        <v>51</v>
      </c>
      <c r="U548" t="s">
        <v>39</v>
      </c>
      <c r="V548" t="s">
        <v>52</v>
      </c>
      <c r="W548" t="s">
        <v>52</v>
      </c>
      <c r="X548">
        <v>2023</v>
      </c>
      <c r="Y548" t="s">
        <v>91</v>
      </c>
      <c r="Z548" t="s">
        <v>64</v>
      </c>
    </row>
    <row r="549" spans="1:26">
      <c r="A549" t="s">
        <v>1338</v>
      </c>
      <c r="B549" t="s">
        <v>27</v>
      </c>
      <c r="C549" t="s">
        <v>102</v>
      </c>
      <c r="D549" t="s">
        <v>77</v>
      </c>
      <c r="E549" t="s">
        <v>168</v>
      </c>
      <c r="F549" t="s">
        <v>149</v>
      </c>
      <c r="G549" t="s">
        <v>58</v>
      </c>
      <c r="H549">
        <v>3.2</v>
      </c>
      <c r="I549">
        <v>22.1</v>
      </c>
      <c r="J549" t="s">
        <v>33</v>
      </c>
      <c r="K549" t="s">
        <v>1339</v>
      </c>
      <c r="L549" t="s">
        <v>60</v>
      </c>
      <c r="M549" t="s">
        <v>1314</v>
      </c>
      <c r="N549" t="s">
        <v>71</v>
      </c>
      <c r="O549">
        <v>138</v>
      </c>
      <c r="P549" t="s">
        <v>89</v>
      </c>
      <c r="Q549">
        <v>6129</v>
      </c>
      <c r="R549">
        <v>2000</v>
      </c>
      <c r="S549" t="s">
        <v>90</v>
      </c>
      <c r="T549" t="s">
        <v>81</v>
      </c>
      <c r="U549" t="s">
        <v>52</v>
      </c>
      <c r="V549" t="s">
        <v>39</v>
      </c>
      <c r="W549" t="s">
        <v>52</v>
      </c>
      <c r="X549">
        <v>2022</v>
      </c>
      <c r="Y549" t="s">
        <v>82</v>
      </c>
      <c r="Z549" t="s">
        <v>83</v>
      </c>
    </row>
    <row r="550" spans="1:26">
      <c r="A550" t="s">
        <v>1340</v>
      </c>
      <c r="B550" t="s">
        <v>43</v>
      </c>
      <c r="C550" t="s">
        <v>102</v>
      </c>
      <c r="D550" t="s">
        <v>122</v>
      </c>
      <c r="E550" t="s">
        <v>148</v>
      </c>
      <c r="F550" t="s">
        <v>31</v>
      </c>
      <c r="G550" t="s">
        <v>32</v>
      </c>
      <c r="H550">
        <v>5.6</v>
      </c>
      <c r="I550">
        <v>28.6</v>
      </c>
      <c r="J550" t="s">
        <v>156</v>
      </c>
      <c r="K550" t="s">
        <v>440</v>
      </c>
      <c r="L550" t="s">
        <v>48</v>
      </c>
      <c r="M550" t="s">
        <v>1104</v>
      </c>
      <c r="N550" t="s">
        <v>50</v>
      </c>
      <c r="O550">
        <v>24</v>
      </c>
      <c r="P550" t="s">
        <v>2265</v>
      </c>
      <c r="Q550">
        <v>0</v>
      </c>
      <c r="R550">
        <v>0</v>
      </c>
      <c r="S550" t="s">
        <v>2265</v>
      </c>
      <c r="T550" t="s">
        <v>51</v>
      </c>
      <c r="U550" t="s">
        <v>39</v>
      </c>
      <c r="V550" t="s">
        <v>52</v>
      </c>
      <c r="W550" t="s">
        <v>52</v>
      </c>
      <c r="X550">
        <v>2024</v>
      </c>
      <c r="Y550" t="s">
        <v>114</v>
      </c>
      <c r="Z550" t="s">
        <v>41</v>
      </c>
    </row>
    <row r="551" spans="1:26">
      <c r="A551" t="s">
        <v>1341</v>
      </c>
      <c r="B551" t="s">
        <v>108</v>
      </c>
      <c r="C551" t="s">
        <v>28</v>
      </c>
      <c r="D551" t="s">
        <v>77</v>
      </c>
      <c r="E551" t="s">
        <v>94</v>
      </c>
      <c r="F551" t="s">
        <v>109</v>
      </c>
      <c r="G551" t="s">
        <v>58</v>
      </c>
      <c r="H551">
        <v>3</v>
      </c>
      <c r="I551">
        <v>31.9</v>
      </c>
      <c r="J551" t="s">
        <v>156</v>
      </c>
      <c r="K551" t="s">
        <v>836</v>
      </c>
      <c r="L551" t="s">
        <v>35</v>
      </c>
      <c r="M551" t="s">
        <v>1342</v>
      </c>
      <c r="N551" t="s">
        <v>71</v>
      </c>
      <c r="O551">
        <v>18</v>
      </c>
      <c r="P551" t="s">
        <v>105</v>
      </c>
      <c r="Q551">
        <v>3590</v>
      </c>
      <c r="R551">
        <v>500</v>
      </c>
      <c r="S551" t="s">
        <v>73</v>
      </c>
      <c r="T551" t="s">
        <v>136</v>
      </c>
      <c r="U551" t="s">
        <v>52</v>
      </c>
      <c r="V551" t="s">
        <v>39</v>
      </c>
      <c r="W551" t="s">
        <v>39</v>
      </c>
      <c r="X551">
        <v>2023</v>
      </c>
      <c r="Y551" t="s">
        <v>106</v>
      </c>
      <c r="Z551" t="s">
        <v>83</v>
      </c>
    </row>
    <row r="552" spans="1:26">
      <c r="A552" t="s">
        <v>1343</v>
      </c>
      <c r="B552" t="s">
        <v>116</v>
      </c>
      <c r="C552" t="s">
        <v>28</v>
      </c>
      <c r="D552" t="s">
        <v>77</v>
      </c>
      <c r="E552" t="s">
        <v>220</v>
      </c>
      <c r="F552" t="s">
        <v>109</v>
      </c>
      <c r="G552" t="s">
        <v>32</v>
      </c>
      <c r="H552">
        <v>11.3</v>
      </c>
      <c r="I552">
        <v>21.2</v>
      </c>
      <c r="J552" t="s">
        <v>96</v>
      </c>
      <c r="K552" t="s">
        <v>577</v>
      </c>
      <c r="L552" t="s">
        <v>98</v>
      </c>
      <c r="M552" t="s">
        <v>1344</v>
      </c>
      <c r="N552" t="s">
        <v>71</v>
      </c>
      <c r="O552">
        <v>64</v>
      </c>
      <c r="P552" t="s">
        <v>230</v>
      </c>
      <c r="Q552">
        <v>5192</v>
      </c>
      <c r="R552">
        <v>0</v>
      </c>
      <c r="S552" t="s">
        <v>113</v>
      </c>
      <c r="T552" t="s">
        <v>81</v>
      </c>
      <c r="U552" t="s">
        <v>52</v>
      </c>
      <c r="V552" t="s">
        <v>52</v>
      </c>
      <c r="W552" t="s">
        <v>52</v>
      </c>
      <c r="X552">
        <v>2022</v>
      </c>
      <c r="Y552" t="s">
        <v>114</v>
      </c>
      <c r="Z552" t="s">
        <v>41</v>
      </c>
    </row>
    <row r="553" spans="1:26">
      <c r="A553" t="s">
        <v>1345</v>
      </c>
      <c r="B553" t="s">
        <v>27</v>
      </c>
      <c r="C553" t="s">
        <v>28</v>
      </c>
      <c r="D553" t="s">
        <v>77</v>
      </c>
      <c r="E553" t="s">
        <v>168</v>
      </c>
      <c r="F553" t="s">
        <v>238</v>
      </c>
      <c r="G553" t="s">
        <v>58</v>
      </c>
      <c r="H553">
        <v>6.6</v>
      </c>
      <c r="I553">
        <v>9.6999999999999993</v>
      </c>
      <c r="J553" t="s">
        <v>33</v>
      </c>
      <c r="K553" t="s">
        <v>1346</v>
      </c>
      <c r="L553" t="s">
        <v>140</v>
      </c>
      <c r="M553" t="s">
        <v>631</v>
      </c>
      <c r="N553" t="s">
        <v>71</v>
      </c>
      <c r="O553">
        <v>123</v>
      </c>
      <c r="P553" t="s">
        <v>72</v>
      </c>
      <c r="Q553">
        <v>4997</v>
      </c>
      <c r="R553">
        <v>0</v>
      </c>
      <c r="S553" t="s">
        <v>73</v>
      </c>
      <c r="T553" t="s">
        <v>62</v>
      </c>
      <c r="U553" t="s">
        <v>52</v>
      </c>
      <c r="V553" t="s">
        <v>39</v>
      </c>
      <c r="W553" t="s">
        <v>39</v>
      </c>
      <c r="X553">
        <v>2023</v>
      </c>
      <c r="Y553" t="s">
        <v>128</v>
      </c>
      <c r="Z553" t="s">
        <v>64</v>
      </c>
    </row>
    <row r="554" spans="1:26">
      <c r="A554" t="s">
        <v>1347</v>
      </c>
      <c r="B554" t="s">
        <v>43</v>
      </c>
      <c r="C554" t="s">
        <v>44</v>
      </c>
      <c r="D554" t="s">
        <v>77</v>
      </c>
      <c r="E554" t="s">
        <v>220</v>
      </c>
      <c r="F554" t="s">
        <v>95</v>
      </c>
      <c r="G554" t="s">
        <v>32</v>
      </c>
      <c r="H554">
        <v>1.9</v>
      </c>
      <c r="I554">
        <v>23.1</v>
      </c>
      <c r="J554" t="s">
        <v>33</v>
      </c>
      <c r="K554" t="s">
        <v>1127</v>
      </c>
      <c r="L554" t="s">
        <v>35</v>
      </c>
      <c r="M554" t="s">
        <v>753</v>
      </c>
      <c r="N554" t="s">
        <v>100</v>
      </c>
      <c r="O554">
        <v>110</v>
      </c>
      <c r="P554" t="s">
        <v>2265</v>
      </c>
      <c r="Q554">
        <v>0</v>
      </c>
      <c r="R554">
        <v>0</v>
      </c>
      <c r="S554" t="s">
        <v>2265</v>
      </c>
      <c r="T554" t="s">
        <v>81</v>
      </c>
      <c r="U554" t="s">
        <v>39</v>
      </c>
      <c r="V554" t="s">
        <v>52</v>
      </c>
      <c r="W554" t="s">
        <v>52</v>
      </c>
      <c r="X554">
        <v>2023</v>
      </c>
      <c r="Y554" t="s">
        <v>74</v>
      </c>
      <c r="Z554" t="s">
        <v>54</v>
      </c>
    </row>
    <row r="555" spans="1:26">
      <c r="A555" t="s">
        <v>1348</v>
      </c>
      <c r="B555" t="s">
        <v>116</v>
      </c>
      <c r="C555" t="s">
        <v>164</v>
      </c>
      <c r="D555" t="s">
        <v>29</v>
      </c>
      <c r="E555" t="s">
        <v>244</v>
      </c>
      <c r="F555" t="s">
        <v>68</v>
      </c>
      <c r="G555" t="s">
        <v>32</v>
      </c>
      <c r="H555">
        <v>11.1</v>
      </c>
      <c r="I555">
        <v>32.200000000000003</v>
      </c>
      <c r="J555" t="s">
        <v>20</v>
      </c>
      <c r="K555" t="s">
        <v>1349</v>
      </c>
      <c r="L555" t="s">
        <v>60</v>
      </c>
      <c r="M555" t="s">
        <v>1350</v>
      </c>
      <c r="N555" t="s">
        <v>171</v>
      </c>
      <c r="O555">
        <v>31</v>
      </c>
      <c r="P555" t="s">
        <v>2265</v>
      </c>
      <c r="Q555">
        <v>0</v>
      </c>
      <c r="R555">
        <v>0</v>
      </c>
      <c r="S555" t="s">
        <v>2265</v>
      </c>
      <c r="T555" t="s">
        <v>62</v>
      </c>
      <c r="U555" t="s">
        <v>39</v>
      </c>
      <c r="V555" t="s">
        <v>52</v>
      </c>
      <c r="W555" t="s">
        <v>52</v>
      </c>
      <c r="X555">
        <v>2023</v>
      </c>
      <c r="Y555" t="s">
        <v>128</v>
      </c>
      <c r="Z555" t="s">
        <v>64</v>
      </c>
    </row>
    <row r="556" spans="1:26">
      <c r="A556" t="s">
        <v>1351</v>
      </c>
      <c r="B556" t="s">
        <v>66</v>
      </c>
      <c r="C556" t="s">
        <v>28</v>
      </c>
      <c r="D556" t="s">
        <v>77</v>
      </c>
      <c r="E556" t="s">
        <v>168</v>
      </c>
      <c r="F556" t="s">
        <v>238</v>
      </c>
      <c r="G556" t="s">
        <v>58</v>
      </c>
      <c r="H556">
        <v>8</v>
      </c>
      <c r="I556">
        <v>32.700000000000003</v>
      </c>
      <c r="J556" t="s">
        <v>96</v>
      </c>
      <c r="K556" t="s">
        <v>541</v>
      </c>
      <c r="L556" t="s">
        <v>98</v>
      </c>
      <c r="M556" t="s">
        <v>214</v>
      </c>
      <c r="N556" t="s">
        <v>71</v>
      </c>
      <c r="O556">
        <v>90</v>
      </c>
      <c r="P556" t="s">
        <v>89</v>
      </c>
      <c r="Q556">
        <v>5220</v>
      </c>
      <c r="R556">
        <v>500</v>
      </c>
      <c r="S556" t="s">
        <v>152</v>
      </c>
      <c r="T556" t="s">
        <v>81</v>
      </c>
      <c r="U556" t="s">
        <v>52</v>
      </c>
      <c r="V556" t="s">
        <v>52</v>
      </c>
      <c r="W556" t="s">
        <v>52</v>
      </c>
      <c r="X556">
        <v>2023</v>
      </c>
      <c r="Y556" t="s">
        <v>211</v>
      </c>
      <c r="Z556" t="s">
        <v>41</v>
      </c>
    </row>
    <row r="557" spans="1:26">
      <c r="A557" t="s">
        <v>1352</v>
      </c>
      <c r="B557" t="s">
        <v>108</v>
      </c>
      <c r="C557" t="s">
        <v>67</v>
      </c>
      <c r="D557" t="s">
        <v>29</v>
      </c>
      <c r="E557" t="s">
        <v>30</v>
      </c>
      <c r="F557" t="s">
        <v>46</v>
      </c>
      <c r="G557" t="s">
        <v>32</v>
      </c>
      <c r="H557">
        <v>11.9</v>
      </c>
      <c r="I557">
        <v>6.8</v>
      </c>
      <c r="J557" t="s">
        <v>144</v>
      </c>
      <c r="K557" t="s">
        <v>1248</v>
      </c>
      <c r="L557" t="s">
        <v>126</v>
      </c>
      <c r="M557" t="s">
        <v>1353</v>
      </c>
      <c r="N557" t="s">
        <v>71</v>
      </c>
      <c r="O557">
        <v>72</v>
      </c>
      <c r="P557" t="s">
        <v>112</v>
      </c>
      <c r="Q557">
        <v>1870</v>
      </c>
      <c r="R557">
        <v>0</v>
      </c>
      <c r="S557" t="s">
        <v>152</v>
      </c>
      <c r="T557" t="s">
        <v>81</v>
      </c>
      <c r="U557" t="s">
        <v>39</v>
      </c>
      <c r="V557" t="s">
        <v>52</v>
      </c>
      <c r="W557" t="s">
        <v>52</v>
      </c>
      <c r="X557">
        <v>2024</v>
      </c>
      <c r="Y557" t="s">
        <v>53</v>
      </c>
      <c r="Z557" t="s">
        <v>54</v>
      </c>
    </row>
    <row r="558" spans="1:26">
      <c r="A558" t="s">
        <v>1354</v>
      </c>
      <c r="B558" t="s">
        <v>27</v>
      </c>
      <c r="C558" t="s">
        <v>102</v>
      </c>
      <c r="D558" t="s">
        <v>29</v>
      </c>
      <c r="E558" t="s">
        <v>117</v>
      </c>
      <c r="F558" t="s">
        <v>95</v>
      </c>
      <c r="G558" t="s">
        <v>58</v>
      </c>
      <c r="H558">
        <v>1.1000000000000001</v>
      </c>
      <c r="I558">
        <v>25.2</v>
      </c>
      <c r="J558" t="s">
        <v>33</v>
      </c>
      <c r="K558" t="s">
        <v>1168</v>
      </c>
      <c r="L558" t="s">
        <v>35</v>
      </c>
      <c r="M558" t="s">
        <v>127</v>
      </c>
      <c r="N558" t="s">
        <v>37</v>
      </c>
      <c r="O558">
        <v>127</v>
      </c>
      <c r="P558" t="s">
        <v>2265</v>
      </c>
      <c r="Q558">
        <v>0</v>
      </c>
      <c r="R558">
        <v>1000</v>
      </c>
      <c r="S558" t="s">
        <v>2265</v>
      </c>
      <c r="T558" t="s">
        <v>81</v>
      </c>
      <c r="U558" t="s">
        <v>39</v>
      </c>
      <c r="V558" t="s">
        <v>52</v>
      </c>
      <c r="W558" t="s">
        <v>52</v>
      </c>
      <c r="X558">
        <v>2024</v>
      </c>
      <c r="Y558" t="s">
        <v>63</v>
      </c>
      <c r="Z558" t="s">
        <v>64</v>
      </c>
    </row>
    <row r="559" spans="1:26">
      <c r="A559" t="s">
        <v>1355</v>
      </c>
      <c r="B559" t="s">
        <v>43</v>
      </c>
      <c r="C559" t="s">
        <v>173</v>
      </c>
      <c r="D559" t="s">
        <v>77</v>
      </c>
      <c r="E559" t="s">
        <v>143</v>
      </c>
      <c r="F559" t="s">
        <v>149</v>
      </c>
      <c r="G559" t="s">
        <v>58</v>
      </c>
      <c r="H559">
        <v>10.199999999999999</v>
      </c>
      <c r="I559">
        <v>30.4</v>
      </c>
      <c r="J559" t="s">
        <v>96</v>
      </c>
      <c r="K559" t="s">
        <v>1356</v>
      </c>
      <c r="L559" t="s">
        <v>140</v>
      </c>
      <c r="M559" t="s">
        <v>385</v>
      </c>
      <c r="N559" t="s">
        <v>171</v>
      </c>
      <c r="O559">
        <v>90</v>
      </c>
      <c r="P559" t="s">
        <v>2265</v>
      </c>
      <c r="Q559">
        <v>0</v>
      </c>
      <c r="R559">
        <v>0</v>
      </c>
      <c r="S559" t="s">
        <v>2265</v>
      </c>
      <c r="T559" t="s">
        <v>136</v>
      </c>
      <c r="U559" t="s">
        <v>39</v>
      </c>
      <c r="V559" t="s">
        <v>39</v>
      </c>
      <c r="W559" t="s">
        <v>52</v>
      </c>
      <c r="X559">
        <v>2022</v>
      </c>
      <c r="Y559" t="s">
        <v>53</v>
      </c>
      <c r="Z559" t="s">
        <v>54</v>
      </c>
    </row>
    <row r="560" spans="1:26">
      <c r="A560" t="s">
        <v>1357</v>
      </c>
      <c r="B560" t="s">
        <v>93</v>
      </c>
      <c r="C560" t="s">
        <v>76</v>
      </c>
      <c r="D560" t="s">
        <v>77</v>
      </c>
      <c r="E560" t="s">
        <v>216</v>
      </c>
      <c r="F560" t="s">
        <v>95</v>
      </c>
      <c r="G560" t="s">
        <v>58</v>
      </c>
      <c r="H560">
        <v>0.4</v>
      </c>
      <c r="I560">
        <v>33.799999999999997</v>
      </c>
      <c r="J560" t="s">
        <v>144</v>
      </c>
      <c r="K560" t="s">
        <v>1358</v>
      </c>
      <c r="L560" t="s">
        <v>140</v>
      </c>
      <c r="M560" t="s">
        <v>1359</v>
      </c>
      <c r="N560" t="s">
        <v>71</v>
      </c>
      <c r="O560">
        <v>179</v>
      </c>
      <c r="P560" t="s">
        <v>89</v>
      </c>
      <c r="Q560">
        <v>6092</v>
      </c>
      <c r="R560">
        <v>2000</v>
      </c>
      <c r="S560" t="s">
        <v>73</v>
      </c>
      <c r="T560" t="s">
        <v>81</v>
      </c>
      <c r="U560" t="s">
        <v>39</v>
      </c>
      <c r="V560" t="s">
        <v>39</v>
      </c>
      <c r="W560" t="s">
        <v>39</v>
      </c>
      <c r="X560">
        <v>2022</v>
      </c>
      <c r="Y560" t="s">
        <v>211</v>
      </c>
      <c r="Z560" t="s">
        <v>41</v>
      </c>
    </row>
    <row r="561" spans="1:26">
      <c r="A561" t="s">
        <v>1360</v>
      </c>
      <c r="B561" t="s">
        <v>66</v>
      </c>
      <c r="C561" t="s">
        <v>164</v>
      </c>
      <c r="D561" t="s">
        <v>77</v>
      </c>
      <c r="E561" t="s">
        <v>143</v>
      </c>
      <c r="F561" t="s">
        <v>109</v>
      </c>
      <c r="G561" t="s">
        <v>32</v>
      </c>
      <c r="H561">
        <v>1.9</v>
      </c>
      <c r="I561">
        <v>6.8</v>
      </c>
      <c r="J561" t="s">
        <v>144</v>
      </c>
      <c r="K561" t="s">
        <v>1361</v>
      </c>
      <c r="L561" t="s">
        <v>126</v>
      </c>
      <c r="M561" t="s">
        <v>1196</v>
      </c>
      <c r="N561" t="s">
        <v>100</v>
      </c>
      <c r="O561">
        <v>146</v>
      </c>
      <c r="P561" t="s">
        <v>2265</v>
      </c>
      <c r="Q561">
        <v>0</v>
      </c>
      <c r="R561">
        <v>0</v>
      </c>
      <c r="S561" t="s">
        <v>2265</v>
      </c>
      <c r="T561" t="s">
        <v>51</v>
      </c>
      <c r="U561" t="s">
        <v>52</v>
      </c>
      <c r="V561" t="s">
        <v>52</v>
      </c>
      <c r="W561" t="s">
        <v>39</v>
      </c>
      <c r="X561">
        <v>2022</v>
      </c>
      <c r="Y561" t="s">
        <v>106</v>
      </c>
      <c r="Z561" t="s">
        <v>83</v>
      </c>
    </row>
    <row r="562" spans="1:26">
      <c r="A562" t="s">
        <v>1362</v>
      </c>
      <c r="B562" t="s">
        <v>108</v>
      </c>
      <c r="C562" t="s">
        <v>44</v>
      </c>
      <c r="D562" t="s">
        <v>29</v>
      </c>
      <c r="E562" t="s">
        <v>30</v>
      </c>
      <c r="F562" t="s">
        <v>149</v>
      </c>
      <c r="G562" t="s">
        <v>32</v>
      </c>
      <c r="H562">
        <v>2.2000000000000002</v>
      </c>
      <c r="I562">
        <v>6</v>
      </c>
      <c r="J562" t="s">
        <v>20</v>
      </c>
      <c r="K562" t="s">
        <v>852</v>
      </c>
      <c r="L562" t="s">
        <v>140</v>
      </c>
      <c r="M562" t="s">
        <v>1097</v>
      </c>
      <c r="N562" t="s">
        <v>71</v>
      </c>
      <c r="O562">
        <v>16</v>
      </c>
      <c r="P562" t="s">
        <v>72</v>
      </c>
      <c r="Q562">
        <v>3974</v>
      </c>
      <c r="R562">
        <v>5000</v>
      </c>
      <c r="S562" t="s">
        <v>113</v>
      </c>
      <c r="T562" t="s">
        <v>136</v>
      </c>
      <c r="U562" t="s">
        <v>39</v>
      </c>
      <c r="V562" t="s">
        <v>52</v>
      </c>
      <c r="W562" t="s">
        <v>39</v>
      </c>
      <c r="X562">
        <v>2022</v>
      </c>
      <c r="Y562" t="s">
        <v>128</v>
      </c>
      <c r="Z562" t="s">
        <v>64</v>
      </c>
    </row>
    <row r="563" spans="1:26">
      <c r="A563" t="s">
        <v>1363</v>
      </c>
      <c r="B563" t="s">
        <v>43</v>
      </c>
      <c r="C563" t="s">
        <v>28</v>
      </c>
      <c r="D563" t="s">
        <v>29</v>
      </c>
      <c r="E563" t="s">
        <v>117</v>
      </c>
      <c r="F563" t="s">
        <v>149</v>
      </c>
      <c r="G563" t="s">
        <v>32</v>
      </c>
      <c r="H563">
        <v>7.5</v>
      </c>
      <c r="I563">
        <v>8.1</v>
      </c>
      <c r="J563" t="s">
        <v>33</v>
      </c>
      <c r="K563" t="s">
        <v>1034</v>
      </c>
      <c r="L563" t="s">
        <v>98</v>
      </c>
      <c r="M563" t="s">
        <v>1364</v>
      </c>
      <c r="N563" t="s">
        <v>100</v>
      </c>
      <c r="O563">
        <v>55</v>
      </c>
      <c r="P563" t="s">
        <v>2265</v>
      </c>
      <c r="Q563">
        <v>0</v>
      </c>
      <c r="R563">
        <v>0</v>
      </c>
      <c r="S563" t="s">
        <v>2265</v>
      </c>
      <c r="T563" t="s">
        <v>136</v>
      </c>
      <c r="U563" t="s">
        <v>52</v>
      </c>
      <c r="V563" t="s">
        <v>39</v>
      </c>
      <c r="W563" t="s">
        <v>39</v>
      </c>
      <c r="X563">
        <v>2022</v>
      </c>
      <c r="Y563" t="s">
        <v>114</v>
      </c>
      <c r="Z563" t="s">
        <v>41</v>
      </c>
    </row>
    <row r="564" spans="1:26">
      <c r="A564" t="s">
        <v>1365</v>
      </c>
      <c r="B564" t="s">
        <v>93</v>
      </c>
      <c r="C564" t="s">
        <v>76</v>
      </c>
      <c r="D564" t="s">
        <v>122</v>
      </c>
      <c r="E564" t="s">
        <v>130</v>
      </c>
      <c r="F564" t="s">
        <v>124</v>
      </c>
      <c r="G564" t="s">
        <v>32</v>
      </c>
      <c r="H564">
        <v>4.4000000000000004</v>
      </c>
      <c r="I564">
        <v>27.4</v>
      </c>
      <c r="J564" t="s">
        <v>33</v>
      </c>
      <c r="K564" t="s">
        <v>373</v>
      </c>
      <c r="L564" t="s">
        <v>140</v>
      </c>
      <c r="M564" t="s">
        <v>1307</v>
      </c>
      <c r="N564" t="s">
        <v>71</v>
      </c>
      <c r="O564">
        <v>70</v>
      </c>
      <c r="P564" t="s">
        <v>230</v>
      </c>
      <c r="Q564">
        <v>927</v>
      </c>
      <c r="R564">
        <v>0</v>
      </c>
      <c r="S564" t="s">
        <v>73</v>
      </c>
      <c r="T564" t="s">
        <v>81</v>
      </c>
      <c r="U564" t="s">
        <v>39</v>
      </c>
      <c r="V564" t="s">
        <v>52</v>
      </c>
      <c r="W564" t="s">
        <v>52</v>
      </c>
      <c r="X564">
        <v>2023</v>
      </c>
      <c r="Y564" t="s">
        <v>82</v>
      </c>
      <c r="Z564" t="s">
        <v>83</v>
      </c>
    </row>
    <row r="565" spans="1:26">
      <c r="A565" t="s">
        <v>1366</v>
      </c>
      <c r="B565" t="s">
        <v>116</v>
      </c>
      <c r="C565" t="s">
        <v>121</v>
      </c>
      <c r="D565" t="s">
        <v>29</v>
      </c>
      <c r="E565" t="s">
        <v>45</v>
      </c>
      <c r="F565" t="s">
        <v>238</v>
      </c>
      <c r="G565" t="s">
        <v>58</v>
      </c>
      <c r="H565">
        <v>1.1000000000000001</v>
      </c>
      <c r="I565">
        <v>20.2</v>
      </c>
      <c r="J565" t="s">
        <v>33</v>
      </c>
      <c r="K565" t="s">
        <v>627</v>
      </c>
      <c r="L565" t="s">
        <v>35</v>
      </c>
      <c r="M565" t="s">
        <v>380</v>
      </c>
      <c r="N565" t="s">
        <v>61</v>
      </c>
      <c r="O565">
        <v>62</v>
      </c>
      <c r="P565" t="s">
        <v>2265</v>
      </c>
      <c r="Q565">
        <v>0</v>
      </c>
      <c r="R565">
        <v>0</v>
      </c>
      <c r="S565" t="s">
        <v>2265</v>
      </c>
      <c r="T565" t="s">
        <v>51</v>
      </c>
      <c r="U565" t="s">
        <v>39</v>
      </c>
      <c r="V565" t="s">
        <v>52</v>
      </c>
      <c r="W565" t="s">
        <v>52</v>
      </c>
      <c r="X565">
        <v>2022</v>
      </c>
      <c r="Y565" t="s">
        <v>312</v>
      </c>
      <c r="Z565" t="s">
        <v>83</v>
      </c>
    </row>
    <row r="566" spans="1:26">
      <c r="A566" t="s">
        <v>1367</v>
      </c>
      <c r="B566" t="s">
        <v>66</v>
      </c>
      <c r="C566" t="s">
        <v>28</v>
      </c>
      <c r="D566" t="s">
        <v>85</v>
      </c>
      <c r="E566" t="s">
        <v>138</v>
      </c>
      <c r="F566" t="s">
        <v>46</v>
      </c>
      <c r="G566" t="s">
        <v>32</v>
      </c>
      <c r="H566">
        <v>8.6999999999999993</v>
      </c>
      <c r="I566">
        <v>34.1</v>
      </c>
      <c r="J566" t="s">
        <v>156</v>
      </c>
      <c r="K566" t="s">
        <v>1368</v>
      </c>
      <c r="L566" t="s">
        <v>140</v>
      </c>
      <c r="M566" t="s">
        <v>282</v>
      </c>
      <c r="N566" t="s">
        <v>100</v>
      </c>
      <c r="O566">
        <v>81</v>
      </c>
      <c r="P566" t="s">
        <v>2265</v>
      </c>
      <c r="Q566">
        <v>0</v>
      </c>
      <c r="R566">
        <v>0</v>
      </c>
      <c r="S566" t="s">
        <v>2265</v>
      </c>
      <c r="T566" t="s">
        <v>38</v>
      </c>
      <c r="U566" t="s">
        <v>39</v>
      </c>
      <c r="V566" t="s">
        <v>39</v>
      </c>
      <c r="W566" t="s">
        <v>52</v>
      </c>
      <c r="X566">
        <v>2023</v>
      </c>
      <c r="Y566" t="s">
        <v>82</v>
      </c>
      <c r="Z566" t="s">
        <v>83</v>
      </c>
    </row>
    <row r="567" spans="1:26">
      <c r="A567" t="s">
        <v>1369</v>
      </c>
      <c r="B567" t="s">
        <v>66</v>
      </c>
      <c r="C567" t="s">
        <v>102</v>
      </c>
      <c r="D567" t="s">
        <v>77</v>
      </c>
      <c r="E567" t="s">
        <v>220</v>
      </c>
      <c r="F567" t="s">
        <v>124</v>
      </c>
      <c r="G567" t="s">
        <v>58</v>
      </c>
      <c r="H567">
        <v>10.6</v>
      </c>
      <c r="I567">
        <v>3.7</v>
      </c>
      <c r="J567" t="s">
        <v>96</v>
      </c>
      <c r="K567" t="s">
        <v>1311</v>
      </c>
      <c r="L567" t="s">
        <v>98</v>
      </c>
      <c r="M567" t="s">
        <v>654</v>
      </c>
      <c r="N567" t="s">
        <v>71</v>
      </c>
      <c r="O567">
        <v>42</v>
      </c>
      <c r="P567" t="s">
        <v>89</v>
      </c>
      <c r="Q567">
        <v>6793</v>
      </c>
      <c r="R567">
        <v>0</v>
      </c>
      <c r="S567" t="s">
        <v>152</v>
      </c>
      <c r="T567" t="s">
        <v>136</v>
      </c>
      <c r="U567" t="s">
        <v>39</v>
      </c>
      <c r="V567" t="s">
        <v>52</v>
      </c>
      <c r="W567" t="s">
        <v>52</v>
      </c>
      <c r="X567">
        <v>2023</v>
      </c>
      <c r="Y567" t="s">
        <v>211</v>
      </c>
      <c r="Z567" t="s">
        <v>41</v>
      </c>
    </row>
    <row r="568" spans="1:26">
      <c r="A568" t="s">
        <v>1370</v>
      </c>
      <c r="B568" t="s">
        <v>27</v>
      </c>
      <c r="C568" t="s">
        <v>28</v>
      </c>
      <c r="D568" t="s">
        <v>122</v>
      </c>
      <c r="E568" t="s">
        <v>202</v>
      </c>
      <c r="F568" t="s">
        <v>68</v>
      </c>
      <c r="G568" t="s">
        <v>32</v>
      </c>
      <c r="H568">
        <v>2.9</v>
      </c>
      <c r="I568">
        <v>34.9</v>
      </c>
      <c r="J568" t="s">
        <v>33</v>
      </c>
      <c r="K568" t="s">
        <v>515</v>
      </c>
      <c r="L568" t="s">
        <v>35</v>
      </c>
      <c r="M568" t="s">
        <v>938</v>
      </c>
      <c r="N568" t="s">
        <v>100</v>
      </c>
      <c r="O568">
        <v>11</v>
      </c>
      <c r="P568" t="s">
        <v>2265</v>
      </c>
      <c r="Q568">
        <v>0</v>
      </c>
      <c r="R568">
        <v>0</v>
      </c>
      <c r="S568" t="s">
        <v>2265</v>
      </c>
      <c r="T568" t="s">
        <v>81</v>
      </c>
      <c r="U568" t="s">
        <v>39</v>
      </c>
      <c r="V568" t="s">
        <v>52</v>
      </c>
      <c r="W568" t="s">
        <v>39</v>
      </c>
      <c r="X568">
        <v>2024</v>
      </c>
      <c r="Y568" t="s">
        <v>153</v>
      </c>
      <c r="Z568" t="s">
        <v>54</v>
      </c>
    </row>
    <row r="569" spans="1:26">
      <c r="A569" t="s">
        <v>1371</v>
      </c>
      <c r="B569" t="s">
        <v>93</v>
      </c>
      <c r="C569" t="s">
        <v>28</v>
      </c>
      <c r="D569" t="s">
        <v>77</v>
      </c>
      <c r="E569" t="s">
        <v>143</v>
      </c>
      <c r="F569" t="s">
        <v>95</v>
      </c>
      <c r="G569" t="s">
        <v>58</v>
      </c>
      <c r="H569">
        <v>0.9</v>
      </c>
      <c r="I569">
        <v>20.399999999999999</v>
      </c>
      <c r="J569" t="s">
        <v>156</v>
      </c>
      <c r="K569" t="s">
        <v>492</v>
      </c>
      <c r="L569" t="s">
        <v>126</v>
      </c>
      <c r="M569" t="s">
        <v>229</v>
      </c>
      <c r="N569" t="s">
        <v>71</v>
      </c>
      <c r="O569">
        <v>81</v>
      </c>
      <c r="P569" t="s">
        <v>72</v>
      </c>
      <c r="Q569">
        <v>5421</v>
      </c>
      <c r="R569">
        <v>0</v>
      </c>
      <c r="S569" t="s">
        <v>90</v>
      </c>
      <c r="T569" t="s">
        <v>51</v>
      </c>
      <c r="U569" t="s">
        <v>52</v>
      </c>
      <c r="V569" t="s">
        <v>52</v>
      </c>
      <c r="W569" t="s">
        <v>52</v>
      </c>
      <c r="X569">
        <v>2024</v>
      </c>
      <c r="Y569" t="s">
        <v>40</v>
      </c>
      <c r="Z569" t="s">
        <v>41</v>
      </c>
    </row>
    <row r="570" spans="1:26">
      <c r="A570" t="s">
        <v>1372</v>
      </c>
      <c r="B570" t="s">
        <v>27</v>
      </c>
      <c r="C570" t="s">
        <v>164</v>
      </c>
      <c r="D570" t="s">
        <v>29</v>
      </c>
      <c r="E570" t="s">
        <v>244</v>
      </c>
      <c r="F570" t="s">
        <v>149</v>
      </c>
      <c r="G570" t="s">
        <v>32</v>
      </c>
      <c r="H570">
        <v>10.3</v>
      </c>
      <c r="I570">
        <v>14.3</v>
      </c>
      <c r="J570" t="s">
        <v>20</v>
      </c>
      <c r="K570" t="s">
        <v>959</v>
      </c>
      <c r="L570" t="s">
        <v>140</v>
      </c>
      <c r="M570" t="s">
        <v>1373</v>
      </c>
      <c r="N570" t="s">
        <v>171</v>
      </c>
      <c r="O570">
        <v>11</v>
      </c>
      <c r="P570" t="s">
        <v>2265</v>
      </c>
      <c r="Q570">
        <v>0</v>
      </c>
      <c r="R570">
        <v>0</v>
      </c>
      <c r="S570" t="s">
        <v>2265</v>
      </c>
      <c r="T570" t="s">
        <v>51</v>
      </c>
      <c r="U570" t="s">
        <v>39</v>
      </c>
      <c r="V570" t="s">
        <v>39</v>
      </c>
      <c r="W570" t="s">
        <v>52</v>
      </c>
      <c r="X570">
        <v>2024</v>
      </c>
      <c r="Y570" t="s">
        <v>114</v>
      </c>
      <c r="Z570" t="s">
        <v>41</v>
      </c>
    </row>
    <row r="571" spans="1:26">
      <c r="A571" t="s">
        <v>1374</v>
      </c>
      <c r="B571" t="s">
        <v>66</v>
      </c>
      <c r="C571" t="s">
        <v>76</v>
      </c>
      <c r="D571" t="s">
        <v>29</v>
      </c>
      <c r="E571" t="s">
        <v>117</v>
      </c>
      <c r="F571" t="s">
        <v>68</v>
      </c>
      <c r="G571" t="s">
        <v>58</v>
      </c>
      <c r="H571">
        <v>0.8</v>
      </c>
      <c r="I571">
        <v>27.8</v>
      </c>
      <c r="J571" t="s">
        <v>33</v>
      </c>
      <c r="K571" t="s">
        <v>587</v>
      </c>
      <c r="L571" t="s">
        <v>126</v>
      </c>
      <c r="M571" t="s">
        <v>1375</v>
      </c>
      <c r="N571" t="s">
        <v>71</v>
      </c>
      <c r="O571">
        <v>175</v>
      </c>
      <c r="P571" t="s">
        <v>89</v>
      </c>
      <c r="Q571">
        <v>4042</v>
      </c>
      <c r="R571">
        <v>2000</v>
      </c>
      <c r="S571" t="s">
        <v>90</v>
      </c>
      <c r="T571" t="s">
        <v>38</v>
      </c>
      <c r="U571" t="s">
        <v>39</v>
      </c>
      <c r="V571" t="s">
        <v>52</v>
      </c>
      <c r="W571" t="s">
        <v>52</v>
      </c>
      <c r="X571">
        <v>2023</v>
      </c>
      <c r="Y571" t="s">
        <v>153</v>
      </c>
      <c r="Z571" t="s">
        <v>54</v>
      </c>
    </row>
    <row r="572" spans="1:26">
      <c r="A572" t="s">
        <v>1376</v>
      </c>
      <c r="B572" t="s">
        <v>108</v>
      </c>
      <c r="C572" t="s">
        <v>44</v>
      </c>
      <c r="D572" t="s">
        <v>29</v>
      </c>
      <c r="E572" t="s">
        <v>56</v>
      </c>
      <c r="F572" t="s">
        <v>124</v>
      </c>
      <c r="G572" t="s">
        <v>32</v>
      </c>
      <c r="H572">
        <v>1.1000000000000001</v>
      </c>
      <c r="I572">
        <v>25.7</v>
      </c>
      <c r="J572" t="s">
        <v>33</v>
      </c>
      <c r="K572" t="s">
        <v>1276</v>
      </c>
      <c r="L572" t="s">
        <v>35</v>
      </c>
      <c r="M572" t="s">
        <v>1113</v>
      </c>
      <c r="N572" t="s">
        <v>50</v>
      </c>
      <c r="O572">
        <v>120</v>
      </c>
      <c r="P572" t="s">
        <v>2265</v>
      </c>
      <c r="Q572">
        <v>0</v>
      </c>
      <c r="R572">
        <v>0</v>
      </c>
      <c r="S572" t="s">
        <v>2265</v>
      </c>
      <c r="T572" t="s">
        <v>51</v>
      </c>
      <c r="U572" t="s">
        <v>39</v>
      </c>
      <c r="V572" t="s">
        <v>52</v>
      </c>
      <c r="W572" t="s">
        <v>52</v>
      </c>
      <c r="X572">
        <v>2024</v>
      </c>
      <c r="Y572" t="s">
        <v>211</v>
      </c>
      <c r="Z572" t="s">
        <v>41</v>
      </c>
    </row>
    <row r="573" spans="1:26">
      <c r="A573" t="s">
        <v>1377</v>
      </c>
      <c r="B573" t="s">
        <v>43</v>
      </c>
      <c r="C573" t="s">
        <v>102</v>
      </c>
      <c r="D573" t="s">
        <v>77</v>
      </c>
      <c r="E573" t="s">
        <v>78</v>
      </c>
      <c r="F573" t="s">
        <v>46</v>
      </c>
      <c r="G573" t="s">
        <v>58</v>
      </c>
      <c r="H573">
        <v>6.6</v>
      </c>
      <c r="I573">
        <v>33.200000000000003</v>
      </c>
      <c r="J573" t="s">
        <v>20</v>
      </c>
      <c r="K573" t="s">
        <v>921</v>
      </c>
      <c r="L573" t="s">
        <v>126</v>
      </c>
      <c r="M573" t="s">
        <v>707</v>
      </c>
      <c r="N573" t="s">
        <v>50</v>
      </c>
      <c r="O573">
        <v>72</v>
      </c>
      <c r="P573" t="s">
        <v>2265</v>
      </c>
      <c r="Q573">
        <v>0</v>
      </c>
      <c r="R573">
        <v>0</v>
      </c>
      <c r="S573" t="s">
        <v>2265</v>
      </c>
      <c r="T573" t="s">
        <v>38</v>
      </c>
      <c r="U573" t="s">
        <v>39</v>
      </c>
      <c r="V573" t="s">
        <v>52</v>
      </c>
      <c r="W573" t="s">
        <v>52</v>
      </c>
      <c r="X573">
        <v>2022</v>
      </c>
      <c r="Y573" t="s">
        <v>211</v>
      </c>
      <c r="Z573" t="s">
        <v>41</v>
      </c>
    </row>
    <row r="574" spans="1:26">
      <c r="A574" t="s">
        <v>1378</v>
      </c>
      <c r="B574" t="s">
        <v>116</v>
      </c>
      <c r="C574" t="s">
        <v>164</v>
      </c>
      <c r="D574" t="s">
        <v>77</v>
      </c>
      <c r="E574" t="s">
        <v>220</v>
      </c>
      <c r="F574" t="s">
        <v>95</v>
      </c>
      <c r="G574" t="s">
        <v>32</v>
      </c>
      <c r="H574">
        <v>3.3</v>
      </c>
      <c r="I574">
        <v>22.4</v>
      </c>
      <c r="J574" t="s">
        <v>144</v>
      </c>
      <c r="K574" t="s">
        <v>560</v>
      </c>
      <c r="L574" t="s">
        <v>35</v>
      </c>
      <c r="M574" t="s">
        <v>1379</v>
      </c>
      <c r="N574" t="s">
        <v>100</v>
      </c>
      <c r="O574">
        <v>6</v>
      </c>
      <c r="P574" t="s">
        <v>2265</v>
      </c>
      <c r="Q574">
        <v>0</v>
      </c>
      <c r="R574">
        <v>0</v>
      </c>
      <c r="S574" t="s">
        <v>2265</v>
      </c>
      <c r="T574" t="s">
        <v>51</v>
      </c>
      <c r="U574" t="s">
        <v>52</v>
      </c>
      <c r="V574" t="s">
        <v>52</v>
      </c>
      <c r="W574" t="s">
        <v>52</v>
      </c>
      <c r="X574">
        <v>2023</v>
      </c>
      <c r="Y574" t="s">
        <v>312</v>
      </c>
      <c r="Z574" t="s">
        <v>83</v>
      </c>
    </row>
    <row r="575" spans="1:26">
      <c r="A575" t="s">
        <v>1380</v>
      </c>
      <c r="B575" t="s">
        <v>43</v>
      </c>
      <c r="C575" t="s">
        <v>102</v>
      </c>
      <c r="D575" t="s">
        <v>29</v>
      </c>
      <c r="E575" t="s">
        <v>45</v>
      </c>
      <c r="F575" t="s">
        <v>46</v>
      </c>
      <c r="G575" t="s">
        <v>32</v>
      </c>
      <c r="H575">
        <v>4.2</v>
      </c>
      <c r="I575">
        <v>26.5</v>
      </c>
      <c r="J575" t="s">
        <v>144</v>
      </c>
      <c r="K575" t="s">
        <v>1381</v>
      </c>
      <c r="L575" t="s">
        <v>126</v>
      </c>
      <c r="M575" t="s">
        <v>868</v>
      </c>
      <c r="N575" t="s">
        <v>100</v>
      </c>
      <c r="O575">
        <v>24</v>
      </c>
      <c r="P575" t="s">
        <v>2265</v>
      </c>
      <c r="Q575">
        <v>0</v>
      </c>
      <c r="R575">
        <v>0</v>
      </c>
      <c r="S575" t="s">
        <v>2265</v>
      </c>
      <c r="T575" t="s">
        <v>62</v>
      </c>
      <c r="U575" t="s">
        <v>39</v>
      </c>
      <c r="V575" t="s">
        <v>52</v>
      </c>
      <c r="W575" t="s">
        <v>52</v>
      </c>
      <c r="X575">
        <v>2022</v>
      </c>
      <c r="Y575" t="s">
        <v>74</v>
      </c>
      <c r="Z575" t="s">
        <v>54</v>
      </c>
    </row>
    <row r="576" spans="1:26">
      <c r="A576" t="s">
        <v>1382</v>
      </c>
      <c r="B576" t="s">
        <v>43</v>
      </c>
      <c r="C576" t="s">
        <v>67</v>
      </c>
      <c r="D576" t="s">
        <v>122</v>
      </c>
      <c r="E576" t="s">
        <v>202</v>
      </c>
      <c r="F576" t="s">
        <v>46</v>
      </c>
      <c r="G576" t="s">
        <v>58</v>
      </c>
      <c r="H576">
        <v>8.6999999999999993</v>
      </c>
      <c r="I576">
        <v>20.5</v>
      </c>
      <c r="J576" t="s">
        <v>33</v>
      </c>
      <c r="K576" t="s">
        <v>507</v>
      </c>
      <c r="L576" t="s">
        <v>126</v>
      </c>
      <c r="M576" t="s">
        <v>1123</v>
      </c>
      <c r="N576" t="s">
        <v>37</v>
      </c>
      <c r="O576">
        <v>3</v>
      </c>
      <c r="P576" t="s">
        <v>2265</v>
      </c>
      <c r="Q576">
        <v>0</v>
      </c>
      <c r="R576">
        <v>0</v>
      </c>
      <c r="S576" t="s">
        <v>2265</v>
      </c>
      <c r="T576" t="s">
        <v>81</v>
      </c>
      <c r="U576" t="s">
        <v>52</v>
      </c>
      <c r="V576" t="s">
        <v>52</v>
      </c>
      <c r="W576" t="s">
        <v>39</v>
      </c>
      <c r="X576">
        <v>2024</v>
      </c>
      <c r="Y576" t="s">
        <v>312</v>
      </c>
      <c r="Z576" t="s">
        <v>83</v>
      </c>
    </row>
    <row r="577" spans="1:26">
      <c r="A577" t="s">
        <v>1383</v>
      </c>
      <c r="B577" t="s">
        <v>27</v>
      </c>
      <c r="C577" t="s">
        <v>28</v>
      </c>
      <c r="D577" t="s">
        <v>85</v>
      </c>
      <c r="E577" t="s">
        <v>402</v>
      </c>
      <c r="F577" t="s">
        <v>238</v>
      </c>
      <c r="G577" t="s">
        <v>58</v>
      </c>
      <c r="H577">
        <v>7.6</v>
      </c>
      <c r="I577">
        <v>22.5</v>
      </c>
      <c r="J577" t="s">
        <v>156</v>
      </c>
      <c r="K577" t="s">
        <v>277</v>
      </c>
      <c r="L577" t="s">
        <v>48</v>
      </c>
      <c r="M577" t="s">
        <v>537</v>
      </c>
      <c r="N577" t="s">
        <v>50</v>
      </c>
      <c r="O577">
        <v>1</v>
      </c>
      <c r="P577" t="s">
        <v>2265</v>
      </c>
      <c r="Q577">
        <v>0</v>
      </c>
      <c r="R577">
        <v>0</v>
      </c>
      <c r="S577" t="s">
        <v>2265</v>
      </c>
      <c r="T577" t="s">
        <v>136</v>
      </c>
      <c r="U577" t="s">
        <v>39</v>
      </c>
      <c r="V577" t="s">
        <v>52</v>
      </c>
      <c r="W577" t="s">
        <v>52</v>
      </c>
      <c r="X577">
        <v>2024</v>
      </c>
      <c r="Y577" t="s">
        <v>63</v>
      </c>
      <c r="Z577" t="s">
        <v>64</v>
      </c>
    </row>
    <row r="578" spans="1:26">
      <c r="A578" t="s">
        <v>1384</v>
      </c>
      <c r="B578" t="s">
        <v>93</v>
      </c>
      <c r="C578" t="s">
        <v>28</v>
      </c>
      <c r="D578" t="s">
        <v>77</v>
      </c>
      <c r="E578" t="s">
        <v>260</v>
      </c>
      <c r="F578" t="s">
        <v>149</v>
      </c>
      <c r="G578" t="s">
        <v>32</v>
      </c>
      <c r="H578">
        <v>4.4000000000000004</v>
      </c>
      <c r="I578">
        <v>10.9</v>
      </c>
      <c r="J578" t="s">
        <v>144</v>
      </c>
      <c r="K578" t="s">
        <v>1330</v>
      </c>
      <c r="L578" t="s">
        <v>126</v>
      </c>
      <c r="M578" t="s">
        <v>251</v>
      </c>
      <c r="N578" t="s">
        <v>71</v>
      </c>
      <c r="O578">
        <v>49</v>
      </c>
      <c r="P578" t="s">
        <v>72</v>
      </c>
      <c r="Q578">
        <v>6033</v>
      </c>
      <c r="R578">
        <v>5000</v>
      </c>
      <c r="S578" t="s">
        <v>152</v>
      </c>
      <c r="T578" t="s">
        <v>62</v>
      </c>
      <c r="U578" t="s">
        <v>52</v>
      </c>
      <c r="V578" t="s">
        <v>52</v>
      </c>
      <c r="W578" t="s">
        <v>52</v>
      </c>
      <c r="X578">
        <v>2023</v>
      </c>
      <c r="Y578" t="s">
        <v>312</v>
      </c>
      <c r="Z578" t="s">
        <v>83</v>
      </c>
    </row>
    <row r="579" spans="1:26">
      <c r="A579" t="s">
        <v>1385</v>
      </c>
      <c r="B579" t="s">
        <v>27</v>
      </c>
      <c r="C579" t="s">
        <v>44</v>
      </c>
      <c r="D579" t="s">
        <v>29</v>
      </c>
      <c r="E579" t="s">
        <v>45</v>
      </c>
      <c r="F579" t="s">
        <v>57</v>
      </c>
      <c r="G579" t="s">
        <v>32</v>
      </c>
      <c r="H579">
        <v>2.2000000000000002</v>
      </c>
      <c r="I579">
        <v>21</v>
      </c>
      <c r="J579" t="s">
        <v>96</v>
      </c>
      <c r="K579" t="s">
        <v>280</v>
      </c>
      <c r="L579" t="s">
        <v>98</v>
      </c>
      <c r="M579" t="s">
        <v>1386</v>
      </c>
      <c r="N579" t="s">
        <v>171</v>
      </c>
      <c r="O579">
        <v>110</v>
      </c>
      <c r="P579" t="s">
        <v>2265</v>
      </c>
      <c r="Q579">
        <v>0</v>
      </c>
      <c r="R579">
        <v>0</v>
      </c>
      <c r="S579" t="s">
        <v>2265</v>
      </c>
      <c r="T579" t="s">
        <v>136</v>
      </c>
      <c r="U579" t="s">
        <v>39</v>
      </c>
      <c r="V579" t="s">
        <v>52</v>
      </c>
      <c r="W579" t="s">
        <v>39</v>
      </c>
      <c r="X579">
        <v>2024</v>
      </c>
      <c r="Y579" t="s">
        <v>40</v>
      </c>
      <c r="Z579" t="s">
        <v>41</v>
      </c>
    </row>
    <row r="580" spans="1:26">
      <c r="A580" t="s">
        <v>1387</v>
      </c>
      <c r="B580" t="s">
        <v>27</v>
      </c>
      <c r="C580" t="s">
        <v>28</v>
      </c>
      <c r="D580" t="s">
        <v>29</v>
      </c>
      <c r="E580" t="s">
        <v>195</v>
      </c>
      <c r="F580" t="s">
        <v>149</v>
      </c>
      <c r="G580" t="s">
        <v>58</v>
      </c>
      <c r="H580">
        <v>1.3</v>
      </c>
      <c r="I580">
        <v>26.4</v>
      </c>
      <c r="J580" t="s">
        <v>156</v>
      </c>
      <c r="K580" t="s">
        <v>385</v>
      </c>
      <c r="L580" t="s">
        <v>60</v>
      </c>
      <c r="M580" t="s">
        <v>532</v>
      </c>
      <c r="N580" t="s">
        <v>71</v>
      </c>
      <c r="O580">
        <v>23</v>
      </c>
      <c r="P580" t="s">
        <v>112</v>
      </c>
      <c r="Q580">
        <v>4024</v>
      </c>
      <c r="R580">
        <v>500</v>
      </c>
      <c r="S580" t="s">
        <v>113</v>
      </c>
      <c r="T580" t="s">
        <v>81</v>
      </c>
      <c r="U580" t="s">
        <v>52</v>
      </c>
      <c r="V580" t="s">
        <v>52</v>
      </c>
      <c r="W580" t="s">
        <v>52</v>
      </c>
      <c r="X580">
        <v>2022</v>
      </c>
      <c r="Y580" t="s">
        <v>211</v>
      </c>
      <c r="Z580" t="s">
        <v>41</v>
      </c>
    </row>
    <row r="581" spans="1:26">
      <c r="A581" t="s">
        <v>1388</v>
      </c>
      <c r="B581" t="s">
        <v>108</v>
      </c>
      <c r="C581" t="s">
        <v>44</v>
      </c>
      <c r="D581" t="s">
        <v>29</v>
      </c>
      <c r="E581" t="s">
        <v>45</v>
      </c>
      <c r="F581" t="s">
        <v>238</v>
      </c>
      <c r="G581" t="s">
        <v>32</v>
      </c>
      <c r="H581">
        <v>11.6</v>
      </c>
      <c r="I581">
        <v>32</v>
      </c>
      <c r="J581" t="s">
        <v>96</v>
      </c>
      <c r="K581" t="s">
        <v>132</v>
      </c>
      <c r="L581" t="s">
        <v>48</v>
      </c>
      <c r="M581" t="s">
        <v>1118</v>
      </c>
      <c r="N581" t="s">
        <v>171</v>
      </c>
      <c r="O581">
        <v>32</v>
      </c>
      <c r="P581" t="s">
        <v>2265</v>
      </c>
      <c r="Q581">
        <v>0</v>
      </c>
      <c r="R581">
        <v>0</v>
      </c>
      <c r="S581" t="s">
        <v>2265</v>
      </c>
      <c r="T581" t="s">
        <v>62</v>
      </c>
      <c r="U581" t="s">
        <v>39</v>
      </c>
      <c r="V581" t="s">
        <v>52</v>
      </c>
      <c r="W581" t="s">
        <v>52</v>
      </c>
      <c r="X581">
        <v>2024</v>
      </c>
      <c r="Y581" t="s">
        <v>211</v>
      </c>
      <c r="Z581" t="s">
        <v>41</v>
      </c>
    </row>
    <row r="582" spans="1:26">
      <c r="A582" t="s">
        <v>1389</v>
      </c>
      <c r="B582" t="s">
        <v>116</v>
      </c>
      <c r="C582" t="s">
        <v>76</v>
      </c>
      <c r="D582" t="s">
        <v>29</v>
      </c>
      <c r="E582" t="s">
        <v>195</v>
      </c>
      <c r="F582" t="s">
        <v>68</v>
      </c>
      <c r="G582" t="s">
        <v>32</v>
      </c>
      <c r="H582">
        <v>10.8</v>
      </c>
      <c r="I582">
        <v>14.8</v>
      </c>
      <c r="J582" t="s">
        <v>96</v>
      </c>
      <c r="K582" t="s">
        <v>598</v>
      </c>
      <c r="L582" t="s">
        <v>140</v>
      </c>
      <c r="M582" t="s">
        <v>1390</v>
      </c>
      <c r="N582" t="s">
        <v>37</v>
      </c>
      <c r="O582">
        <v>173</v>
      </c>
      <c r="P582" t="s">
        <v>2265</v>
      </c>
      <c r="Q582">
        <v>0</v>
      </c>
      <c r="R582">
        <v>0</v>
      </c>
      <c r="S582" t="s">
        <v>2265</v>
      </c>
      <c r="T582" t="s">
        <v>62</v>
      </c>
      <c r="U582" t="s">
        <v>39</v>
      </c>
      <c r="V582" t="s">
        <v>52</v>
      </c>
      <c r="W582" t="s">
        <v>52</v>
      </c>
      <c r="X582">
        <v>2024</v>
      </c>
      <c r="Y582" t="s">
        <v>74</v>
      </c>
      <c r="Z582" t="s">
        <v>54</v>
      </c>
    </row>
    <row r="583" spans="1:26">
      <c r="A583" t="s">
        <v>1391</v>
      </c>
      <c r="B583" t="s">
        <v>116</v>
      </c>
      <c r="C583" t="s">
        <v>44</v>
      </c>
      <c r="D583" t="s">
        <v>77</v>
      </c>
      <c r="E583" t="s">
        <v>94</v>
      </c>
      <c r="F583" t="s">
        <v>68</v>
      </c>
      <c r="G583" t="s">
        <v>32</v>
      </c>
      <c r="H583">
        <v>2.4</v>
      </c>
      <c r="I583">
        <v>22.7</v>
      </c>
      <c r="J583" t="s">
        <v>156</v>
      </c>
      <c r="K583" t="s">
        <v>1038</v>
      </c>
      <c r="L583" t="s">
        <v>48</v>
      </c>
      <c r="M583" t="s">
        <v>221</v>
      </c>
      <c r="N583" t="s">
        <v>100</v>
      </c>
      <c r="O583">
        <v>143</v>
      </c>
      <c r="P583" t="s">
        <v>2265</v>
      </c>
      <c r="Q583">
        <v>0</v>
      </c>
      <c r="R583">
        <v>0</v>
      </c>
      <c r="S583" t="s">
        <v>2265</v>
      </c>
      <c r="T583" t="s">
        <v>136</v>
      </c>
      <c r="U583" t="s">
        <v>39</v>
      </c>
      <c r="V583" t="s">
        <v>52</v>
      </c>
      <c r="W583" t="s">
        <v>52</v>
      </c>
      <c r="X583">
        <v>2023</v>
      </c>
      <c r="Y583" t="s">
        <v>53</v>
      </c>
      <c r="Z583" t="s">
        <v>54</v>
      </c>
    </row>
    <row r="584" spans="1:26">
      <c r="A584" t="s">
        <v>1392</v>
      </c>
      <c r="B584" t="s">
        <v>93</v>
      </c>
      <c r="C584" t="s">
        <v>164</v>
      </c>
      <c r="D584" t="s">
        <v>85</v>
      </c>
      <c r="E584" t="s">
        <v>208</v>
      </c>
      <c r="F584" t="s">
        <v>46</v>
      </c>
      <c r="G584" t="s">
        <v>58</v>
      </c>
      <c r="H584">
        <v>4.8</v>
      </c>
      <c r="I584">
        <v>26.8</v>
      </c>
      <c r="J584" t="s">
        <v>33</v>
      </c>
      <c r="K584" t="s">
        <v>957</v>
      </c>
      <c r="L584" t="s">
        <v>35</v>
      </c>
      <c r="M584" t="s">
        <v>1393</v>
      </c>
      <c r="N584" t="s">
        <v>71</v>
      </c>
      <c r="O584">
        <v>33</v>
      </c>
      <c r="P584" t="s">
        <v>230</v>
      </c>
      <c r="Q584">
        <v>2863</v>
      </c>
      <c r="R584">
        <v>5000</v>
      </c>
      <c r="S584" t="s">
        <v>90</v>
      </c>
      <c r="T584" t="s">
        <v>38</v>
      </c>
      <c r="U584" t="s">
        <v>39</v>
      </c>
      <c r="V584" t="s">
        <v>39</v>
      </c>
      <c r="W584" t="s">
        <v>39</v>
      </c>
      <c r="X584">
        <v>2022</v>
      </c>
      <c r="Y584" t="s">
        <v>40</v>
      </c>
      <c r="Z584" t="s">
        <v>41</v>
      </c>
    </row>
    <row r="585" spans="1:26">
      <c r="A585" t="s">
        <v>1394</v>
      </c>
      <c r="B585" t="s">
        <v>43</v>
      </c>
      <c r="C585" t="s">
        <v>173</v>
      </c>
      <c r="D585" t="s">
        <v>77</v>
      </c>
      <c r="E585" t="s">
        <v>94</v>
      </c>
      <c r="F585" t="s">
        <v>124</v>
      </c>
      <c r="G585" t="s">
        <v>58</v>
      </c>
      <c r="H585">
        <v>2.2999999999999998</v>
      </c>
      <c r="I585">
        <v>23</v>
      </c>
      <c r="J585" t="s">
        <v>156</v>
      </c>
      <c r="K585" t="s">
        <v>1395</v>
      </c>
      <c r="L585" t="s">
        <v>126</v>
      </c>
      <c r="M585" t="s">
        <v>887</v>
      </c>
      <c r="N585" t="s">
        <v>50</v>
      </c>
      <c r="O585">
        <v>34</v>
      </c>
      <c r="P585" t="s">
        <v>2265</v>
      </c>
      <c r="Q585">
        <v>0</v>
      </c>
      <c r="R585">
        <v>500</v>
      </c>
      <c r="S585" t="s">
        <v>2265</v>
      </c>
      <c r="T585" t="s">
        <v>51</v>
      </c>
      <c r="U585" t="s">
        <v>39</v>
      </c>
      <c r="V585" t="s">
        <v>52</v>
      </c>
      <c r="W585" t="s">
        <v>39</v>
      </c>
      <c r="X585">
        <v>2022</v>
      </c>
      <c r="Y585" t="s">
        <v>82</v>
      </c>
      <c r="Z585" t="s">
        <v>83</v>
      </c>
    </row>
    <row r="586" spans="1:26">
      <c r="A586" t="s">
        <v>1396</v>
      </c>
      <c r="B586" t="s">
        <v>43</v>
      </c>
      <c r="C586" t="s">
        <v>28</v>
      </c>
      <c r="D586" t="s">
        <v>77</v>
      </c>
      <c r="E586" t="s">
        <v>220</v>
      </c>
      <c r="F586" t="s">
        <v>95</v>
      </c>
      <c r="G586" t="s">
        <v>32</v>
      </c>
      <c r="H586">
        <v>1.4</v>
      </c>
      <c r="I586">
        <v>10.199999999999999</v>
      </c>
      <c r="J586" t="s">
        <v>96</v>
      </c>
      <c r="K586" t="s">
        <v>964</v>
      </c>
      <c r="L586" t="s">
        <v>60</v>
      </c>
      <c r="M586" t="s">
        <v>1358</v>
      </c>
      <c r="N586" t="s">
        <v>50</v>
      </c>
      <c r="O586">
        <v>29</v>
      </c>
      <c r="P586" t="s">
        <v>2265</v>
      </c>
      <c r="Q586">
        <v>0</v>
      </c>
      <c r="R586">
        <v>0</v>
      </c>
      <c r="S586" t="s">
        <v>2265</v>
      </c>
      <c r="T586" t="s">
        <v>81</v>
      </c>
      <c r="U586" t="s">
        <v>52</v>
      </c>
      <c r="V586" t="s">
        <v>39</v>
      </c>
      <c r="W586" t="s">
        <v>52</v>
      </c>
      <c r="X586">
        <v>2022</v>
      </c>
      <c r="Y586" t="s">
        <v>40</v>
      </c>
      <c r="Z586" t="s">
        <v>41</v>
      </c>
    </row>
    <row r="587" spans="1:26">
      <c r="A587" t="s">
        <v>1397</v>
      </c>
      <c r="B587" t="s">
        <v>66</v>
      </c>
      <c r="C587" t="s">
        <v>121</v>
      </c>
      <c r="D587" t="s">
        <v>77</v>
      </c>
      <c r="E587" t="s">
        <v>94</v>
      </c>
      <c r="F587" t="s">
        <v>68</v>
      </c>
      <c r="G587" t="s">
        <v>58</v>
      </c>
      <c r="H587">
        <v>5.0999999999999996</v>
      </c>
      <c r="I587">
        <v>31.2</v>
      </c>
      <c r="J587" t="s">
        <v>33</v>
      </c>
      <c r="K587" t="s">
        <v>739</v>
      </c>
      <c r="L587" t="s">
        <v>35</v>
      </c>
      <c r="M587" t="s">
        <v>1398</v>
      </c>
      <c r="N587" t="s">
        <v>71</v>
      </c>
      <c r="O587">
        <v>125</v>
      </c>
      <c r="P587" t="s">
        <v>89</v>
      </c>
      <c r="Q587">
        <v>4722</v>
      </c>
      <c r="R587">
        <v>2000</v>
      </c>
      <c r="S587" t="s">
        <v>73</v>
      </c>
      <c r="T587" t="s">
        <v>38</v>
      </c>
      <c r="U587" t="s">
        <v>39</v>
      </c>
      <c r="V587" t="s">
        <v>52</v>
      </c>
      <c r="W587" t="s">
        <v>52</v>
      </c>
      <c r="X587">
        <v>2022</v>
      </c>
      <c r="Y587" t="s">
        <v>53</v>
      </c>
      <c r="Z587" t="s">
        <v>54</v>
      </c>
    </row>
    <row r="588" spans="1:26">
      <c r="A588" t="s">
        <v>1399</v>
      </c>
      <c r="B588" t="s">
        <v>116</v>
      </c>
      <c r="C588" t="s">
        <v>76</v>
      </c>
      <c r="D588" t="s">
        <v>77</v>
      </c>
      <c r="E588" t="s">
        <v>220</v>
      </c>
      <c r="F588" t="s">
        <v>109</v>
      </c>
      <c r="G588" t="s">
        <v>58</v>
      </c>
      <c r="H588">
        <v>11.1</v>
      </c>
      <c r="I588">
        <v>7.2</v>
      </c>
      <c r="J588" t="s">
        <v>33</v>
      </c>
      <c r="K588" t="s">
        <v>1215</v>
      </c>
      <c r="L588" t="s">
        <v>60</v>
      </c>
      <c r="M588" t="s">
        <v>1400</v>
      </c>
      <c r="N588" t="s">
        <v>61</v>
      </c>
      <c r="O588">
        <v>134</v>
      </c>
      <c r="P588" t="s">
        <v>2265</v>
      </c>
      <c r="Q588">
        <v>0</v>
      </c>
      <c r="R588">
        <v>0</v>
      </c>
      <c r="S588" t="s">
        <v>2265</v>
      </c>
      <c r="T588" t="s">
        <v>38</v>
      </c>
      <c r="U588" t="s">
        <v>39</v>
      </c>
      <c r="V588" t="s">
        <v>39</v>
      </c>
      <c r="W588" t="s">
        <v>52</v>
      </c>
      <c r="X588">
        <v>2022</v>
      </c>
      <c r="Y588" t="s">
        <v>128</v>
      </c>
      <c r="Z588" t="s">
        <v>64</v>
      </c>
    </row>
    <row r="589" spans="1:26">
      <c r="A589" t="s">
        <v>1401</v>
      </c>
      <c r="B589" t="s">
        <v>93</v>
      </c>
      <c r="C589" t="s">
        <v>173</v>
      </c>
      <c r="D589" t="s">
        <v>77</v>
      </c>
      <c r="E589" t="s">
        <v>363</v>
      </c>
      <c r="F589" t="s">
        <v>149</v>
      </c>
      <c r="G589" t="s">
        <v>32</v>
      </c>
      <c r="H589">
        <v>5.8</v>
      </c>
      <c r="I589">
        <v>33.4</v>
      </c>
      <c r="J589" t="s">
        <v>144</v>
      </c>
      <c r="K589" t="s">
        <v>1314</v>
      </c>
      <c r="L589" t="s">
        <v>140</v>
      </c>
      <c r="M589" t="s">
        <v>672</v>
      </c>
      <c r="N589" t="s">
        <v>71</v>
      </c>
      <c r="O589">
        <v>178</v>
      </c>
      <c r="P589" t="s">
        <v>112</v>
      </c>
      <c r="Q589">
        <v>5192</v>
      </c>
      <c r="R589">
        <v>0</v>
      </c>
      <c r="S589" t="s">
        <v>113</v>
      </c>
      <c r="T589" t="s">
        <v>51</v>
      </c>
      <c r="U589" t="s">
        <v>39</v>
      </c>
      <c r="V589" t="s">
        <v>39</v>
      </c>
      <c r="W589" t="s">
        <v>52</v>
      </c>
      <c r="X589">
        <v>2022</v>
      </c>
      <c r="Y589" t="s">
        <v>153</v>
      </c>
      <c r="Z589" t="s">
        <v>54</v>
      </c>
    </row>
    <row r="590" spans="1:26">
      <c r="A590" t="s">
        <v>1402</v>
      </c>
      <c r="B590" t="s">
        <v>27</v>
      </c>
      <c r="C590" t="s">
        <v>173</v>
      </c>
      <c r="D590" t="s">
        <v>85</v>
      </c>
      <c r="E590" t="s">
        <v>174</v>
      </c>
      <c r="F590" t="s">
        <v>46</v>
      </c>
      <c r="G590" t="s">
        <v>58</v>
      </c>
      <c r="H590">
        <v>5.3</v>
      </c>
      <c r="I590">
        <v>15.9</v>
      </c>
      <c r="J590" t="s">
        <v>20</v>
      </c>
      <c r="K590" t="s">
        <v>221</v>
      </c>
      <c r="L590" t="s">
        <v>126</v>
      </c>
      <c r="M590" t="s">
        <v>1403</v>
      </c>
      <c r="N590" t="s">
        <v>37</v>
      </c>
      <c r="O590">
        <v>43</v>
      </c>
      <c r="P590" t="s">
        <v>2265</v>
      </c>
      <c r="Q590">
        <v>0</v>
      </c>
      <c r="R590">
        <v>1000</v>
      </c>
      <c r="S590" t="s">
        <v>2265</v>
      </c>
      <c r="T590" t="s">
        <v>136</v>
      </c>
      <c r="U590" t="s">
        <v>39</v>
      </c>
      <c r="V590" t="s">
        <v>52</v>
      </c>
      <c r="W590" t="s">
        <v>52</v>
      </c>
      <c r="X590">
        <v>2023</v>
      </c>
      <c r="Y590" t="s">
        <v>91</v>
      </c>
      <c r="Z590" t="s">
        <v>64</v>
      </c>
    </row>
    <row r="591" spans="1:26">
      <c r="A591" t="s">
        <v>1404</v>
      </c>
      <c r="B591" t="s">
        <v>66</v>
      </c>
      <c r="C591" t="s">
        <v>67</v>
      </c>
      <c r="D591" t="s">
        <v>122</v>
      </c>
      <c r="E591" t="s">
        <v>123</v>
      </c>
      <c r="F591" t="s">
        <v>57</v>
      </c>
      <c r="G591" t="s">
        <v>58</v>
      </c>
      <c r="H591">
        <v>7.1</v>
      </c>
      <c r="I591">
        <v>10.6</v>
      </c>
      <c r="J591" t="s">
        <v>33</v>
      </c>
      <c r="K591" t="s">
        <v>367</v>
      </c>
      <c r="L591" t="s">
        <v>48</v>
      </c>
      <c r="M591" t="s">
        <v>1405</v>
      </c>
      <c r="N591" t="s">
        <v>71</v>
      </c>
      <c r="O591">
        <v>43</v>
      </c>
      <c r="P591" t="s">
        <v>72</v>
      </c>
      <c r="Q591">
        <v>2594</v>
      </c>
      <c r="R591">
        <v>0</v>
      </c>
      <c r="S591" t="s">
        <v>90</v>
      </c>
      <c r="T591" t="s">
        <v>81</v>
      </c>
      <c r="U591" t="s">
        <v>39</v>
      </c>
      <c r="V591" t="s">
        <v>39</v>
      </c>
      <c r="W591" t="s">
        <v>39</v>
      </c>
      <c r="X591">
        <v>2024</v>
      </c>
      <c r="Y591" t="s">
        <v>40</v>
      </c>
      <c r="Z591" t="s">
        <v>41</v>
      </c>
    </row>
    <row r="592" spans="1:26">
      <c r="A592" t="s">
        <v>1406</v>
      </c>
      <c r="B592" t="s">
        <v>116</v>
      </c>
      <c r="C592" t="s">
        <v>67</v>
      </c>
      <c r="D592" t="s">
        <v>77</v>
      </c>
      <c r="E592" t="s">
        <v>260</v>
      </c>
      <c r="F592" t="s">
        <v>124</v>
      </c>
      <c r="G592" t="s">
        <v>32</v>
      </c>
      <c r="H592">
        <v>1.6</v>
      </c>
      <c r="I592">
        <v>11.5</v>
      </c>
      <c r="J592" t="s">
        <v>20</v>
      </c>
      <c r="K592" t="s">
        <v>1407</v>
      </c>
      <c r="L592" t="s">
        <v>60</v>
      </c>
      <c r="M592" t="s">
        <v>1123</v>
      </c>
      <c r="N592" t="s">
        <v>171</v>
      </c>
      <c r="O592">
        <v>38</v>
      </c>
      <c r="P592" t="s">
        <v>2265</v>
      </c>
      <c r="Q592">
        <v>0</v>
      </c>
      <c r="R592">
        <v>0</v>
      </c>
      <c r="S592" t="s">
        <v>2265</v>
      </c>
      <c r="T592" t="s">
        <v>81</v>
      </c>
      <c r="U592" t="s">
        <v>39</v>
      </c>
      <c r="V592" t="s">
        <v>52</v>
      </c>
      <c r="W592" t="s">
        <v>52</v>
      </c>
      <c r="X592">
        <v>2024</v>
      </c>
      <c r="Y592" t="s">
        <v>82</v>
      </c>
      <c r="Z592" t="s">
        <v>83</v>
      </c>
    </row>
    <row r="593" spans="1:26">
      <c r="A593" t="s">
        <v>1408</v>
      </c>
      <c r="B593" t="s">
        <v>66</v>
      </c>
      <c r="C593" t="s">
        <v>28</v>
      </c>
      <c r="D593" t="s">
        <v>77</v>
      </c>
      <c r="E593" t="s">
        <v>363</v>
      </c>
      <c r="F593" t="s">
        <v>31</v>
      </c>
      <c r="G593" t="s">
        <v>32</v>
      </c>
      <c r="H593">
        <v>8.6</v>
      </c>
      <c r="I593">
        <v>33.1</v>
      </c>
      <c r="J593" t="s">
        <v>156</v>
      </c>
      <c r="K593" t="s">
        <v>1409</v>
      </c>
      <c r="L593" t="s">
        <v>126</v>
      </c>
      <c r="M593" t="s">
        <v>127</v>
      </c>
      <c r="N593" t="s">
        <v>71</v>
      </c>
      <c r="O593">
        <v>56</v>
      </c>
      <c r="P593" t="s">
        <v>72</v>
      </c>
      <c r="Q593">
        <v>7595</v>
      </c>
      <c r="R593">
        <v>0</v>
      </c>
      <c r="S593" t="s">
        <v>152</v>
      </c>
      <c r="T593" t="s">
        <v>81</v>
      </c>
      <c r="U593" t="s">
        <v>39</v>
      </c>
      <c r="V593" t="s">
        <v>39</v>
      </c>
      <c r="W593" t="s">
        <v>52</v>
      </c>
      <c r="X593">
        <v>2024</v>
      </c>
      <c r="Y593" t="s">
        <v>63</v>
      </c>
      <c r="Z593" t="s">
        <v>64</v>
      </c>
    </row>
    <row r="594" spans="1:26">
      <c r="A594" t="s">
        <v>1410</v>
      </c>
      <c r="B594" t="s">
        <v>108</v>
      </c>
      <c r="C594" t="s">
        <v>102</v>
      </c>
      <c r="D594" t="s">
        <v>77</v>
      </c>
      <c r="E594" t="s">
        <v>220</v>
      </c>
      <c r="F594" t="s">
        <v>31</v>
      </c>
      <c r="G594" t="s">
        <v>58</v>
      </c>
      <c r="H594">
        <v>2.1</v>
      </c>
      <c r="I594">
        <v>11.8</v>
      </c>
      <c r="J594" t="s">
        <v>33</v>
      </c>
      <c r="K594" t="s">
        <v>1411</v>
      </c>
      <c r="L594" t="s">
        <v>35</v>
      </c>
      <c r="M594" t="s">
        <v>917</v>
      </c>
      <c r="N594" t="s">
        <v>71</v>
      </c>
      <c r="O594">
        <v>108</v>
      </c>
      <c r="P594" t="s">
        <v>105</v>
      </c>
      <c r="Q594">
        <v>4016</v>
      </c>
      <c r="R594">
        <v>500</v>
      </c>
      <c r="S594" t="s">
        <v>73</v>
      </c>
      <c r="T594" t="s">
        <v>136</v>
      </c>
      <c r="U594" t="s">
        <v>39</v>
      </c>
      <c r="V594" t="s">
        <v>39</v>
      </c>
      <c r="W594" t="s">
        <v>52</v>
      </c>
      <c r="X594">
        <v>2023</v>
      </c>
      <c r="Y594" t="s">
        <v>40</v>
      </c>
      <c r="Z594" t="s">
        <v>41</v>
      </c>
    </row>
    <row r="595" spans="1:26">
      <c r="A595" t="s">
        <v>1412</v>
      </c>
      <c r="B595" t="s">
        <v>66</v>
      </c>
      <c r="C595" t="s">
        <v>173</v>
      </c>
      <c r="D595" t="s">
        <v>77</v>
      </c>
      <c r="E595" t="s">
        <v>220</v>
      </c>
      <c r="F595" t="s">
        <v>160</v>
      </c>
      <c r="G595" t="s">
        <v>32</v>
      </c>
      <c r="H595">
        <v>1.2</v>
      </c>
      <c r="I595">
        <v>28.2</v>
      </c>
      <c r="J595" t="s">
        <v>96</v>
      </c>
      <c r="K595" t="s">
        <v>452</v>
      </c>
      <c r="L595" t="s">
        <v>60</v>
      </c>
      <c r="M595" t="s">
        <v>1413</v>
      </c>
      <c r="N595" t="s">
        <v>71</v>
      </c>
      <c r="O595">
        <v>166</v>
      </c>
      <c r="P595" t="s">
        <v>112</v>
      </c>
      <c r="Q595">
        <v>3568</v>
      </c>
      <c r="R595">
        <v>500</v>
      </c>
      <c r="S595" t="s">
        <v>73</v>
      </c>
      <c r="T595" t="s">
        <v>62</v>
      </c>
      <c r="U595" t="s">
        <v>39</v>
      </c>
      <c r="V595" t="s">
        <v>52</v>
      </c>
      <c r="W595" t="s">
        <v>39</v>
      </c>
      <c r="X595">
        <v>2023</v>
      </c>
      <c r="Y595" t="s">
        <v>128</v>
      </c>
      <c r="Z595" t="s">
        <v>64</v>
      </c>
    </row>
    <row r="596" spans="1:26">
      <c r="A596" t="s">
        <v>1414</v>
      </c>
      <c r="B596" t="s">
        <v>116</v>
      </c>
      <c r="C596" t="s">
        <v>164</v>
      </c>
      <c r="D596" t="s">
        <v>85</v>
      </c>
      <c r="E596" t="s">
        <v>402</v>
      </c>
      <c r="F596" t="s">
        <v>95</v>
      </c>
      <c r="G596" t="s">
        <v>32</v>
      </c>
      <c r="H596">
        <v>1.3</v>
      </c>
      <c r="I596">
        <v>8.1999999999999993</v>
      </c>
      <c r="J596" t="s">
        <v>96</v>
      </c>
      <c r="K596" t="s">
        <v>1415</v>
      </c>
      <c r="L596" t="s">
        <v>98</v>
      </c>
      <c r="M596" t="s">
        <v>890</v>
      </c>
      <c r="N596" t="s">
        <v>71</v>
      </c>
      <c r="O596">
        <v>127</v>
      </c>
      <c r="P596" t="s">
        <v>112</v>
      </c>
      <c r="Q596">
        <v>2031</v>
      </c>
      <c r="R596">
        <v>1000</v>
      </c>
      <c r="S596" t="s">
        <v>113</v>
      </c>
      <c r="T596" t="s">
        <v>81</v>
      </c>
      <c r="U596" t="s">
        <v>39</v>
      </c>
      <c r="V596" t="s">
        <v>39</v>
      </c>
      <c r="W596" t="s">
        <v>52</v>
      </c>
      <c r="X596">
        <v>2024</v>
      </c>
      <c r="Y596" t="s">
        <v>40</v>
      </c>
      <c r="Z596" t="s">
        <v>41</v>
      </c>
    </row>
    <row r="597" spans="1:26">
      <c r="A597" t="s">
        <v>1416</v>
      </c>
      <c r="B597" t="s">
        <v>93</v>
      </c>
      <c r="C597" t="s">
        <v>44</v>
      </c>
      <c r="D597" t="s">
        <v>29</v>
      </c>
      <c r="E597" t="s">
        <v>30</v>
      </c>
      <c r="F597" t="s">
        <v>160</v>
      </c>
      <c r="G597" t="s">
        <v>58</v>
      </c>
      <c r="H597">
        <v>11.4</v>
      </c>
      <c r="I597">
        <v>3.1</v>
      </c>
      <c r="J597" t="s">
        <v>33</v>
      </c>
      <c r="K597" t="s">
        <v>592</v>
      </c>
      <c r="L597" t="s">
        <v>140</v>
      </c>
      <c r="M597" t="s">
        <v>326</v>
      </c>
      <c r="N597" t="s">
        <v>71</v>
      </c>
      <c r="O597">
        <v>67</v>
      </c>
      <c r="P597" t="s">
        <v>112</v>
      </c>
      <c r="Q597">
        <v>1953</v>
      </c>
      <c r="R597">
        <v>0</v>
      </c>
      <c r="S597" t="s">
        <v>73</v>
      </c>
      <c r="T597" t="s">
        <v>81</v>
      </c>
      <c r="U597" t="s">
        <v>39</v>
      </c>
      <c r="V597" t="s">
        <v>39</v>
      </c>
      <c r="W597" t="s">
        <v>52</v>
      </c>
      <c r="X597">
        <v>2022</v>
      </c>
      <c r="Y597" t="s">
        <v>74</v>
      </c>
      <c r="Z597" t="s">
        <v>54</v>
      </c>
    </row>
    <row r="598" spans="1:26">
      <c r="A598" t="s">
        <v>1417</v>
      </c>
      <c r="B598" t="s">
        <v>93</v>
      </c>
      <c r="C598" t="s">
        <v>121</v>
      </c>
      <c r="D598" t="s">
        <v>77</v>
      </c>
      <c r="E598" t="s">
        <v>143</v>
      </c>
      <c r="F598" t="s">
        <v>124</v>
      </c>
      <c r="G598" t="s">
        <v>58</v>
      </c>
      <c r="H598">
        <v>8</v>
      </c>
      <c r="I598">
        <v>34.200000000000003</v>
      </c>
      <c r="J598" t="s">
        <v>33</v>
      </c>
      <c r="K598" t="s">
        <v>1261</v>
      </c>
      <c r="L598" t="s">
        <v>60</v>
      </c>
      <c r="M598" t="s">
        <v>127</v>
      </c>
      <c r="N598" t="s">
        <v>37</v>
      </c>
      <c r="O598">
        <v>136</v>
      </c>
      <c r="P598" t="s">
        <v>2265</v>
      </c>
      <c r="Q598">
        <v>0</v>
      </c>
      <c r="R598">
        <v>1000</v>
      </c>
      <c r="S598" t="s">
        <v>2265</v>
      </c>
      <c r="T598" t="s">
        <v>38</v>
      </c>
      <c r="U598" t="s">
        <v>39</v>
      </c>
      <c r="V598" t="s">
        <v>52</v>
      </c>
      <c r="W598" t="s">
        <v>52</v>
      </c>
      <c r="X598">
        <v>2024</v>
      </c>
      <c r="Y598" t="s">
        <v>63</v>
      </c>
      <c r="Z598" t="s">
        <v>64</v>
      </c>
    </row>
    <row r="599" spans="1:26">
      <c r="A599" t="s">
        <v>1418</v>
      </c>
      <c r="B599" t="s">
        <v>108</v>
      </c>
      <c r="C599" t="s">
        <v>102</v>
      </c>
      <c r="D599" t="s">
        <v>77</v>
      </c>
      <c r="E599" t="s">
        <v>143</v>
      </c>
      <c r="F599" t="s">
        <v>149</v>
      </c>
      <c r="G599" t="s">
        <v>58</v>
      </c>
      <c r="H599">
        <v>8.1</v>
      </c>
      <c r="I599">
        <v>16.7</v>
      </c>
      <c r="J599" t="s">
        <v>33</v>
      </c>
      <c r="K599" t="s">
        <v>593</v>
      </c>
      <c r="L599" t="s">
        <v>48</v>
      </c>
      <c r="M599" t="s">
        <v>1419</v>
      </c>
      <c r="N599" t="s">
        <v>71</v>
      </c>
      <c r="O599">
        <v>127</v>
      </c>
      <c r="P599" t="s">
        <v>105</v>
      </c>
      <c r="Q599">
        <v>4740</v>
      </c>
      <c r="R599">
        <v>0</v>
      </c>
      <c r="S599" t="s">
        <v>152</v>
      </c>
      <c r="T599" t="s">
        <v>51</v>
      </c>
      <c r="U599" t="s">
        <v>52</v>
      </c>
      <c r="V599" t="s">
        <v>52</v>
      </c>
      <c r="W599" t="s">
        <v>52</v>
      </c>
      <c r="X599">
        <v>2022</v>
      </c>
      <c r="Y599" t="s">
        <v>153</v>
      </c>
      <c r="Z599" t="s">
        <v>54</v>
      </c>
    </row>
    <row r="600" spans="1:26">
      <c r="A600" t="s">
        <v>1420</v>
      </c>
      <c r="B600" t="s">
        <v>27</v>
      </c>
      <c r="C600" t="s">
        <v>102</v>
      </c>
      <c r="D600" t="s">
        <v>29</v>
      </c>
      <c r="E600" t="s">
        <v>30</v>
      </c>
      <c r="F600" t="s">
        <v>57</v>
      </c>
      <c r="G600" t="s">
        <v>58</v>
      </c>
      <c r="H600">
        <v>4.7</v>
      </c>
      <c r="I600">
        <v>16.100000000000001</v>
      </c>
      <c r="J600" t="s">
        <v>33</v>
      </c>
      <c r="K600" t="s">
        <v>1421</v>
      </c>
      <c r="L600" t="s">
        <v>60</v>
      </c>
      <c r="M600" t="s">
        <v>157</v>
      </c>
      <c r="N600" t="s">
        <v>171</v>
      </c>
      <c r="O600">
        <v>57</v>
      </c>
      <c r="P600" t="s">
        <v>2265</v>
      </c>
      <c r="Q600">
        <v>0</v>
      </c>
      <c r="R600">
        <v>0</v>
      </c>
      <c r="S600" t="s">
        <v>2265</v>
      </c>
      <c r="T600" t="s">
        <v>136</v>
      </c>
      <c r="U600" t="s">
        <v>39</v>
      </c>
      <c r="V600" t="s">
        <v>52</v>
      </c>
      <c r="W600" t="s">
        <v>52</v>
      </c>
      <c r="X600">
        <v>2022</v>
      </c>
      <c r="Y600" t="s">
        <v>114</v>
      </c>
      <c r="Z600" t="s">
        <v>41</v>
      </c>
    </row>
    <row r="601" spans="1:26">
      <c r="A601" t="s">
        <v>1422</v>
      </c>
      <c r="B601" t="s">
        <v>93</v>
      </c>
      <c r="C601" t="s">
        <v>76</v>
      </c>
      <c r="D601" t="s">
        <v>77</v>
      </c>
      <c r="E601" t="s">
        <v>143</v>
      </c>
      <c r="F601" t="s">
        <v>149</v>
      </c>
      <c r="G601" t="s">
        <v>32</v>
      </c>
      <c r="H601">
        <v>0.3</v>
      </c>
      <c r="I601">
        <v>16.399999999999999</v>
      </c>
      <c r="J601" t="s">
        <v>33</v>
      </c>
      <c r="K601" t="s">
        <v>1048</v>
      </c>
      <c r="L601" t="s">
        <v>60</v>
      </c>
      <c r="M601" t="s">
        <v>464</v>
      </c>
      <c r="N601" t="s">
        <v>71</v>
      </c>
      <c r="O601">
        <v>119</v>
      </c>
      <c r="P601" t="s">
        <v>230</v>
      </c>
      <c r="Q601">
        <v>3902</v>
      </c>
      <c r="R601">
        <v>0</v>
      </c>
      <c r="S601" t="s">
        <v>73</v>
      </c>
      <c r="T601" t="s">
        <v>51</v>
      </c>
      <c r="U601" t="s">
        <v>52</v>
      </c>
      <c r="V601" t="s">
        <v>39</v>
      </c>
      <c r="W601" t="s">
        <v>52</v>
      </c>
      <c r="X601">
        <v>2022</v>
      </c>
      <c r="Y601" t="s">
        <v>91</v>
      </c>
      <c r="Z601" t="s">
        <v>64</v>
      </c>
    </row>
    <row r="602" spans="1:26">
      <c r="A602" t="s">
        <v>1423</v>
      </c>
      <c r="B602" t="s">
        <v>116</v>
      </c>
      <c r="C602" t="s">
        <v>76</v>
      </c>
      <c r="D602" t="s">
        <v>85</v>
      </c>
      <c r="E602" t="s">
        <v>138</v>
      </c>
      <c r="F602" t="s">
        <v>57</v>
      </c>
      <c r="G602" t="s">
        <v>32</v>
      </c>
      <c r="H602">
        <v>0.7</v>
      </c>
      <c r="I602">
        <v>9.9</v>
      </c>
      <c r="J602" t="s">
        <v>33</v>
      </c>
      <c r="K602" t="s">
        <v>515</v>
      </c>
      <c r="L602" t="s">
        <v>60</v>
      </c>
      <c r="M602" t="s">
        <v>720</v>
      </c>
      <c r="N602" t="s">
        <v>171</v>
      </c>
      <c r="O602">
        <v>131</v>
      </c>
      <c r="P602" t="s">
        <v>2265</v>
      </c>
      <c r="Q602">
        <v>0</v>
      </c>
      <c r="R602">
        <v>0</v>
      </c>
      <c r="S602" t="s">
        <v>2265</v>
      </c>
      <c r="T602" t="s">
        <v>81</v>
      </c>
      <c r="U602" t="s">
        <v>52</v>
      </c>
      <c r="V602" t="s">
        <v>39</v>
      </c>
      <c r="W602" t="s">
        <v>52</v>
      </c>
      <c r="X602">
        <v>2024</v>
      </c>
      <c r="Y602" t="s">
        <v>153</v>
      </c>
      <c r="Z602" t="s">
        <v>54</v>
      </c>
    </row>
    <row r="603" spans="1:26">
      <c r="A603" t="s">
        <v>1424</v>
      </c>
      <c r="B603" t="s">
        <v>43</v>
      </c>
      <c r="C603" t="s">
        <v>28</v>
      </c>
      <c r="D603" t="s">
        <v>29</v>
      </c>
      <c r="E603" t="s">
        <v>244</v>
      </c>
      <c r="F603" t="s">
        <v>124</v>
      </c>
      <c r="G603" t="s">
        <v>58</v>
      </c>
      <c r="H603">
        <v>1.4</v>
      </c>
      <c r="I603">
        <v>2.2000000000000002</v>
      </c>
      <c r="J603" t="s">
        <v>33</v>
      </c>
      <c r="K603" t="s">
        <v>1373</v>
      </c>
      <c r="L603" t="s">
        <v>35</v>
      </c>
      <c r="M603" t="s">
        <v>127</v>
      </c>
      <c r="N603" t="s">
        <v>100</v>
      </c>
      <c r="O603">
        <v>133</v>
      </c>
      <c r="P603" t="s">
        <v>2265</v>
      </c>
      <c r="Q603">
        <v>0</v>
      </c>
      <c r="R603">
        <v>0</v>
      </c>
      <c r="S603" t="s">
        <v>2265</v>
      </c>
      <c r="T603" t="s">
        <v>62</v>
      </c>
      <c r="U603" t="s">
        <v>39</v>
      </c>
      <c r="V603" t="s">
        <v>39</v>
      </c>
      <c r="W603" t="s">
        <v>39</v>
      </c>
      <c r="X603">
        <v>2024</v>
      </c>
      <c r="Y603" t="s">
        <v>91</v>
      </c>
      <c r="Z603" t="s">
        <v>64</v>
      </c>
    </row>
    <row r="604" spans="1:26">
      <c r="A604" t="s">
        <v>1425</v>
      </c>
      <c r="B604" t="s">
        <v>66</v>
      </c>
      <c r="C604" t="s">
        <v>173</v>
      </c>
      <c r="D604" t="s">
        <v>29</v>
      </c>
      <c r="E604" t="s">
        <v>30</v>
      </c>
      <c r="F604" t="s">
        <v>149</v>
      </c>
      <c r="G604" t="s">
        <v>58</v>
      </c>
      <c r="H604">
        <v>4.8</v>
      </c>
      <c r="I604">
        <v>4</v>
      </c>
      <c r="J604" t="s">
        <v>33</v>
      </c>
      <c r="K604" t="s">
        <v>1426</v>
      </c>
      <c r="L604" t="s">
        <v>48</v>
      </c>
      <c r="M604" t="s">
        <v>595</v>
      </c>
      <c r="N604" t="s">
        <v>100</v>
      </c>
      <c r="O604">
        <v>58</v>
      </c>
      <c r="P604" t="s">
        <v>2265</v>
      </c>
      <c r="Q604">
        <v>0</v>
      </c>
      <c r="R604">
        <v>0</v>
      </c>
      <c r="S604" t="s">
        <v>2265</v>
      </c>
      <c r="T604" t="s">
        <v>51</v>
      </c>
      <c r="U604" t="s">
        <v>39</v>
      </c>
      <c r="V604" t="s">
        <v>52</v>
      </c>
      <c r="W604" t="s">
        <v>52</v>
      </c>
      <c r="X604">
        <v>2023</v>
      </c>
      <c r="Y604" t="s">
        <v>40</v>
      </c>
      <c r="Z604" t="s">
        <v>41</v>
      </c>
    </row>
    <row r="605" spans="1:26">
      <c r="A605" t="s">
        <v>1427</v>
      </c>
      <c r="B605" t="s">
        <v>43</v>
      </c>
      <c r="C605" t="s">
        <v>67</v>
      </c>
      <c r="D605" t="s">
        <v>77</v>
      </c>
      <c r="E605" t="s">
        <v>143</v>
      </c>
      <c r="F605" t="s">
        <v>95</v>
      </c>
      <c r="G605" t="s">
        <v>58</v>
      </c>
      <c r="H605">
        <v>10.199999999999999</v>
      </c>
      <c r="I605">
        <v>24.2</v>
      </c>
      <c r="J605" t="s">
        <v>33</v>
      </c>
      <c r="K605" t="s">
        <v>835</v>
      </c>
      <c r="L605" t="s">
        <v>60</v>
      </c>
      <c r="M605" t="s">
        <v>733</v>
      </c>
      <c r="N605" t="s">
        <v>50</v>
      </c>
      <c r="O605">
        <v>129</v>
      </c>
      <c r="P605" t="s">
        <v>2265</v>
      </c>
      <c r="Q605">
        <v>0</v>
      </c>
      <c r="R605">
        <v>500</v>
      </c>
      <c r="S605" t="s">
        <v>2265</v>
      </c>
      <c r="T605" t="s">
        <v>136</v>
      </c>
      <c r="U605" t="s">
        <v>39</v>
      </c>
      <c r="V605" t="s">
        <v>39</v>
      </c>
      <c r="W605" t="s">
        <v>52</v>
      </c>
      <c r="X605">
        <v>2023</v>
      </c>
      <c r="Y605" t="s">
        <v>106</v>
      </c>
      <c r="Z605" t="s">
        <v>83</v>
      </c>
    </row>
    <row r="606" spans="1:26">
      <c r="A606" t="s">
        <v>1428</v>
      </c>
      <c r="B606" t="s">
        <v>116</v>
      </c>
      <c r="C606" t="s">
        <v>67</v>
      </c>
      <c r="D606" t="s">
        <v>85</v>
      </c>
      <c r="E606" t="s">
        <v>402</v>
      </c>
      <c r="F606" t="s">
        <v>149</v>
      </c>
      <c r="G606" t="s">
        <v>58</v>
      </c>
      <c r="H606">
        <v>10.6</v>
      </c>
      <c r="I606">
        <v>6.4</v>
      </c>
      <c r="J606" t="s">
        <v>144</v>
      </c>
      <c r="K606" t="s">
        <v>1429</v>
      </c>
      <c r="L606" t="s">
        <v>48</v>
      </c>
      <c r="M606" t="s">
        <v>1430</v>
      </c>
      <c r="N606" t="s">
        <v>61</v>
      </c>
      <c r="O606">
        <v>46</v>
      </c>
      <c r="P606" t="s">
        <v>2265</v>
      </c>
      <c r="Q606">
        <v>0</v>
      </c>
      <c r="R606">
        <v>0</v>
      </c>
      <c r="S606" t="s">
        <v>2265</v>
      </c>
      <c r="T606" t="s">
        <v>136</v>
      </c>
      <c r="U606" t="s">
        <v>39</v>
      </c>
      <c r="V606" t="s">
        <v>39</v>
      </c>
      <c r="W606" t="s">
        <v>39</v>
      </c>
      <c r="X606">
        <v>2022</v>
      </c>
      <c r="Y606" t="s">
        <v>82</v>
      </c>
      <c r="Z606" t="s">
        <v>83</v>
      </c>
    </row>
    <row r="607" spans="1:26">
      <c r="A607" t="s">
        <v>1431</v>
      </c>
      <c r="B607" t="s">
        <v>66</v>
      </c>
      <c r="C607" t="s">
        <v>67</v>
      </c>
      <c r="D607" t="s">
        <v>77</v>
      </c>
      <c r="E607" t="s">
        <v>168</v>
      </c>
      <c r="F607" t="s">
        <v>149</v>
      </c>
      <c r="G607" t="s">
        <v>32</v>
      </c>
      <c r="H607">
        <v>1.2</v>
      </c>
      <c r="I607">
        <v>11</v>
      </c>
      <c r="J607" t="s">
        <v>156</v>
      </c>
      <c r="K607" t="s">
        <v>323</v>
      </c>
      <c r="L607" t="s">
        <v>60</v>
      </c>
      <c r="M607" t="s">
        <v>1432</v>
      </c>
      <c r="N607" t="s">
        <v>71</v>
      </c>
      <c r="O607">
        <v>135</v>
      </c>
      <c r="P607" t="s">
        <v>105</v>
      </c>
      <c r="Q607">
        <v>4200</v>
      </c>
      <c r="R607">
        <v>5000</v>
      </c>
      <c r="S607" t="s">
        <v>152</v>
      </c>
      <c r="T607" t="s">
        <v>136</v>
      </c>
      <c r="U607" t="s">
        <v>39</v>
      </c>
      <c r="V607" t="s">
        <v>52</v>
      </c>
      <c r="W607" t="s">
        <v>52</v>
      </c>
      <c r="X607">
        <v>2023</v>
      </c>
      <c r="Y607" t="s">
        <v>74</v>
      </c>
      <c r="Z607" t="s">
        <v>54</v>
      </c>
    </row>
    <row r="608" spans="1:26">
      <c r="A608" t="s">
        <v>1433</v>
      </c>
      <c r="B608" t="s">
        <v>66</v>
      </c>
      <c r="C608" t="s">
        <v>76</v>
      </c>
      <c r="D608" t="s">
        <v>77</v>
      </c>
      <c r="E608" t="s">
        <v>260</v>
      </c>
      <c r="F608" t="s">
        <v>68</v>
      </c>
      <c r="G608" t="s">
        <v>32</v>
      </c>
      <c r="H608">
        <v>3.3</v>
      </c>
      <c r="I608">
        <v>18.399999999999999</v>
      </c>
      <c r="J608" t="s">
        <v>96</v>
      </c>
      <c r="K608" t="s">
        <v>1434</v>
      </c>
      <c r="L608" t="s">
        <v>48</v>
      </c>
      <c r="M608" t="s">
        <v>972</v>
      </c>
      <c r="N608" t="s">
        <v>50</v>
      </c>
      <c r="O608">
        <v>86</v>
      </c>
      <c r="P608" t="s">
        <v>2265</v>
      </c>
      <c r="Q608">
        <v>0</v>
      </c>
      <c r="R608">
        <v>0</v>
      </c>
      <c r="S608" t="s">
        <v>2265</v>
      </c>
      <c r="T608" t="s">
        <v>81</v>
      </c>
      <c r="U608" t="s">
        <v>39</v>
      </c>
      <c r="V608" t="s">
        <v>52</v>
      </c>
      <c r="W608" t="s">
        <v>39</v>
      </c>
      <c r="X608">
        <v>2023</v>
      </c>
      <c r="Y608" t="s">
        <v>114</v>
      </c>
      <c r="Z608" t="s">
        <v>41</v>
      </c>
    </row>
    <row r="609" spans="1:26">
      <c r="A609" t="s">
        <v>1435</v>
      </c>
      <c r="B609" t="s">
        <v>66</v>
      </c>
      <c r="C609" t="s">
        <v>121</v>
      </c>
      <c r="D609" t="s">
        <v>77</v>
      </c>
      <c r="E609" t="s">
        <v>94</v>
      </c>
      <c r="F609" t="s">
        <v>109</v>
      </c>
      <c r="G609" t="s">
        <v>58</v>
      </c>
      <c r="H609">
        <v>7.7</v>
      </c>
      <c r="I609">
        <v>33.799999999999997</v>
      </c>
      <c r="J609" t="s">
        <v>33</v>
      </c>
      <c r="K609" t="s">
        <v>488</v>
      </c>
      <c r="L609" t="s">
        <v>98</v>
      </c>
      <c r="M609" t="s">
        <v>702</v>
      </c>
      <c r="N609" t="s">
        <v>71</v>
      </c>
      <c r="O609">
        <v>53</v>
      </c>
      <c r="P609" t="s">
        <v>72</v>
      </c>
      <c r="Q609">
        <v>4587</v>
      </c>
      <c r="R609">
        <v>500</v>
      </c>
      <c r="S609" t="s">
        <v>152</v>
      </c>
      <c r="T609" t="s">
        <v>136</v>
      </c>
      <c r="U609" t="s">
        <v>52</v>
      </c>
      <c r="V609" t="s">
        <v>52</v>
      </c>
      <c r="W609" t="s">
        <v>52</v>
      </c>
      <c r="X609">
        <v>2024</v>
      </c>
      <c r="Y609" t="s">
        <v>106</v>
      </c>
      <c r="Z609" t="s">
        <v>83</v>
      </c>
    </row>
    <row r="610" spans="1:26">
      <c r="A610" t="s">
        <v>1436</v>
      </c>
      <c r="B610" t="s">
        <v>108</v>
      </c>
      <c r="C610" t="s">
        <v>67</v>
      </c>
      <c r="D610" t="s">
        <v>77</v>
      </c>
      <c r="E610" t="s">
        <v>220</v>
      </c>
      <c r="F610" t="s">
        <v>160</v>
      </c>
      <c r="G610" t="s">
        <v>58</v>
      </c>
      <c r="H610">
        <v>10</v>
      </c>
      <c r="I610">
        <v>4.7</v>
      </c>
      <c r="J610" t="s">
        <v>33</v>
      </c>
      <c r="K610" t="s">
        <v>1139</v>
      </c>
      <c r="L610" t="s">
        <v>126</v>
      </c>
      <c r="M610" t="s">
        <v>127</v>
      </c>
      <c r="N610" t="s">
        <v>171</v>
      </c>
      <c r="O610">
        <v>180</v>
      </c>
      <c r="P610" t="s">
        <v>2265</v>
      </c>
      <c r="Q610">
        <v>0</v>
      </c>
      <c r="R610">
        <v>0</v>
      </c>
      <c r="S610" t="s">
        <v>2265</v>
      </c>
      <c r="T610" t="s">
        <v>81</v>
      </c>
      <c r="U610" t="s">
        <v>52</v>
      </c>
      <c r="V610" t="s">
        <v>52</v>
      </c>
      <c r="W610" t="s">
        <v>52</v>
      </c>
      <c r="X610">
        <v>2024</v>
      </c>
      <c r="Y610" t="s">
        <v>63</v>
      </c>
      <c r="Z610" t="s">
        <v>64</v>
      </c>
    </row>
    <row r="611" spans="1:26">
      <c r="A611" t="s">
        <v>1437</v>
      </c>
      <c r="B611" t="s">
        <v>108</v>
      </c>
      <c r="C611" t="s">
        <v>76</v>
      </c>
      <c r="D611" t="s">
        <v>29</v>
      </c>
      <c r="E611" t="s">
        <v>56</v>
      </c>
      <c r="F611" t="s">
        <v>124</v>
      </c>
      <c r="G611" t="s">
        <v>32</v>
      </c>
      <c r="H611">
        <v>0.9</v>
      </c>
      <c r="I611">
        <v>10.7</v>
      </c>
      <c r="J611" t="s">
        <v>96</v>
      </c>
      <c r="K611" t="s">
        <v>1172</v>
      </c>
      <c r="L611" t="s">
        <v>140</v>
      </c>
      <c r="M611" t="s">
        <v>523</v>
      </c>
      <c r="N611" t="s">
        <v>50</v>
      </c>
      <c r="O611">
        <v>78</v>
      </c>
      <c r="P611" t="s">
        <v>2265</v>
      </c>
      <c r="Q611">
        <v>0</v>
      </c>
      <c r="R611">
        <v>500</v>
      </c>
      <c r="S611" t="s">
        <v>2265</v>
      </c>
      <c r="T611" t="s">
        <v>38</v>
      </c>
      <c r="U611" t="s">
        <v>39</v>
      </c>
      <c r="V611" t="s">
        <v>52</v>
      </c>
      <c r="W611" t="s">
        <v>52</v>
      </c>
      <c r="X611">
        <v>2022</v>
      </c>
      <c r="Y611" t="s">
        <v>128</v>
      </c>
      <c r="Z611" t="s">
        <v>64</v>
      </c>
    </row>
    <row r="612" spans="1:26">
      <c r="A612" t="s">
        <v>1438</v>
      </c>
      <c r="B612" t="s">
        <v>27</v>
      </c>
      <c r="C612" t="s">
        <v>164</v>
      </c>
      <c r="D612" t="s">
        <v>77</v>
      </c>
      <c r="E612" t="s">
        <v>94</v>
      </c>
      <c r="F612" t="s">
        <v>95</v>
      </c>
      <c r="G612" t="s">
        <v>32</v>
      </c>
      <c r="H612">
        <v>1.7</v>
      </c>
      <c r="I612">
        <v>30.8</v>
      </c>
      <c r="J612" t="s">
        <v>33</v>
      </c>
      <c r="K612" t="s">
        <v>1439</v>
      </c>
      <c r="L612" t="s">
        <v>98</v>
      </c>
      <c r="M612" t="s">
        <v>704</v>
      </c>
      <c r="N612" t="s">
        <v>71</v>
      </c>
      <c r="O612">
        <v>170</v>
      </c>
      <c r="P612" t="s">
        <v>89</v>
      </c>
      <c r="Q612">
        <v>3408</v>
      </c>
      <c r="R612">
        <v>0</v>
      </c>
      <c r="S612" t="s">
        <v>90</v>
      </c>
      <c r="T612" t="s">
        <v>62</v>
      </c>
      <c r="U612" t="s">
        <v>39</v>
      </c>
      <c r="V612" t="s">
        <v>52</v>
      </c>
      <c r="W612" t="s">
        <v>52</v>
      </c>
      <c r="X612">
        <v>2023</v>
      </c>
      <c r="Y612" t="s">
        <v>63</v>
      </c>
      <c r="Z612" t="s">
        <v>64</v>
      </c>
    </row>
    <row r="613" spans="1:26">
      <c r="A613" t="s">
        <v>1440</v>
      </c>
      <c r="B613" t="s">
        <v>116</v>
      </c>
      <c r="C613" t="s">
        <v>173</v>
      </c>
      <c r="D613" t="s">
        <v>77</v>
      </c>
      <c r="E613" t="s">
        <v>78</v>
      </c>
      <c r="F613" t="s">
        <v>160</v>
      </c>
      <c r="G613" t="s">
        <v>32</v>
      </c>
      <c r="H613">
        <v>5.0999999999999996</v>
      </c>
      <c r="I613">
        <v>33.9</v>
      </c>
      <c r="J613" t="s">
        <v>33</v>
      </c>
      <c r="K613" t="s">
        <v>1441</v>
      </c>
      <c r="L613" t="s">
        <v>140</v>
      </c>
      <c r="M613" t="s">
        <v>1442</v>
      </c>
      <c r="N613" t="s">
        <v>100</v>
      </c>
      <c r="O613">
        <v>64</v>
      </c>
      <c r="P613" t="s">
        <v>2265</v>
      </c>
      <c r="Q613">
        <v>0</v>
      </c>
      <c r="R613">
        <v>0</v>
      </c>
      <c r="S613" t="s">
        <v>2265</v>
      </c>
      <c r="T613" t="s">
        <v>136</v>
      </c>
      <c r="U613" t="s">
        <v>39</v>
      </c>
      <c r="V613" t="s">
        <v>52</v>
      </c>
      <c r="W613" t="s">
        <v>52</v>
      </c>
      <c r="X613">
        <v>2023</v>
      </c>
      <c r="Y613" t="s">
        <v>63</v>
      </c>
      <c r="Z613" t="s">
        <v>64</v>
      </c>
    </row>
    <row r="614" spans="1:26">
      <c r="A614" t="s">
        <v>1443</v>
      </c>
      <c r="B614" t="s">
        <v>66</v>
      </c>
      <c r="C614" t="s">
        <v>121</v>
      </c>
      <c r="D614" t="s">
        <v>77</v>
      </c>
      <c r="E614" t="s">
        <v>168</v>
      </c>
      <c r="F614" t="s">
        <v>109</v>
      </c>
      <c r="G614" t="s">
        <v>58</v>
      </c>
      <c r="H614">
        <v>3.7</v>
      </c>
      <c r="I614">
        <v>10.8</v>
      </c>
      <c r="J614" t="s">
        <v>144</v>
      </c>
      <c r="K614" t="s">
        <v>304</v>
      </c>
      <c r="L614" t="s">
        <v>126</v>
      </c>
      <c r="M614" t="s">
        <v>836</v>
      </c>
      <c r="N614" t="s">
        <v>37</v>
      </c>
      <c r="O614">
        <v>107</v>
      </c>
      <c r="P614" t="s">
        <v>2265</v>
      </c>
      <c r="Q614">
        <v>0</v>
      </c>
      <c r="R614">
        <v>500</v>
      </c>
      <c r="S614" t="s">
        <v>2265</v>
      </c>
      <c r="T614" t="s">
        <v>38</v>
      </c>
      <c r="U614" t="s">
        <v>39</v>
      </c>
      <c r="V614" t="s">
        <v>52</v>
      </c>
      <c r="W614" t="s">
        <v>52</v>
      </c>
      <c r="X614">
        <v>2022</v>
      </c>
      <c r="Y614" t="s">
        <v>91</v>
      </c>
      <c r="Z614" t="s">
        <v>64</v>
      </c>
    </row>
    <row r="615" spans="1:26">
      <c r="A615" t="s">
        <v>1444</v>
      </c>
      <c r="B615" t="s">
        <v>108</v>
      </c>
      <c r="C615" t="s">
        <v>121</v>
      </c>
      <c r="D615" t="s">
        <v>122</v>
      </c>
      <c r="E615" t="s">
        <v>202</v>
      </c>
      <c r="F615" t="s">
        <v>238</v>
      </c>
      <c r="G615" t="s">
        <v>58</v>
      </c>
      <c r="H615">
        <v>5.2</v>
      </c>
      <c r="I615">
        <v>15</v>
      </c>
      <c r="J615" t="s">
        <v>96</v>
      </c>
      <c r="K615" t="s">
        <v>1191</v>
      </c>
      <c r="L615" t="s">
        <v>126</v>
      </c>
      <c r="M615" t="s">
        <v>245</v>
      </c>
      <c r="N615" t="s">
        <v>171</v>
      </c>
      <c r="O615">
        <v>120</v>
      </c>
      <c r="P615" t="s">
        <v>2265</v>
      </c>
      <c r="Q615">
        <v>0</v>
      </c>
      <c r="R615">
        <v>0</v>
      </c>
      <c r="S615" t="s">
        <v>2265</v>
      </c>
      <c r="T615" t="s">
        <v>38</v>
      </c>
      <c r="U615" t="s">
        <v>39</v>
      </c>
      <c r="V615" t="s">
        <v>52</v>
      </c>
      <c r="W615" t="s">
        <v>52</v>
      </c>
      <c r="X615">
        <v>2024</v>
      </c>
      <c r="Y615" t="s">
        <v>106</v>
      </c>
      <c r="Z615" t="s">
        <v>83</v>
      </c>
    </row>
    <row r="616" spans="1:26">
      <c r="A616" t="s">
        <v>1445</v>
      </c>
      <c r="B616" t="s">
        <v>43</v>
      </c>
      <c r="C616" t="s">
        <v>44</v>
      </c>
      <c r="D616" t="s">
        <v>77</v>
      </c>
      <c r="E616" t="s">
        <v>260</v>
      </c>
      <c r="F616" t="s">
        <v>238</v>
      </c>
      <c r="G616" t="s">
        <v>32</v>
      </c>
      <c r="H616">
        <v>0.7</v>
      </c>
      <c r="I616">
        <v>29.7</v>
      </c>
      <c r="J616" t="s">
        <v>96</v>
      </c>
      <c r="K616" t="s">
        <v>350</v>
      </c>
      <c r="L616" t="s">
        <v>140</v>
      </c>
      <c r="M616" t="s">
        <v>1359</v>
      </c>
      <c r="N616" t="s">
        <v>61</v>
      </c>
      <c r="O616">
        <v>159</v>
      </c>
      <c r="P616" t="s">
        <v>2265</v>
      </c>
      <c r="Q616">
        <v>0</v>
      </c>
      <c r="R616">
        <v>0</v>
      </c>
      <c r="S616" t="s">
        <v>2265</v>
      </c>
      <c r="T616" t="s">
        <v>136</v>
      </c>
      <c r="U616" t="s">
        <v>39</v>
      </c>
      <c r="V616" t="s">
        <v>39</v>
      </c>
      <c r="W616" t="s">
        <v>39</v>
      </c>
      <c r="X616">
        <v>2022</v>
      </c>
      <c r="Y616" t="s">
        <v>114</v>
      </c>
      <c r="Z616" t="s">
        <v>41</v>
      </c>
    </row>
    <row r="617" spans="1:26">
      <c r="A617" t="s">
        <v>1446</v>
      </c>
      <c r="B617" t="s">
        <v>116</v>
      </c>
      <c r="C617" t="s">
        <v>28</v>
      </c>
      <c r="D617" t="s">
        <v>29</v>
      </c>
      <c r="E617" t="s">
        <v>195</v>
      </c>
      <c r="F617" t="s">
        <v>31</v>
      </c>
      <c r="G617" t="s">
        <v>58</v>
      </c>
      <c r="H617">
        <v>6.8</v>
      </c>
      <c r="I617">
        <v>24.3</v>
      </c>
      <c r="J617" t="s">
        <v>156</v>
      </c>
      <c r="K617" t="s">
        <v>1447</v>
      </c>
      <c r="L617" t="s">
        <v>48</v>
      </c>
      <c r="M617" t="s">
        <v>912</v>
      </c>
      <c r="N617" t="s">
        <v>71</v>
      </c>
      <c r="O617">
        <v>86</v>
      </c>
      <c r="P617" t="s">
        <v>105</v>
      </c>
      <c r="Q617">
        <v>4866</v>
      </c>
      <c r="R617">
        <v>0</v>
      </c>
      <c r="S617" t="s">
        <v>113</v>
      </c>
      <c r="T617" t="s">
        <v>62</v>
      </c>
      <c r="U617" t="s">
        <v>52</v>
      </c>
      <c r="V617" t="s">
        <v>39</v>
      </c>
      <c r="W617" t="s">
        <v>52</v>
      </c>
      <c r="X617">
        <v>2022</v>
      </c>
      <c r="Y617" t="s">
        <v>211</v>
      </c>
      <c r="Z617" t="s">
        <v>41</v>
      </c>
    </row>
    <row r="618" spans="1:26">
      <c r="A618" t="s">
        <v>1448</v>
      </c>
      <c r="B618" t="s">
        <v>27</v>
      </c>
      <c r="C618" t="s">
        <v>28</v>
      </c>
      <c r="D618" t="s">
        <v>77</v>
      </c>
      <c r="E618" t="s">
        <v>168</v>
      </c>
      <c r="F618" t="s">
        <v>109</v>
      </c>
      <c r="G618" t="s">
        <v>58</v>
      </c>
      <c r="H618">
        <v>1.5</v>
      </c>
      <c r="I618">
        <v>0.5</v>
      </c>
      <c r="J618" t="s">
        <v>33</v>
      </c>
      <c r="K618" t="s">
        <v>654</v>
      </c>
      <c r="L618" t="s">
        <v>48</v>
      </c>
      <c r="M618" t="s">
        <v>221</v>
      </c>
      <c r="N618" t="s">
        <v>50</v>
      </c>
      <c r="O618">
        <v>2</v>
      </c>
      <c r="P618" t="s">
        <v>2265</v>
      </c>
      <c r="Q618">
        <v>0</v>
      </c>
      <c r="R618">
        <v>0</v>
      </c>
      <c r="S618" t="s">
        <v>2265</v>
      </c>
      <c r="T618" t="s">
        <v>38</v>
      </c>
      <c r="U618" t="s">
        <v>52</v>
      </c>
      <c r="V618" t="s">
        <v>39</v>
      </c>
      <c r="W618" t="s">
        <v>52</v>
      </c>
      <c r="X618">
        <v>2023</v>
      </c>
      <c r="Y618" t="s">
        <v>114</v>
      </c>
      <c r="Z618" t="s">
        <v>41</v>
      </c>
    </row>
    <row r="619" spans="1:26">
      <c r="A619" t="s">
        <v>1449</v>
      </c>
      <c r="B619" t="s">
        <v>43</v>
      </c>
      <c r="C619" t="s">
        <v>173</v>
      </c>
      <c r="D619" t="s">
        <v>85</v>
      </c>
      <c r="E619" t="s">
        <v>174</v>
      </c>
      <c r="F619" t="s">
        <v>31</v>
      </c>
      <c r="G619" t="s">
        <v>32</v>
      </c>
      <c r="H619">
        <v>5.9</v>
      </c>
      <c r="I619">
        <v>6.8</v>
      </c>
      <c r="J619" t="s">
        <v>96</v>
      </c>
      <c r="K619" t="s">
        <v>1450</v>
      </c>
      <c r="L619" t="s">
        <v>98</v>
      </c>
      <c r="M619" t="s">
        <v>1060</v>
      </c>
      <c r="N619" t="s">
        <v>100</v>
      </c>
      <c r="O619">
        <v>77</v>
      </c>
      <c r="P619" t="s">
        <v>2265</v>
      </c>
      <c r="Q619">
        <v>0</v>
      </c>
      <c r="R619">
        <v>0</v>
      </c>
      <c r="S619" t="s">
        <v>2265</v>
      </c>
      <c r="T619" t="s">
        <v>62</v>
      </c>
      <c r="U619" t="s">
        <v>39</v>
      </c>
      <c r="V619" t="s">
        <v>52</v>
      </c>
      <c r="W619" t="s">
        <v>52</v>
      </c>
      <c r="X619">
        <v>2022</v>
      </c>
      <c r="Y619" t="s">
        <v>114</v>
      </c>
      <c r="Z619" t="s">
        <v>41</v>
      </c>
    </row>
    <row r="620" spans="1:26">
      <c r="A620" t="s">
        <v>1451</v>
      </c>
      <c r="B620" t="s">
        <v>43</v>
      </c>
      <c r="C620" t="s">
        <v>121</v>
      </c>
      <c r="D620" t="s">
        <v>77</v>
      </c>
      <c r="E620" t="s">
        <v>216</v>
      </c>
      <c r="F620" t="s">
        <v>149</v>
      </c>
      <c r="G620" t="s">
        <v>32</v>
      </c>
      <c r="H620">
        <v>6.2</v>
      </c>
      <c r="I620">
        <v>24.6</v>
      </c>
      <c r="J620" t="s">
        <v>33</v>
      </c>
      <c r="K620" t="s">
        <v>798</v>
      </c>
      <c r="L620" t="s">
        <v>98</v>
      </c>
      <c r="M620" t="s">
        <v>375</v>
      </c>
      <c r="N620" t="s">
        <v>37</v>
      </c>
      <c r="O620">
        <v>169</v>
      </c>
      <c r="P620" t="s">
        <v>2265</v>
      </c>
      <c r="Q620">
        <v>0</v>
      </c>
      <c r="R620">
        <v>0</v>
      </c>
      <c r="S620" t="s">
        <v>2265</v>
      </c>
      <c r="T620" t="s">
        <v>38</v>
      </c>
      <c r="U620" t="s">
        <v>52</v>
      </c>
      <c r="V620" t="s">
        <v>52</v>
      </c>
      <c r="W620" t="s">
        <v>52</v>
      </c>
      <c r="X620">
        <v>2022</v>
      </c>
      <c r="Y620" t="s">
        <v>91</v>
      </c>
      <c r="Z620" t="s">
        <v>64</v>
      </c>
    </row>
    <row r="621" spans="1:26">
      <c r="A621" t="s">
        <v>1452</v>
      </c>
      <c r="B621" t="s">
        <v>93</v>
      </c>
      <c r="C621" t="s">
        <v>121</v>
      </c>
      <c r="D621" t="s">
        <v>85</v>
      </c>
      <c r="E621" t="s">
        <v>86</v>
      </c>
      <c r="F621" t="s">
        <v>95</v>
      </c>
      <c r="G621" t="s">
        <v>32</v>
      </c>
      <c r="H621">
        <v>9.8000000000000007</v>
      </c>
      <c r="I621">
        <v>5.6</v>
      </c>
      <c r="J621" t="s">
        <v>33</v>
      </c>
      <c r="K621" t="s">
        <v>1447</v>
      </c>
      <c r="L621" t="s">
        <v>140</v>
      </c>
      <c r="M621" t="s">
        <v>1453</v>
      </c>
      <c r="N621" t="s">
        <v>100</v>
      </c>
      <c r="O621">
        <v>119</v>
      </c>
      <c r="P621" t="s">
        <v>2265</v>
      </c>
      <c r="Q621">
        <v>0</v>
      </c>
      <c r="R621">
        <v>0</v>
      </c>
      <c r="S621" t="s">
        <v>2265</v>
      </c>
      <c r="T621" t="s">
        <v>51</v>
      </c>
      <c r="U621" t="s">
        <v>39</v>
      </c>
      <c r="V621" t="s">
        <v>52</v>
      </c>
      <c r="W621" t="s">
        <v>52</v>
      </c>
      <c r="X621">
        <v>2022</v>
      </c>
      <c r="Y621" t="s">
        <v>211</v>
      </c>
      <c r="Z621" t="s">
        <v>41</v>
      </c>
    </row>
    <row r="622" spans="1:26">
      <c r="A622" t="s">
        <v>1454</v>
      </c>
      <c r="B622" t="s">
        <v>27</v>
      </c>
      <c r="C622" t="s">
        <v>102</v>
      </c>
      <c r="D622" t="s">
        <v>77</v>
      </c>
      <c r="E622" t="s">
        <v>260</v>
      </c>
      <c r="F622" t="s">
        <v>46</v>
      </c>
      <c r="G622" t="s">
        <v>32</v>
      </c>
      <c r="H622">
        <v>0.2</v>
      </c>
      <c r="I622">
        <v>6</v>
      </c>
      <c r="J622" t="s">
        <v>20</v>
      </c>
      <c r="K622" t="s">
        <v>1455</v>
      </c>
      <c r="L622" t="s">
        <v>35</v>
      </c>
      <c r="M622" t="s">
        <v>1456</v>
      </c>
      <c r="N622" t="s">
        <v>50</v>
      </c>
      <c r="O622">
        <v>120</v>
      </c>
      <c r="P622" t="s">
        <v>2265</v>
      </c>
      <c r="Q622">
        <v>0</v>
      </c>
      <c r="R622">
        <v>500</v>
      </c>
      <c r="S622" t="s">
        <v>2265</v>
      </c>
      <c r="T622" t="s">
        <v>81</v>
      </c>
      <c r="U622" t="s">
        <v>39</v>
      </c>
      <c r="V622" t="s">
        <v>52</v>
      </c>
      <c r="W622" t="s">
        <v>52</v>
      </c>
      <c r="X622">
        <v>2022</v>
      </c>
      <c r="Y622" t="s">
        <v>91</v>
      </c>
      <c r="Z622" t="s">
        <v>64</v>
      </c>
    </row>
    <row r="623" spans="1:26">
      <c r="A623" t="s">
        <v>1457</v>
      </c>
      <c r="B623" t="s">
        <v>66</v>
      </c>
      <c r="C623" t="s">
        <v>121</v>
      </c>
      <c r="D623" t="s">
        <v>77</v>
      </c>
      <c r="E623" t="s">
        <v>216</v>
      </c>
      <c r="F623" t="s">
        <v>57</v>
      </c>
      <c r="G623" t="s">
        <v>32</v>
      </c>
      <c r="H623">
        <v>11.1</v>
      </c>
      <c r="I623">
        <v>2.9</v>
      </c>
      <c r="J623" t="s">
        <v>20</v>
      </c>
      <c r="K623" t="s">
        <v>403</v>
      </c>
      <c r="L623" t="s">
        <v>98</v>
      </c>
      <c r="M623" t="s">
        <v>239</v>
      </c>
      <c r="N623" t="s">
        <v>61</v>
      </c>
      <c r="O623">
        <v>169</v>
      </c>
      <c r="P623" t="s">
        <v>2265</v>
      </c>
      <c r="Q623">
        <v>0</v>
      </c>
      <c r="R623">
        <v>0</v>
      </c>
      <c r="S623" t="s">
        <v>2265</v>
      </c>
      <c r="T623" t="s">
        <v>81</v>
      </c>
      <c r="U623" t="s">
        <v>39</v>
      </c>
      <c r="V623" t="s">
        <v>39</v>
      </c>
      <c r="W623" t="s">
        <v>52</v>
      </c>
      <c r="X623">
        <v>2023</v>
      </c>
      <c r="Y623" t="s">
        <v>40</v>
      </c>
      <c r="Z623" t="s">
        <v>41</v>
      </c>
    </row>
    <row r="624" spans="1:26">
      <c r="A624" t="s">
        <v>1458</v>
      </c>
      <c r="B624" t="s">
        <v>66</v>
      </c>
      <c r="C624" t="s">
        <v>28</v>
      </c>
      <c r="D624" t="s">
        <v>77</v>
      </c>
      <c r="E624" t="s">
        <v>260</v>
      </c>
      <c r="F624" t="s">
        <v>149</v>
      </c>
      <c r="G624" t="s">
        <v>32</v>
      </c>
      <c r="H624">
        <v>8.8000000000000007</v>
      </c>
      <c r="I624">
        <v>8.5</v>
      </c>
      <c r="J624" t="s">
        <v>33</v>
      </c>
      <c r="K624" t="s">
        <v>689</v>
      </c>
      <c r="L624" t="s">
        <v>48</v>
      </c>
      <c r="M624" t="s">
        <v>1459</v>
      </c>
      <c r="N624" t="s">
        <v>71</v>
      </c>
      <c r="O624">
        <v>18</v>
      </c>
      <c r="P624" t="s">
        <v>89</v>
      </c>
      <c r="Q624">
        <v>3241</v>
      </c>
      <c r="R624">
        <v>5000</v>
      </c>
      <c r="S624" t="s">
        <v>73</v>
      </c>
      <c r="T624" t="s">
        <v>81</v>
      </c>
      <c r="U624" t="s">
        <v>52</v>
      </c>
      <c r="V624" t="s">
        <v>52</v>
      </c>
      <c r="W624" t="s">
        <v>39</v>
      </c>
      <c r="X624">
        <v>2024</v>
      </c>
      <c r="Y624" t="s">
        <v>74</v>
      </c>
      <c r="Z624" t="s">
        <v>54</v>
      </c>
    </row>
    <row r="625" spans="1:26">
      <c r="A625" t="s">
        <v>1460</v>
      </c>
      <c r="B625" t="s">
        <v>116</v>
      </c>
      <c r="C625" t="s">
        <v>164</v>
      </c>
      <c r="D625" t="s">
        <v>77</v>
      </c>
      <c r="E625" t="s">
        <v>168</v>
      </c>
      <c r="F625" t="s">
        <v>46</v>
      </c>
      <c r="G625" t="s">
        <v>58</v>
      </c>
      <c r="H625">
        <v>4.5999999999999996</v>
      </c>
      <c r="I625">
        <v>22.3</v>
      </c>
      <c r="J625" t="s">
        <v>156</v>
      </c>
      <c r="K625" t="s">
        <v>921</v>
      </c>
      <c r="L625" t="s">
        <v>126</v>
      </c>
      <c r="M625" t="s">
        <v>1022</v>
      </c>
      <c r="N625" t="s">
        <v>71</v>
      </c>
      <c r="O625">
        <v>10</v>
      </c>
      <c r="P625" t="s">
        <v>112</v>
      </c>
      <c r="Q625">
        <v>6617</v>
      </c>
      <c r="R625">
        <v>5000</v>
      </c>
      <c r="S625" t="s">
        <v>113</v>
      </c>
      <c r="T625" t="s">
        <v>62</v>
      </c>
      <c r="U625" t="s">
        <v>39</v>
      </c>
      <c r="V625" t="s">
        <v>39</v>
      </c>
      <c r="W625" t="s">
        <v>52</v>
      </c>
      <c r="X625">
        <v>2022</v>
      </c>
      <c r="Y625" t="s">
        <v>211</v>
      </c>
      <c r="Z625" t="s">
        <v>41</v>
      </c>
    </row>
    <row r="626" spans="1:26">
      <c r="A626" t="s">
        <v>1461</v>
      </c>
      <c r="B626" t="s">
        <v>43</v>
      </c>
      <c r="C626" t="s">
        <v>28</v>
      </c>
      <c r="D626" t="s">
        <v>77</v>
      </c>
      <c r="E626" t="s">
        <v>78</v>
      </c>
      <c r="F626" t="s">
        <v>31</v>
      </c>
      <c r="G626" t="s">
        <v>58</v>
      </c>
      <c r="H626">
        <v>5.3</v>
      </c>
      <c r="I626">
        <v>18.7</v>
      </c>
      <c r="J626" t="s">
        <v>156</v>
      </c>
      <c r="K626" t="s">
        <v>1462</v>
      </c>
      <c r="L626" t="s">
        <v>98</v>
      </c>
      <c r="M626" t="s">
        <v>1164</v>
      </c>
      <c r="N626" t="s">
        <v>37</v>
      </c>
      <c r="O626">
        <v>58</v>
      </c>
      <c r="P626" t="s">
        <v>2265</v>
      </c>
      <c r="Q626">
        <v>0</v>
      </c>
      <c r="R626">
        <v>0</v>
      </c>
      <c r="S626" t="s">
        <v>2265</v>
      </c>
      <c r="T626" t="s">
        <v>38</v>
      </c>
      <c r="U626" t="s">
        <v>39</v>
      </c>
      <c r="V626" t="s">
        <v>39</v>
      </c>
      <c r="W626" t="s">
        <v>52</v>
      </c>
      <c r="X626">
        <v>2023</v>
      </c>
      <c r="Y626" t="s">
        <v>211</v>
      </c>
      <c r="Z626" t="s">
        <v>41</v>
      </c>
    </row>
    <row r="627" spans="1:26">
      <c r="A627" t="s">
        <v>1463</v>
      </c>
      <c r="B627" t="s">
        <v>66</v>
      </c>
      <c r="C627" t="s">
        <v>121</v>
      </c>
      <c r="D627" t="s">
        <v>77</v>
      </c>
      <c r="E627" t="s">
        <v>260</v>
      </c>
      <c r="F627" t="s">
        <v>124</v>
      </c>
      <c r="G627" t="s">
        <v>58</v>
      </c>
      <c r="H627">
        <v>8.1999999999999993</v>
      </c>
      <c r="I627">
        <v>33.5</v>
      </c>
      <c r="J627" t="s">
        <v>20</v>
      </c>
      <c r="K627" t="s">
        <v>1464</v>
      </c>
      <c r="L627" t="s">
        <v>126</v>
      </c>
      <c r="M627" t="s">
        <v>440</v>
      </c>
      <c r="N627" t="s">
        <v>71</v>
      </c>
      <c r="O627">
        <v>146</v>
      </c>
      <c r="P627" t="s">
        <v>105</v>
      </c>
      <c r="Q627">
        <v>5791</v>
      </c>
      <c r="R627">
        <v>0</v>
      </c>
      <c r="S627" t="s">
        <v>152</v>
      </c>
      <c r="T627" t="s">
        <v>51</v>
      </c>
      <c r="U627" t="s">
        <v>39</v>
      </c>
      <c r="V627" t="s">
        <v>39</v>
      </c>
      <c r="W627" t="s">
        <v>52</v>
      </c>
      <c r="X627">
        <v>2024</v>
      </c>
      <c r="Y627" t="s">
        <v>74</v>
      </c>
      <c r="Z627" t="s">
        <v>54</v>
      </c>
    </row>
    <row r="628" spans="1:26">
      <c r="A628" t="s">
        <v>1465</v>
      </c>
      <c r="B628" t="s">
        <v>108</v>
      </c>
      <c r="C628" t="s">
        <v>102</v>
      </c>
      <c r="D628" t="s">
        <v>85</v>
      </c>
      <c r="E628" t="s">
        <v>86</v>
      </c>
      <c r="F628" t="s">
        <v>238</v>
      </c>
      <c r="G628" t="s">
        <v>32</v>
      </c>
      <c r="H628">
        <v>6.3</v>
      </c>
      <c r="I628">
        <v>4</v>
      </c>
      <c r="J628" t="s">
        <v>33</v>
      </c>
      <c r="K628" t="s">
        <v>1466</v>
      </c>
      <c r="L628" t="s">
        <v>48</v>
      </c>
      <c r="M628" t="s">
        <v>1467</v>
      </c>
      <c r="N628" t="s">
        <v>71</v>
      </c>
      <c r="O628">
        <v>146</v>
      </c>
      <c r="P628" t="s">
        <v>72</v>
      </c>
      <c r="Q628">
        <v>1020</v>
      </c>
      <c r="R628">
        <v>5000</v>
      </c>
      <c r="S628" t="s">
        <v>152</v>
      </c>
      <c r="T628" t="s">
        <v>136</v>
      </c>
      <c r="U628" t="s">
        <v>39</v>
      </c>
      <c r="V628" t="s">
        <v>39</v>
      </c>
      <c r="W628" t="s">
        <v>52</v>
      </c>
      <c r="X628">
        <v>2022</v>
      </c>
      <c r="Y628" t="s">
        <v>53</v>
      </c>
      <c r="Z628" t="s">
        <v>54</v>
      </c>
    </row>
    <row r="629" spans="1:26">
      <c r="A629" t="s">
        <v>1468</v>
      </c>
      <c r="B629" t="s">
        <v>66</v>
      </c>
      <c r="C629" t="s">
        <v>28</v>
      </c>
      <c r="D629" t="s">
        <v>29</v>
      </c>
      <c r="E629" t="s">
        <v>30</v>
      </c>
      <c r="F629" t="s">
        <v>31</v>
      </c>
      <c r="G629" t="s">
        <v>32</v>
      </c>
      <c r="H629">
        <v>4.9000000000000004</v>
      </c>
      <c r="I629">
        <v>2.5</v>
      </c>
      <c r="J629" t="s">
        <v>33</v>
      </c>
      <c r="K629" t="s">
        <v>670</v>
      </c>
      <c r="L629" t="s">
        <v>98</v>
      </c>
      <c r="M629" t="s">
        <v>127</v>
      </c>
      <c r="N629" t="s">
        <v>37</v>
      </c>
      <c r="O629">
        <v>148</v>
      </c>
      <c r="P629" t="s">
        <v>2265</v>
      </c>
      <c r="Q629">
        <v>0</v>
      </c>
      <c r="R629">
        <v>500</v>
      </c>
      <c r="S629" t="s">
        <v>2265</v>
      </c>
      <c r="T629" t="s">
        <v>38</v>
      </c>
      <c r="U629" t="s">
        <v>39</v>
      </c>
      <c r="V629" t="s">
        <v>52</v>
      </c>
      <c r="W629" t="s">
        <v>52</v>
      </c>
      <c r="X629">
        <v>2024</v>
      </c>
      <c r="Y629" t="s">
        <v>63</v>
      </c>
      <c r="Z629" t="s">
        <v>64</v>
      </c>
    </row>
    <row r="630" spans="1:26">
      <c r="A630" t="s">
        <v>1469</v>
      </c>
      <c r="B630" t="s">
        <v>66</v>
      </c>
      <c r="C630" t="s">
        <v>76</v>
      </c>
      <c r="D630" t="s">
        <v>29</v>
      </c>
      <c r="E630" t="s">
        <v>45</v>
      </c>
      <c r="F630" t="s">
        <v>124</v>
      </c>
      <c r="G630" t="s">
        <v>32</v>
      </c>
      <c r="H630">
        <v>9.8000000000000007</v>
      </c>
      <c r="I630">
        <v>11.9</v>
      </c>
      <c r="J630" t="s">
        <v>33</v>
      </c>
      <c r="K630" t="s">
        <v>1470</v>
      </c>
      <c r="L630" t="s">
        <v>140</v>
      </c>
      <c r="M630" t="s">
        <v>1177</v>
      </c>
      <c r="N630" t="s">
        <v>71</v>
      </c>
      <c r="O630">
        <v>16</v>
      </c>
      <c r="P630" t="s">
        <v>105</v>
      </c>
      <c r="Q630">
        <v>2336</v>
      </c>
      <c r="R630">
        <v>1000</v>
      </c>
      <c r="S630" t="s">
        <v>73</v>
      </c>
      <c r="T630" t="s">
        <v>51</v>
      </c>
      <c r="U630" t="s">
        <v>39</v>
      </c>
      <c r="V630" t="s">
        <v>52</v>
      </c>
      <c r="W630" t="s">
        <v>39</v>
      </c>
      <c r="X630">
        <v>2023</v>
      </c>
      <c r="Y630" t="s">
        <v>128</v>
      </c>
      <c r="Z630" t="s">
        <v>64</v>
      </c>
    </row>
    <row r="631" spans="1:26">
      <c r="A631" t="s">
        <v>1471</v>
      </c>
      <c r="B631" t="s">
        <v>93</v>
      </c>
      <c r="C631" t="s">
        <v>44</v>
      </c>
      <c r="D631" t="s">
        <v>29</v>
      </c>
      <c r="E631" t="s">
        <v>117</v>
      </c>
      <c r="F631" t="s">
        <v>149</v>
      </c>
      <c r="G631" t="s">
        <v>32</v>
      </c>
      <c r="H631">
        <v>6</v>
      </c>
      <c r="I631">
        <v>8.3000000000000007</v>
      </c>
      <c r="J631" t="s">
        <v>96</v>
      </c>
      <c r="K631" t="s">
        <v>1472</v>
      </c>
      <c r="L631" t="s">
        <v>48</v>
      </c>
      <c r="M631" t="s">
        <v>1097</v>
      </c>
      <c r="N631" t="s">
        <v>71</v>
      </c>
      <c r="O631">
        <v>70</v>
      </c>
      <c r="P631" t="s">
        <v>230</v>
      </c>
      <c r="Q631">
        <v>1926</v>
      </c>
      <c r="R631">
        <v>0</v>
      </c>
      <c r="S631" t="s">
        <v>73</v>
      </c>
      <c r="T631" t="s">
        <v>38</v>
      </c>
      <c r="U631" t="s">
        <v>39</v>
      </c>
      <c r="V631" t="s">
        <v>52</v>
      </c>
      <c r="W631" t="s">
        <v>52</v>
      </c>
      <c r="X631">
        <v>2022</v>
      </c>
      <c r="Y631" t="s">
        <v>114</v>
      </c>
      <c r="Z631" t="s">
        <v>41</v>
      </c>
    </row>
    <row r="632" spans="1:26">
      <c r="A632" t="s">
        <v>1473</v>
      </c>
      <c r="B632" t="s">
        <v>108</v>
      </c>
      <c r="C632" t="s">
        <v>164</v>
      </c>
      <c r="D632" t="s">
        <v>77</v>
      </c>
      <c r="E632" t="s">
        <v>78</v>
      </c>
      <c r="F632" t="s">
        <v>95</v>
      </c>
      <c r="G632" t="s">
        <v>32</v>
      </c>
      <c r="H632">
        <v>8.4</v>
      </c>
      <c r="I632">
        <v>15.3</v>
      </c>
      <c r="J632" t="s">
        <v>33</v>
      </c>
      <c r="K632" t="s">
        <v>564</v>
      </c>
      <c r="L632" t="s">
        <v>140</v>
      </c>
      <c r="M632" t="s">
        <v>694</v>
      </c>
      <c r="N632" t="s">
        <v>100</v>
      </c>
      <c r="O632">
        <v>100</v>
      </c>
      <c r="P632" t="s">
        <v>2265</v>
      </c>
      <c r="Q632">
        <v>0</v>
      </c>
      <c r="R632">
        <v>0</v>
      </c>
      <c r="S632" t="s">
        <v>2265</v>
      </c>
      <c r="T632" t="s">
        <v>51</v>
      </c>
      <c r="U632" t="s">
        <v>39</v>
      </c>
      <c r="V632" t="s">
        <v>39</v>
      </c>
      <c r="W632" t="s">
        <v>52</v>
      </c>
      <c r="X632">
        <v>2022</v>
      </c>
      <c r="Y632" t="s">
        <v>74</v>
      </c>
      <c r="Z632" t="s">
        <v>54</v>
      </c>
    </row>
    <row r="633" spans="1:26">
      <c r="A633" t="s">
        <v>1474</v>
      </c>
      <c r="B633" t="s">
        <v>27</v>
      </c>
      <c r="C633" t="s">
        <v>76</v>
      </c>
      <c r="D633" t="s">
        <v>85</v>
      </c>
      <c r="E633" t="s">
        <v>174</v>
      </c>
      <c r="F633" t="s">
        <v>238</v>
      </c>
      <c r="G633" t="s">
        <v>58</v>
      </c>
      <c r="H633">
        <v>2.8</v>
      </c>
      <c r="I633">
        <v>26.3</v>
      </c>
      <c r="J633" t="s">
        <v>96</v>
      </c>
      <c r="K633" t="s">
        <v>1475</v>
      </c>
      <c r="L633" t="s">
        <v>35</v>
      </c>
      <c r="M633" t="s">
        <v>996</v>
      </c>
      <c r="N633" t="s">
        <v>71</v>
      </c>
      <c r="O633">
        <v>60</v>
      </c>
      <c r="P633" t="s">
        <v>230</v>
      </c>
      <c r="Q633">
        <v>2910</v>
      </c>
      <c r="R633">
        <v>0</v>
      </c>
      <c r="S633" t="s">
        <v>73</v>
      </c>
      <c r="T633" t="s">
        <v>81</v>
      </c>
      <c r="U633" t="s">
        <v>52</v>
      </c>
      <c r="V633" t="s">
        <v>39</v>
      </c>
      <c r="W633" t="s">
        <v>52</v>
      </c>
      <c r="X633">
        <v>2023</v>
      </c>
      <c r="Y633" t="s">
        <v>53</v>
      </c>
      <c r="Z633" t="s">
        <v>54</v>
      </c>
    </row>
    <row r="634" spans="1:26">
      <c r="A634" t="s">
        <v>1476</v>
      </c>
      <c r="B634" t="s">
        <v>66</v>
      </c>
      <c r="C634" t="s">
        <v>28</v>
      </c>
      <c r="D634" t="s">
        <v>77</v>
      </c>
      <c r="E634" t="s">
        <v>260</v>
      </c>
      <c r="F634" t="s">
        <v>95</v>
      </c>
      <c r="G634" t="s">
        <v>58</v>
      </c>
      <c r="H634">
        <v>1.6</v>
      </c>
      <c r="I634">
        <v>14.2</v>
      </c>
      <c r="J634" t="s">
        <v>33</v>
      </c>
      <c r="K634" t="s">
        <v>1477</v>
      </c>
      <c r="L634" t="s">
        <v>140</v>
      </c>
      <c r="M634" t="s">
        <v>1147</v>
      </c>
      <c r="N634" t="s">
        <v>37</v>
      </c>
      <c r="O634">
        <v>155</v>
      </c>
      <c r="P634" t="s">
        <v>2265</v>
      </c>
      <c r="Q634">
        <v>0</v>
      </c>
      <c r="R634">
        <v>500</v>
      </c>
      <c r="S634" t="s">
        <v>2265</v>
      </c>
      <c r="T634" t="s">
        <v>81</v>
      </c>
      <c r="U634" t="s">
        <v>52</v>
      </c>
      <c r="V634" t="s">
        <v>52</v>
      </c>
      <c r="W634" t="s">
        <v>52</v>
      </c>
      <c r="X634">
        <v>2023</v>
      </c>
      <c r="Y634" t="s">
        <v>63</v>
      </c>
      <c r="Z634" t="s">
        <v>64</v>
      </c>
    </row>
    <row r="635" spans="1:26">
      <c r="A635" t="s">
        <v>1478</v>
      </c>
      <c r="B635" t="s">
        <v>93</v>
      </c>
      <c r="C635" t="s">
        <v>67</v>
      </c>
      <c r="D635" t="s">
        <v>77</v>
      </c>
      <c r="E635" t="s">
        <v>78</v>
      </c>
      <c r="F635" t="s">
        <v>109</v>
      </c>
      <c r="G635" t="s">
        <v>58</v>
      </c>
      <c r="H635">
        <v>10.4</v>
      </c>
      <c r="I635">
        <v>8.9</v>
      </c>
      <c r="J635" t="s">
        <v>33</v>
      </c>
      <c r="K635" t="s">
        <v>1086</v>
      </c>
      <c r="L635" t="s">
        <v>60</v>
      </c>
      <c r="M635" t="s">
        <v>1375</v>
      </c>
      <c r="N635" t="s">
        <v>61</v>
      </c>
      <c r="O635">
        <v>94</v>
      </c>
      <c r="P635" t="s">
        <v>2265</v>
      </c>
      <c r="Q635">
        <v>0</v>
      </c>
      <c r="R635">
        <v>0</v>
      </c>
      <c r="S635" t="s">
        <v>2265</v>
      </c>
      <c r="T635" t="s">
        <v>136</v>
      </c>
      <c r="U635" t="s">
        <v>52</v>
      </c>
      <c r="V635" t="s">
        <v>52</v>
      </c>
      <c r="W635" t="s">
        <v>39</v>
      </c>
      <c r="X635">
        <v>2023</v>
      </c>
      <c r="Y635" t="s">
        <v>114</v>
      </c>
      <c r="Z635" t="s">
        <v>41</v>
      </c>
    </row>
    <row r="636" spans="1:26">
      <c r="A636" t="s">
        <v>1479</v>
      </c>
      <c r="B636" t="s">
        <v>93</v>
      </c>
      <c r="C636" t="s">
        <v>164</v>
      </c>
      <c r="D636" t="s">
        <v>77</v>
      </c>
      <c r="E636" t="s">
        <v>216</v>
      </c>
      <c r="F636" t="s">
        <v>238</v>
      </c>
      <c r="G636" t="s">
        <v>58</v>
      </c>
      <c r="H636">
        <v>8.9</v>
      </c>
      <c r="I636">
        <v>7.8</v>
      </c>
      <c r="J636" t="s">
        <v>156</v>
      </c>
      <c r="K636" t="s">
        <v>277</v>
      </c>
      <c r="L636" t="s">
        <v>126</v>
      </c>
      <c r="M636" t="s">
        <v>127</v>
      </c>
      <c r="N636" t="s">
        <v>61</v>
      </c>
      <c r="O636">
        <v>60</v>
      </c>
      <c r="P636" t="s">
        <v>2265</v>
      </c>
      <c r="Q636">
        <v>0</v>
      </c>
      <c r="R636">
        <v>0</v>
      </c>
      <c r="S636" t="s">
        <v>2265</v>
      </c>
      <c r="T636" t="s">
        <v>136</v>
      </c>
      <c r="U636" t="s">
        <v>39</v>
      </c>
      <c r="V636" t="s">
        <v>39</v>
      </c>
      <c r="W636" t="s">
        <v>52</v>
      </c>
      <c r="X636">
        <v>2024</v>
      </c>
      <c r="Y636" t="s">
        <v>63</v>
      </c>
      <c r="Z636" t="s">
        <v>64</v>
      </c>
    </row>
    <row r="637" spans="1:26">
      <c r="A637" t="s">
        <v>1480</v>
      </c>
      <c r="B637" t="s">
        <v>116</v>
      </c>
      <c r="C637" t="s">
        <v>173</v>
      </c>
      <c r="D637" t="s">
        <v>77</v>
      </c>
      <c r="E637" t="s">
        <v>168</v>
      </c>
      <c r="F637" t="s">
        <v>31</v>
      </c>
      <c r="G637" t="s">
        <v>32</v>
      </c>
      <c r="H637">
        <v>3.7</v>
      </c>
      <c r="I637">
        <v>33.799999999999997</v>
      </c>
      <c r="J637" t="s">
        <v>144</v>
      </c>
      <c r="K637" t="s">
        <v>213</v>
      </c>
      <c r="L637" t="s">
        <v>35</v>
      </c>
      <c r="M637" t="s">
        <v>1481</v>
      </c>
      <c r="N637" t="s">
        <v>100</v>
      </c>
      <c r="O637">
        <v>151</v>
      </c>
      <c r="P637" t="s">
        <v>2265</v>
      </c>
      <c r="Q637">
        <v>0</v>
      </c>
      <c r="R637">
        <v>0</v>
      </c>
      <c r="S637" t="s">
        <v>2265</v>
      </c>
      <c r="T637" t="s">
        <v>136</v>
      </c>
      <c r="U637" t="s">
        <v>52</v>
      </c>
      <c r="V637" t="s">
        <v>52</v>
      </c>
      <c r="W637" t="s">
        <v>39</v>
      </c>
      <c r="X637">
        <v>2023</v>
      </c>
      <c r="Y637" t="s">
        <v>40</v>
      </c>
      <c r="Z637" t="s">
        <v>41</v>
      </c>
    </row>
    <row r="638" spans="1:26">
      <c r="A638" t="s">
        <v>1482</v>
      </c>
      <c r="B638" t="s">
        <v>116</v>
      </c>
      <c r="C638" t="s">
        <v>67</v>
      </c>
      <c r="D638" t="s">
        <v>77</v>
      </c>
      <c r="E638" t="s">
        <v>363</v>
      </c>
      <c r="F638" t="s">
        <v>238</v>
      </c>
      <c r="G638" t="s">
        <v>32</v>
      </c>
      <c r="H638">
        <v>6.4</v>
      </c>
      <c r="I638">
        <v>23.3</v>
      </c>
      <c r="J638" t="s">
        <v>96</v>
      </c>
      <c r="K638" t="s">
        <v>296</v>
      </c>
      <c r="L638" t="s">
        <v>60</v>
      </c>
      <c r="M638" t="s">
        <v>254</v>
      </c>
      <c r="N638" t="s">
        <v>100</v>
      </c>
      <c r="O638">
        <v>48</v>
      </c>
      <c r="P638" t="s">
        <v>2265</v>
      </c>
      <c r="Q638">
        <v>0</v>
      </c>
      <c r="R638">
        <v>0</v>
      </c>
      <c r="S638" t="s">
        <v>2265</v>
      </c>
      <c r="T638" t="s">
        <v>62</v>
      </c>
      <c r="U638" t="s">
        <v>39</v>
      </c>
      <c r="V638" t="s">
        <v>39</v>
      </c>
      <c r="W638" t="s">
        <v>52</v>
      </c>
      <c r="X638">
        <v>2024</v>
      </c>
      <c r="Y638" t="s">
        <v>82</v>
      </c>
      <c r="Z638" t="s">
        <v>83</v>
      </c>
    </row>
    <row r="639" spans="1:26">
      <c r="A639" t="s">
        <v>1483</v>
      </c>
      <c r="B639" t="s">
        <v>93</v>
      </c>
      <c r="C639" t="s">
        <v>121</v>
      </c>
      <c r="D639" t="s">
        <v>77</v>
      </c>
      <c r="E639" t="s">
        <v>94</v>
      </c>
      <c r="F639" t="s">
        <v>57</v>
      </c>
      <c r="G639" t="s">
        <v>32</v>
      </c>
      <c r="H639">
        <v>11.4</v>
      </c>
      <c r="I639">
        <v>32.700000000000003</v>
      </c>
      <c r="J639" t="s">
        <v>33</v>
      </c>
      <c r="K639" t="s">
        <v>1248</v>
      </c>
      <c r="L639" t="s">
        <v>126</v>
      </c>
      <c r="M639" t="s">
        <v>1484</v>
      </c>
      <c r="N639" t="s">
        <v>71</v>
      </c>
      <c r="O639">
        <v>15</v>
      </c>
      <c r="P639" t="s">
        <v>112</v>
      </c>
      <c r="Q639">
        <v>7532</v>
      </c>
      <c r="R639">
        <v>500</v>
      </c>
      <c r="S639" t="s">
        <v>113</v>
      </c>
      <c r="T639" t="s">
        <v>81</v>
      </c>
      <c r="U639" t="s">
        <v>39</v>
      </c>
      <c r="V639" t="s">
        <v>52</v>
      </c>
      <c r="W639" t="s">
        <v>52</v>
      </c>
      <c r="X639">
        <v>2024</v>
      </c>
      <c r="Y639" t="s">
        <v>53</v>
      </c>
      <c r="Z639" t="s">
        <v>54</v>
      </c>
    </row>
    <row r="640" spans="1:26">
      <c r="A640" t="s">
        <v>1485</v>
      </c>
      <c r="B640" t="s">
        <v>93</v>
      </c>
      <c r="C640" t="s">
        <v>173</v>
      </c>
      <c r="D640" t="s">
        <v>29</v>
      </c>
      <c r="E640" t="s">
        <v>45</v>
      </c>
      <c r="F640" t="s">
        <v>31</v>
      </c>
      <c r="G640" t="s">
        <v>58</v>
      </c>
      <c r="H640">
        <v>0.6</v>
      </c>
      <c r="I640">
        <v>10</v>
      </c>
      <c r="J640" t="s">
        <v>33</v>
      </c>
      <c r="K640" t="s">
        <v>1486</v>
      </c>
      <c r="L640" t="s">
        <v>60</v>
      </c>
      <c r="M640" t="s">
        <v>1487</v>
      </c>
      <c r="N640" t="s">
        <v>100</v>
      </c>
      <c r="O640">
        <v>87</v>
      </c>
      <c r="P640" t="s">
        <v>2265</v>
      </c>
      <c r="Q640">
        <v>0</v>
      </c>
      <c r="R640">
        <v>0</v>
      </c>
      <c r="S640" t="s">
        <v>2265</v>
      </c>
      <c r="T640" t="s">
        <v>62</v>
      </c>
      <c r="U640" t="s">
        <v>39</v>
      </c>
      <c r="V640" t="s">
        <v>52</v>
      </c>
      <c r="W640" t="s">
        <v>52</v>
      </c>
      <c r="X640">
        <v>2023</v>
      </c>
      <c r="Y640" t="s">
        <v>211</v>
      </c>
      <c r="Z640" t="s">
        <v>41</v>
      </c>
    </row>
    <row r="641" spans="1:26">
      <c r="A641" t="s">
        <v>1488</v>
      </c>
      <c r="B641" t="s">
        <v>27</v>
      </c>
      <c r="C641" t="s">
        <v>102</v>
      </c>
      <c r="D641" t="s">
        <v>77</v>
      </c>
      <c r="E641" t="s">
        <v>78</v>
      </c>
      <c r="F641" t="s">
        <v>57</v>
      </c>
      <c r="G641" t="s">
        <v>58</v>
      </c>
      <c r="H641">
        <v>11.6</v>
      </c>
      <c r="I641">
        <v>17.100000000000001</v>
      </c>
      <c r="J641" t="s">
        <v>20</v>
      </c>
      <c r="K641" t="s">
        <v>1489</v>
      </c>
      <c r="L641" t="s">
        <v>35</v>
      </c>
      <c r="M641" t="s">
        <v>898</v>
      </c>
      <c r="N641" t="s">
        <v>71</v>
      </c>
      <c r="O641">
        <v>113</v>
      </c>
      <c r="P641" t="s">
        <v>72</v>
      </c>
      <c r="Q641">
        <v>6821</v>
      </c>
      <c r="R641">
        <v>0</v>
      </c>
      <c r="S641" t="s">
        <v>152</v>
      </c>
      <c r="T641" t="s">
        <v>38</v>
      </c>
      <c r="U641" t="s">
        <v>52</v>
      </c>
      <c r="V641" t="s">
        <v>39</v>
      </c>
      <c r="W641" t="s">
        <v>52</v>
      </c>
      <c r="X641">
        <v>2022</v>
      </c>
      <c r="Y641" t="s">
        <v>82</v>
      </c>
      <c r="Z641" t="s">
        <v>83</v>
      </c>
    </row>
    <row r="642" spans="1:26">
      <c r="A642" t="s">
        <v>1490</v>
      </c>
      <c r="B642" t="s">
        <v>116</v>
      </c>
      <c r="C642" t="s">
        <v>102</v>
      </c>
      <c r="D642" t="s">
        <v>29</v>
      </c>
      <c r="E642" t="s">
        <v>56</v>
      </c>
      <c r="F642" t="s">
        <v>95</v>
      </c>
      <c r="G642" t="s">
        <v>58</v>
      </c>
      <c r="H642">
        <v>1.8</v>
      </c>
      <c r="I642">
        <v>21.8</v>
      </c>
      <c r="J642" t="s">
        <v>33</v>
      </c>
      <c r="K642" t="s">
        <v>720</v>
      </c>
      <c r="L642" t="s">
        <v>98</v>
      </c>
      <c r="M642" t="s">
        <v>1491</v>
      </c>
      <c r="N642" t="s">
        <v>37</v>
      </c>
      <c r="O642">
        <v>33</v>
      </c>
      <c r="P642" t="s">
        <v>2265</v>
      </c>
      <c r="Q642">
        <v>0</v>
      </c>
      <c r="R642">
        <v>0</v>
      </c>
      <c r="S642" t="s">
        <v>2265</v>
      </c>
      <c r="T642" t="s">
        <v>62</v>
      </c>
      <c r="U642" t="s">
        <v>52</v>
      </c>
      <c r="V642" t="s">
        <v>52</v>
      </c>
      <c r="W642" t="s">
        <v>52</v>
      </c>
      <c r="X642">
        <v>2024</v>
      </c>
      <c r="Y642" t="s">
        <v>91</v>
      </c>
      <c r="Z642" t="s">
        <v>64</v>
      </c>
    </row>
    <row r="643" spans="1:26">
      <c r="A643" t="s">
        <v>1492</v>
      </c>
      <c r="B643" t="s">
        <v>93</v>
      </c>
      <c r="C643" t="s">
        <v>76</v>
      </c>
      <c r="D643" t="s">
        <v>77</v>
      </c>
      <c r="E643" t="s">
        <v>363</v>
      </c>
      <c r="F643" t="s">
        <v>31</v>
      </c>
      <c r="G643" t="s">
        <v>58</v>
      </c>
      <c r="H643">
        <v>0.3</v>
      </c>
      <c r="I643">
        <v>29.7</v>
      </c>
      <c r="J643" t="s">
        <v>33</v>
      </c>
      <c r="K643" t="s">
        <v>1297</v>
      </c>
      <c r="L643" t="s">
        <v>35</v>
      </c>
      <c r="M643" t="s">
        <v>1493</v>
      </c>
      <c r="N643" t="s">
        <v>61</v>
      </c>
      <c r="O643">
        <v>67</v>
      </c>
      <c r="P643" t="s">
        <v>2265</v>
      </c>
      <c r="Q643">
        <v>0</v>
      </c>
      <c r="R643">
        <v>0</v>
      </c>
      <c r="S643" t="s">
        <v>2265</v>
      </c>
      <c r="T643" t="s">
        <v>38</v>
      </c>
      <c r="U643" t="s">
        <v>52</v>
      </c>
      <c r="V643" t="s">
        <v>39</v>
      </c>
      <c r="W643" t="s">
        <v>39</v>
      </c>
      <c r="X643">
        <v>2022</v>
      </c>
      <c r="Y643" t="s">
        <v>53</v>
      </c>
      <c r="Z643" t="s">
        <v>54</v>
      </c>
    </row>
    <row r="644" spans="1:26">
      <c r="A644" t="s">
        <v>1494</v>
      </c>
      <c r="B644" t="s">
        <v>116</v>
      </c>
      <c r="C644" t="s">
        <v>44</v>
      </c>
      <c r="D644" t="s">
        <v>77</v>
      </c>
      <c r="E644" t="s">
        <v>363</v>
      </c>
      <c r="F644" t="s">
        <v>160</v>
      </c>
      <c r="G644" t="s">
        <v>58</v>
      </c>
      <c r="H644">
        <v>10</v>
      </c>
      <c r="I644">
        <v>24</v>
      </c>
      <c r="J644" t="s">
        <v>33</v>
      </c>
      <c r="K644" t="s">
        <v>1495</v>
      </c>
      <c r="L644" t="s">
        <v>60</v>
      </c>
      <c r="M644" t="s">
        <v>308</v>
      </c>
      <c r="N644" t="s">
        <v>171</v>
      </c>
      <c r="O644">
        <v>147</v>
      </c>
      <c r="P644" t="s">
        <v>2265</v>
      </c>
      <c r="Q644">
        <v>0</v>
      </c>
      <c r="R644">
        <v>0</v>
      </c>
      <c r="S644" t="s">
        <v>2265</v>
      </c>
      <c r="T644" t="s">
        <v>62</v>
      </c>
      <c r="U644" t="s">
        <v>39</v>
      </c>
      <c r="V644" t="s">
        <v>52</v>
      </c>
      <c r="W644" t="s">
        <v>52</v>
      </c>
      <c r="X644">
        <v>2023</v>
      </c>
      <c r="Y644" t="s">
        <v>91</v>
      </c>
      <c r="Z644" t="s">
        <v>64</v>
      </c>
    </row>
    <row r="645" spans="1:26">
      <c r="A645" t="s">
        <v>1496</v>
      </c>
      <c r="B645" t="s">
        <v>27</v>
      </c>
      <c r="C645" t="s">
        <v>76</v>
      </c>
      <c r="D645" t="s">
        <v>122</v>
      </c>
      <c r="E645" t="s">
        <v>130</v>
      </c>
      <c r="F645" t="s">
        <v>95</v>
      </c>
      <c r="G645" t="s">
        <v>58</v>
      </c>
      <c r="H645">
        <v>0.6</v>
      </c>
      <c r="I645">
        <v>32.6</v>
      </c>
      <c r="J645" t="s">
        <v>96</v>
      </c>
      <c r="K645" t="s">
        <v>1432</v>
      </c>
      <c r="L645" t="s">
        <v>60</v>
      </c>
      <c r="M645" t="s">
        <v>274</v>
      </c>
      <c r="N645" t="s">
        <v>71</v>
      </c>
      <c r="O645">
        <v>160</v>
      </c>
      <c r="P645" t="s">
        <v>105</v>
      </c>
      <c r="Q645">
        <v>1156</v>
      </c>
      <c r="R645">
        <v>0</v>
      </c>
      <c r="S645" t="s">
        <v>152</v>
      </c>
      <c r="T645" t="s">
        <v>81</v>
      </c>
      <c r="U645" t="s">
        <v>52</v>
      </c>
      <c r="V645" t="s">
        <v>52</v>
      </c>
      <c r="W645" t="s">
        <v>39</v>
      </c>
      <c r="X645">
        <v>2023</v>
      </c>
      <c r="Y645" t="s">
        <v>211</v>
      </c>
      <c r="Z645" t="s">
        <v>41</v>
      </c>
    </row>
    <row r="646" spans="1:26">
      <c r="A646" t="s">
        <v>1497</v>
      </c>
      <c r="B646" t="s">
        <v>27</v>
      </c>
      <c r="C646" t="s">
        <v>76</v>
      </c>
      <c r="D646" t="s">
        <v>77</v>
      </c>
      <c r="E646" t="s">
        <v>94</v>
      </c>
      <c r="F646" t="s">
        <v>31</v>
      </c>
      <c r="G646" t="s">
        <v>32</v>
      </c>
      <c r="H646">
        <v>6.5</v>
      </c>
      <c r="I646">
        <v>4.7</v>
      </c>
      <c r="J646" t="s">
        <v>156</v>
      </c>
      <c r="K646" t="s">
        <v>1498</v>
      </c>
      <c r="L646" t="s">
        <v>140</v>
      </c>
      <c r="M646" t="s">
        <v>1499</v>
      </c>
      <c r="N646" t="s">
        <v>37</v>
      </c>
      <c r="O646">
        <v>20</v>
      </c>
      <c r="P646" t="s">
        <v>2265</v>
      </c>
      <c r="Q646">
        <v>0</v>
      </c>
      <c r="R646">
        <v>1000</v>
      </c>
      <c r="S646" t="s">
        <v>2265</v>
      </c>
      <c r="T646" t="s">
        <v>62</v>
      </c>
      <c r="U646" t="s">
        <v>52</v>
      </c>
      <c r="V646" t="s">
        <v>52</v>
      </c>
      <c r="W646" t="s">
        <v>52</v>
      </c>
      <c r="X646">
        <v>2022</v>
      </c>
      <c r="Y646" t="s">
        <v>153</v>
      </c>
      <c r="Z646" t="s">
        <v>54</v>
      </c>
    </row>
    <row r="647" spans="1:26">
      <c r="A647" t="s">
        <v>1500</v>
      </c>
      <c r="B647" t="s">
        <v>116</v>
      </c>
      <c r="C647" t="s">
        <v>102</v>
      </c>
      <c r="D647" t="s">
        <v>77</v>
      </c>
      <c r="E647" t="s">
        <v>168</v>
      </c>
      <c r="F647" t="s">
        <v>149</v>
      </c>
      <c r="G647" t="s">
        <v>32</v>
      </c>
      <c r="H647">
        <v>2.8</v>
      </c>
      <c r="I647">
        <v>11.4</v>
      </c>
      <c r="J647" t="s">
        <v>33</v>
      </c>
      <c r="K647" t="s">
        <v>365</v>
      </c>
      <c r="L647" t="s">
        <v>35</v>
      </c>
      <c r="M647" t="s">
        <v>448</v>
      </c>
      <c r="N647" t="s">
        <v>37</v>
      </c>
      <c r="O647">
        <v>85</v>
      </c>
      <c r="P647" t="s">
        <v>2265</v>
      </c>
      <c r="Q647">
        <v>0</v>
      </c>
      <c r="R647">
        <v>500</v>
      </c>
      <c r="S647" t="s">
        <v>2265</v>
      </c>
      <c r="T647" t="s">
        <v>51</v>
      </c>
      <c r="U647" t="s">
        <v>39</v>
      </c>
      <c r="V647" t="s">
        <v>52</v>
      </c>
      <c r="W647" t="s">
        <v>52</v>
      </c>
      <c r="X647">
        <v>2023</v>
      </c>
      <c r="Y647" t="s">
        <v>53</v>
      </c>
      <c r="Z647" t="s">
        <v>54</v>
      </c>
    </row>
    <row r="648" spans="1:26">
      <c r="A648" t="s">
        <v>1501</v>
      </c>
      <c r="B648" t="s">
        <v>108</v>
      </c>
      <c r="C648" t="s">
        <v>164</v>
      </c>
      <c r="D648" t="s">
        <v>77</v>
      </c>
      <c r="E648" t="s">
        <v>363</v>
      </c>
      <c r="F648" t="s">
        <v>31</v>
      </c>
      <c r="G648" t="s">
        <v>32</v>
      </c>
      <c r="H648">
        <v>11.1</v>
      </c>
      <c r="I648">
        <v>9</v>
      </c>
      <c r="J648" t="s">
        <v>96</v>
      </c>
      <c r="K648" t="s">
        <v>528</v>
      </c>
      <c r="L648" t="s">
        <v>60</v>
      </c>
      <c r="M648" t="s">
        <v>1502</v>
      </c>
      <c r="N648" t="s">
        <v>37</v>
      </c>
      <c r="O648">
        <v>108</v>
      </c>
      <c r="P648" t="s">
        <v>2265</v>
      </c>
      <c r="Q648">
        <v>0</v>
      </c>
      <c r="R648">
        <v>0</v>
      </c>
      <c r="S648" t="s">
        <v>2265</v>
      </c>
      <c r="T648" t="s">
        <v>51</v>
      </c>
      <c r="U648" t="s">
        <v>39</v>
      </c>
      <c r="V648" t="s">
        <v>39</v>
      </c>
      <c r="W648" t="s">
        <v>39</v>
      </c>
      <c r="X648">
        <v>2024</v>
      </c>
      <c r="Y648" t="s">
        <v>40</v>
      </c>
      <c r="Z648" t="s">
        <v>41</v>
      </c>
    </row>
    <row r="649" spans="1:26">
      <c r="A649" t="s">
        <v>1503</v>
      </c>
      <c r="B649" t="s">
        <v>116</v>
      </c>
      <c r="C649" t="s">
        <v>164</v>
      </c>
      <c r="D649" t="s">
        <v>85</v>
      </c>
      <c r="E649" t="s">
        <v>86</v>
      </c>
      <c r="F649" t="s">
        <v>95</v>
      </c>
      <c r="G649" t="s">
        <v>32</v>
      </c>
      <c r="H649">
        <v>10.8</v>
      </c>
      <c r="I649">
        <v>30.7</v>
      </c>
      <c r="J649" t="s">
        <v>33</v>
      </c>
      <c r="K649" t="s">
        <v>778</v>
      </c>
      <c r="L649" t="s">
        <v>140</v>
      </c>
      <c r="M649" t="s">
        <v>383</v>
      </c>
      <c r="N649" t="s">
        <v>50</v>
      </c>
      <c r="O649">
        <v>38</v>
      </c>
      <c r="P649" t="s">
        <v>2265</v>
      </c>
      <c r="Q649">
        <v>0</v>
      </c>
      <c r="R649">
        <v>0</v>
      </c>
      <c r="S649" t="s">
        <v>2265</v>
      </c>
      <c r="T649" t="s">
        <v>136</v>
      </c>
      <c r="U649" t="s">
        <v>39</v>
      </c>
      <c r="V649" t="s">
        <v>39</v>
      </c>
      <c r="W649" t="s">
        <v>39</v>
      </c>
      <c r="X649">
        <v>2024</v>
      </c>
      <c r="Y649" t="s">
        <v>91</v>
      </c>
      <c r="Z649" t="s">
        <v>64</v>
      </c>
    </row>
    <row r="650" spans="1:26">
      <c r="A650" t="s">
        <v>1504</v>
      </c>
      <c r="B650" t="s">
        <v>108</v>
      </c>
      <c r="C650" t="s">
        <v>67</v>
      </c>
      <c r="D650" t="s">
        <v>85</v>
      </c>
      <c r="E650" t="s">
        <v>174</v>
      </c>
      <c r="F650" t="s">
        <v>68</v>
      </c>
      <c r="G650" t="s">
        <v>32</v>
      </c>
      <c r="H650">
        <v>6.4</v>
      </c>
      <c r="I650">
        <v>13.9</v>
      </c>
      <c r="J650" t="s">
        <v>156</v>
      </c>
      <c r="K650" t="s">
        <v>1505</v>
      </c>
      <c r="L650" t="s">
        <v>140</v>
      </c>
      <c r="M650" t="s">
        <v>88</v>
      </c>
      <c r="N650" t="s">
        <v>71</v>
      </c>
      <c r="O650">
        <v>19</v>
      </c>
      <c r="P650" t="s">
        <v>89</v>
      </c>
      <c r="Q650">
        <v>2609</v>
      </c>
      <c r="R650">
        <v>5000</v>
      </c>
      <c r="S650" t="s">
        <v>152</v>
      </c>
      <c r="T650" t="s">
        <v>38</v>
      </c>
      <c r="U650" t="s">
        <v>39</v>
      </c>
      <c r="V650" t="s">
        <v>52</v>
      </c>
      <c r="W650" t="s">
        <v>39</v>
      </c>
      <c r="X650">
        <v>2022</v>
      </c>
      <c r="Y650" t="s">
        <v>63</v>
      </c>
      <c r="Z650" t="s">
        <v>64</v>
      </c>
    </row>
    <row r="651" spans="1:26">
      <c r="A651" t="s">
        <v>1506</v>
      </c>
      <c r="B651" t="s">
        <v>108</v>
      </c>
      <c r="C651" t="s">
        <v>173</v>
      </c>
      <c r="D651" t="s">
        <v>77</v>
      </c>
      <c r="E651" t="s">
        <v>143</v>
      </c>
      <c r="F651" t="s">
        <v>149</v>
      </c>
      <c r="G651" t="s">
        <v>58</v>
      </c>
      <c r="H651">
        <v>7.6</v>
      </c>
      <c r="I651">
        <v>26.1</v>
      </c>
      <c r="J651" t="s">
        <v>156</v>
      </c>
      <c r="K651" t="s">
        <v>1441</v>
      </c>
      <c r="L651" t="s">
        <v>48</v>
      </c>
      <c r="M651" t="s">
        <v>131</v>
      </c>
      <c r="N651" t="s">
        <v>100</v>
      </c>
      <c r="O651">
        <v>115</v>
      </c>
      <c r="P651" t="s">
        <v>2265</v>
      </c>
      <c r="Q651">
        <v>0</v>
      </c>
      <c r="R651">
        <v>0</v>
      </c>
      <c r="S651" t="s">
        <v>2265</v>
      </c>
      <c r="T651" t="s">
        <v>62</v>
      </c>
      <c r="U651" t="s">
        <v>39</v>
      </c>
      <c r="V651" t="s">
        <v>39</v>
      </c>
      <c r="W651" t="s">
        <v>39</v>
      </c>
      <c r="X651">
        <v>2023</v>
      </c>
      <c r="Y651" t="s">
        <v>63</v>
      </c>
      <c r="Z651" t="s">
        <v>64</v>
      </c>
    </row>
    <row r="652" spans="1:26">
      <c r="A652" t="s">
        <v>1507</v>
      </c>
      <c r="B652" t="s">
        <v>27</v>
      </c>
      <c r="C652" t="s">
        <v>173</v>
      </c>
      <c r="D652" t="s">
        <v>77</v>
      </c>
      <c r="E652" t="s">
        <v>260</v>
      </c>
      <c r="F652" t="s">
        <v>95</v>
      </c>
      <c r="G652" t="s">
        <v>58</v>
      </c>
      <c r="H652">
        <v>5.3</v>
      </c>
      <c r="I652">
        <v>18</v>
      </c>
      <c r="J652" t="s">
        <v>33</v>
      </c>
      <c r="K652" t="s">
        <v>502</v>
      </c>
      <c r="L652" t="s">
        <v>126</v>
      </c>
      <c r="M652" t="s">
        <v>580</v>
      </c>
      <c r="N652" t="s">
        <v>171</v>
      </c>
      <c r="O652">
        <v>98</v>
      </c>
      <c r="P652" t="s">
        <v>2265</v>
      </c>
      <c r="Q652">
        <v>0</v>
      </c>
      <c r="R652">
        <v>0</v>
      </c>
      <c r="S652" t="s">
        <v>2265</v>
      </c>
      <c r="T652" t="s">
        <v>51</v>
      </c>
      <c r="U652" t="s">
        <v>39</v>
      </c>
      <c r="V652" t="s">
        <v>52</v>
      </c>
      <c r="W652" t="s">
        <v>52</v>
      </c>
      <c r="X652">
        <v>2024</v>
      </c>
      <c r="Y652" t="s">
        <v>40</v>
      </c>
      <c r="Z652" t="s">
        <v>41</v>
      </c>
    </row>
    <row r="653" spans="1:26">
      <c r="A653" t="s">
        <v>1508</v>
      </c>
      <c r="B653" t="s">
        <v>66</v>
      </c>
      <c r="C653" t="s">
        <v>102</v>
      </c>
      <c r="D653" t="s">
        <v>29</v>
      </c>
      <c r="E653" t="s">
        <v>56</v>
      </c>
      <c r="F653" t="s">
        <v>57</v>
      </c>
      <c r="G653" t="s">
        <v>32</v>
      </c>
      <c r="H653">
        <v>9.8000000000000007</v>
      </c>
      <c r="I653">
        <v>25.8</v>
      </c>
      <c r="J653" t="s">
        <v>20</v>
      </c>
      <c r="K653" t="s">
        <v>222</v>
      </c>
      <c r="L653" t="s">
        <v>140</v>
      </c>
      <c r="M653" t="s">
        <v>489</v>
      </c>
      <c r="N653" t="s">
        <v>71</v>
      </c>
      <c r="O653">
        <v>82</v>
      </c>
      <c r="P653" t="s">
        <v>72</v>
      </c>
      <c r="Q653">
        <v>2086</v>
      </c>
      <c r="R653">
        <v>0</v>
      </c>
      <c r="S653" t="s">
        <v>73</v>
      </c>
      <c r="T653" t="s">
        <v>51</v>
      </c>
      <c r="U653" t="s">
        <v>39</v>
      </c>
      <c r="V653" t="s">
        <v>39</v>
      </c>
      <c r="W653" t="s">
        <v>39</v>
      </c>
      <c r="X653">
        <v>2024</v>
      </c>
      <c r="Y653" t="s">
        <v>82</v>
      </c>
      <c r="Z653" t="s">
        <v>83</v>
      </c>
    </row>
    <row r="654" spans="1:26">
      <c r="A654" t="s">
        <v>1509</v>
      </c>
      <c r="B654" t="s">
        <v>27</v>
      </c>
      <c r="C654" t="s">
        <v>28</v>
      </c>
      <c r="D654" t="s">
        <v>29</v>
      </c>
      <c r="E654" t="s">
        <v>56</v>
      </c>
      <c r="F654" t="s">
        <v>124</v>
      </c>
      <c r="G654" t="s">
        <v>32</v>
      </c>
      <c r="H654">
        <v>3.5</v>
      </c>
      <c r="I654">
        <v>32.200000000000003</v>
      </c>
      <c r="J654" t="s">
        <v>33</v>
      </c>
      <c r="K654" t="s">
        <v>139</v>
      </c>
      <c r="L654" t="s">
        <v>35</v>
      </c>
      <c r="M654" t="s">
        <v>127</v>
      </c>
      <c r="N654" t="s">
        <v>37</v>
      </c>
      <c r="O654">
        <v>113</v>
      </c>
      <c r="P654" t="s">
        <v>2265</v>
      </c>
      <c r="Q654">
        <v>0</v>
      </c>
      <c r="R654">
        <v>0</v>
      </c>
      <c r="S654" t="s">
        <v>2265</v>
      </c>
      <c r="T654" t="s">
        <v>81</v>
      </c>
      <c r="U654" t="s">
        <v>39</v>
      </c>
      <c r="V654" t="s">
        <v>39</v>
      </c>
      <c r="W654" t="s">
        <v>39</v>
      </c>
      <c r="X654">
        <v>2024</v>
      </c>
      <c r="Y654" t="s">
        <v>114</v>
      </c>
      <c r="Z654" t="s">
        <v>41</v>
      </c>
    </row>
    <row r="655" spans="1:26">
      <c r="A655" t="s">
        <v>1510</v>
      </c>
      <c r="B655" t="s">
        <v>27</v>
      </c>
      <c r="C655" t="s">
        <v>44</v>
      </c>
      <c r="D655" t="s">
        <v>29</v>
      </c>
      <c r="E655" t="s">
        <v>244</v>
      </c>
      <c r="F655" t="s">
        <v>149</v>
      </c>
      <c r="G655" t="s">
        <v>58</v>
      </c>
      <c r="H655">
        <v>4.5</v>
      </c>
      <c r="I655">
        <v>10.199999999999999</v>
      </c>
      <c r="J655" t="s">
        <v>96</v>
      </c>
      <c r="K655" t="s">
        <v>1368</v>
      </c>
      <c r="L655" t="s">
        <v>126</v>
      </c>
      <c r="M655" t="s">
        <v>861</v>
      </c>
      <c r="N655" t="s">
        <v>50</v>
      </c>
      <c r="O655">
        <v>2</v>
      </c>
      <c r="P655" t="s">
        <v>2265</v>
      </c>
      <c r="Q655">
        <v>0</v>
      </c>
      <c r="R655">
        <v>0</v>
      </c>
      <c r="S655" t="s">
        <v>2265</v>
      </c>
      <c r="T655" t="s">
        <v>51</v>
      </c>
      <c r="U655" t="s">
        <v>39</v>
      </c>
      <c r="V655" t="s">
        <v>52</v>
      </c>
      <c r="W655" t="s">
        <v>39</v>
      </c>
      <c r="X655">
        <v>2023</v>
      </c>
      <c r="Y655" t="s">
        <v>82</v>
      </c>
      <c r="Z655" t="s">
        <v>83</v>
      </c>
    </row>
    <row r="656" spans="1:26">
      <c r="A656" t="s">
        <v>1511</v>
      </c>
      <c r="B656" t="s">
        <v>93</v>
      </c>
      <c r="C656" t="s">
        <v>28</v>
      </c>
      <c r="D656" t="s">
        <v>77</v>
      </c>
      <c r="E656" t="s">
        <v>94</v>
      </c>
      <c r="F656" t="s">
        <v>124</v>
      </c>
      <c r="G656" t="s">
        <v>58</v>
      </c>
      <c r="H656">
        <v>8.8000000000000007</v>
      </c>
      <c r="I656">
        <v>4.5</v>
      </c>
      <c r="J656" t="s">
        <v>33</v>
      </c>
      <c r="K656" t="s">
        <v>1373</v>
      </c>
      <c r="L656" t="s">
        <v>48</v>
      </c>
      <c r="M656" t="s">
        <v>190</v>
      </c>
      <c r="N656" t="s">
        <v>71</v>
      </c>
      <c r="O656">
        <v>68</v>
      </c>
      <c r="P656" t="s">
        <v>105</v>
      </c>
      <c r="Q656">
        <v>4120</v>
      </c>
      <c r="R656">
        <v>0</v>
      </c>
      <c r="S656" t="s">
        <v>152</v>
      </c>
      <c r="T656" t="s">
        <v>51</v>
      </c>
      <c r="U656" t="s">
        <v>52</v>
      </c>
      <c r="V656" t="s">
        <v>52</v>
      </c>
      <c r="W656" t="s">
        <v>39</v>
      </c>
      <c r="X656">
        <v>2024</v>
      </c>
      <c r="Y656" t="s">
        <v>91</v>
      </c>
      <c r="Z656" t="s">
        <v>64</v>
      </c>
    </row>
    <row r="657" spans="1:26">
      <c r="A657" t="s">
        <v>1512</v>
      </c>
      <c r="B657" t="s">
        <v>66</v>
      </c>
      <c r="C657" t="s">
        <v>76</v>
      </c>
      <c r="D657" t="s">
        <v>122</v>
      </c>
      <c r="E657" t="s">
        <v>123</v>
      </c>
      <c r="F657" t="s">
        <v>238</v>
      </c>
      <c r="G657" t="s">
        <v>58</v>
      </c>
      <c r="H657">
        <v>2.4</v>
      </c>
      <c r="I657">
        <v>19.8</v>
      </c>
      <c r="J657" t="s">
        <v>33</v>
      </c>
      <c r="K657" t="s">
        <v>1513</v>
      </c>
      <c r="L657" t="s">
        <v>140</v>
      </c>
      <c r="M657" t="s">
        <v>1175</v>
      </c>
      <c r="N657" t="s">
        <v>171</v>
      </c>
      <c r="O657">
        <v>26</v>
      </c>
      <c r="P657" t="s">
        <v>2265</v>
      </c>
      <c r="Q657">
        <v>0</v>
      </c>
      <c r="R657">
        <v>0</v>
      </c>
      <c r="S657" t="s">
        <v>2265</v>
      </c>
      <c r="T657" t="s">
        <v>136</v>
      </c>
      <c r="U657" t="s">
        <v>39</v>
      </c>
      <c r="V657" t="s">
        <v>52</v>
      </c>
      <c r="W657" t="s">
        <v>52</v>
      </c>
      <c r="X657">
        <v>2024</v>
      </c>
      <c r="Y657" t="s">
        <v>153</v>
      </c>
      <c r="Z657" t="s">
        <v>54</v>
      </c>
    </row>
    <row r="658" spans="1:26">
      <c r="A658" t="s">
        <v>1514</v>
      </c>
      <c r="B658" t="s">
        <v>116</v>
      </c>
      <c r="C658" t="s">
        <v>102</v>
      </c>
      <c r="D658" t="s">
        <v>29</v>
      </c>
      <c r="E658" t="s">
        <v>117</v>
      </c>
      <c r="F658" t="s">
        <v>238</v>
      </c>
      <c r="G658" t="s">
        <v>32</v>
      </c>
      <c r="H658">
        <v>3.5</v>
      </c>
      <c r="I658">
        <v>7.4</v>
      </c>
      <c r="J658" t="s">
        <v>33</v>
      </c>
      <c r="K658" t="s">
        <v>1035</v>
      </c>
      <c r="L658" t="s">
        <v>126</v>
      </c>
      <c r="M658" t="s">
        <v>1515</v>
      </c>
      <c r="N658" t="s">
        <v>71</v>
      </c>
      <c r="O658">
        <v>125</v>
      </c>
      <c r="P658" t="s">
        <v>105</v>
      </c>
      <c r="Q658">
        <v>4504</v>
      </c>
      <c r="R658">
        <v>500</v>
      </c>
      <c r="S658" t="s">
        <v>113</v>
      </c>
      <c r="T658" t="s">
        <v>81</v>
      </c>
      <c r="U658" t="s">
        <v>39</v>
      </c>
      <c r="V658" t="s">
        <v>52</v>
      </c>
      <c r="W658" t="s">
        <v>52</v>
      </c>
      <c r="X658">
        <v>2022</v>
      </c>
      <c r="Y658" t="s">
        <v>128</v>
      </c>
      <c r="Z658" t="s">
        <v>64</v>
      </c>
    </row>
    <row r="659" spans="1:26">
      <c r="A659" t="s">
        <v>1516</v>
      </c>
      <c r="B659" t="s">
        <v>43</v>
      </c>
      <c r="C659" t="s">
        <v>173</v>
      </c>
      <c r="D659" t="s">
        <v>77</v>
      </c>
      <c r="E659" t="s">
        <v>94</v>
      </c>
      <c r="F659" t="s">
        <v>124</v>
      </c>
      <c r="G659" t="s">
        <v>32</v>
      </c>
      <c r="H659">
        <v>5.9</v>
      </c>
      <c r="I659">
        <v>23.2</v>
      </c>
      <c r="J659" t="s">
        <v>156</v>
      </c>
      <c r="K659" t="s">
        <v>282</v>
      </c>
      <c r="L659" t="s">
        <v>126</v>
      </c>
      <c r="M659" t="s">
        <v>519</v>
      </c>
      <c r="N659" t="s">
        <v>171</v>
      </c>
      <c r="O659">
        <v>164</v>
      </c>
      <c r="P659" t="s">
        <v>2265</v>
      </c>
      <c r="Q659">
        <v>0</v>
      </c>
      <c r="R659">
        <v>0</v>
      </c>
      <c r="S659" t="s">
        <v>2265</v>
      </c>
      <c r="T659" t="s">
        <v>136</v>
      </c>
      <c r="U659" t="s">
        <v>52</v>
      </c>
      <c r="V659" t="s">
        <v>52</v>
      </c>
      <c r="W659" t="s">
        <v>52</v>
      </c>
      <c r="X659">
        <v>2023</v>
      </c>
      <c r="Y659" t="s">
        <v>74</v>
      </c>
      <c r="Z659" t="s">
        <v>54</v>
      </c>
    </row>
    <row r="660" spans="1:26">
      <c r="A660" t="s">
        <v>1517</v>
      </c>
      <c r="B660" t="s">
        <v>93</v>
      </c>
      <c r="C660" t="s">
        <v>44</v>
      </c>
      <c r="D660" t="s">
        <v>29</v>
      </c>
      <c r="E660" t="s">
        <v>117</v>
      </c>
      <c r="F660" t="s">
        <v>149</v>
      </c>
      <c r="G660" t="s">
        <v>32</v>
      </c>
      <c r="H660">
        <v>11.6</v>
      </c>
      <c r="I660">
        <v>31.4</v>
      </c>
      <c r="J660" t="s">
        <v>33</v>
      </c>
      <c r="K660" t="s">
        <v>1486</v>
      </c>
      <c r="L660" t="s">
        <v>98</v>
      </c>
      <c r="M660" t="s">
        <v>162</v>
      </c>
      <c r="N660" t="s">
        <v>37</v>
      </c>
      <c r="O660">
        <v>25</v>
      </c>
      <c r="P660" t="s">
        <v>2265</v>
      </c>
      <c r="Q660">
        <v>0</v>
      </c>
      <c r="R660">
        <v>0</v>
      </c>
      <c r="S660" t="s">
        <v>2265</v>
      </c>
      <c r="T660" t="s">
        <v>136</v>
      </c>
      <c r="U660" t="s">
        <v>39</v>
      </c>
      <c r="V660" t="s">
        <v>39</v>
      </c>
      <c r="W660" t="s">
        <v>52</v>
      </c>
      <c r="X660">
        <v>2023</v>
      </c>
      <c r="Y660" t="s">
        <v>211</v>
      </c>
      <c r="Z660" t="s">
        <v>41</v>
      </c>
    </row>
    <row r="661" spans="1:26">
      <c r="A661" t="s">
        <v>1518</v>
      </c>
      <c r="B661" t="s">
        <v>108</v>
      </c>
      <c r="C661" t="s">
        <v>121</v>
      </c>
      <c r="D661" t="s">
        <v>122</v>
      </c>
      <c r="E661" t="s">
        <v>123</v>
      </c>
      <c r="F661" t="s">
        <v>31</v>
      </c>
      <c r="G661" t="s">
        <v>32</v>
      </c>
      <c r="H661">
        <v>8.5</v>
      </c>
      <c r="I661">
        <v>27.2</v>
      </c>
      <c r="J661" t="s">
        <v>156</v>
      </c>
      <c r="K661" t="s">
        <v>227</v>
      </c>
      <c r="L661" t="s">
        <v>48</v>
      </c>
      <c r="M661" t="s">
        <v>1484</v>
      </c>
      <c r="N661" t="s">
        <v>100</v>
      </c>
      <c r="O661">
        <v>179</v>
      </c>
      <c r="P661" t="s">
        <v>2265</v>
      </c>
      <c r="Q661">
        <v>0</v>
      </c>
      <c r="R661">
        <v>0</v>
      </c>
      <c r="S661" t="s">
        <v>2265</v>
      </c>
      <c r="T661" t="s">
        <v>38</v>
      </c>
      <c r="U661" t="s">
        <v>39</v>
      </c>
      <c r="V661" t="s">
        <v>52</v>
      </c>
      <c r="W661" t="s">
        <v>52</v>
      </c>
      <c r="X661">
        <v>2023</v>
      </c>
      <c r="Y661" t="s">
        <v>63</v>
      </c>
      <c r="Z661" t="s">
        <v>64</v>
      </c>
    </row>
    <row r="662" spans="1:26">
      <c r="A662" t="s">
        <v>1519</v>
      </c>
      <c r="B662" t="s">
        <v>108</v>
      </c>
      <c r="C662" t="s">
        <v>44</v>
      </c>
      <c r="D662" t="s">
        <v>85</v>
      </c>
      <c r="E662" t="s">
        <v>174</v>
      </c>
      <c r="F662" t="s">
        <v>160</v>
      </c>
      <c r="G662" t="s">
        <v>58</v>
      </c>
      <c r="H662">
        <v>5</v>
      </c>
      <c r="I662">
        <v>28.4</v>
      </c>
      <c r="J662" t="s">
        <v>33</v>
      </c>
      <c r="K662" t="s">
        <v>1520</v>
      </c>
      <c r="L662" t="s">
        <v>126</v>
      </c>
      <c r="M662" t="s">
        <v>1521</v>
      </c>
      <c r="N662" t="s">
        <v>171</v>
      </c>
      <c r="O662">
        <v>67</v>
      </c>
      <c r="P662" t="s">
        <v>2265</v>
      </c>
      <c r="Q662">
        <v>0</v>
      </c>
      <c r="R662">
        <v>0</v>
      </c>
      <c r="S662" t="s">
        <v>2265</v>
      </c>
      <c r="T662" t="s">
        <v>81</v>
      </c>
      <c r="U662" t="s">
        <v>39</v>
      </c>
      <c r="V662" t="s">
        <v>52</v>
      </c>
      <c r="W662" t="s">
        <v>39</v>
      </c>
      <c r="X662">
        <v>2023</v>
      </c>
      <c r="Y662" t="s">
        <v>91</v>
      </c>
      <c r="Z662" t="s">
        <v>64</v>
      </c>
    </row>
    <row r="663" spans="1:26">
      <c r="A663" t="s">
        <v>1522</v>
      </c>
      <c r="B663" t="s">
        <v>27</v>
      </c>
      <c r="C663" t="s">
        <v>67</v>
      </c>
      <c r="D663" t="s">
        <v>29</v>
      </c>
      <c r="E663" t="s">
        <v>117</v>
      </c>
      <c r="F663" t="s">
        <v>68</v>
      </c>
      <c r="G663" t="s">
        <v>58</v>
      </c>
      <c r="H663">
        <v>9.4</v>
      </c>
      <c r="I663">
        <v>4.3</v>
      </c>
      <c r="J663" t="s">
        <v>156</v>
      </c>
      <c r="K663" t="s">
        <v>1523</v>
      </c>
      <c r="L663" t="s">
        <v>35</v>
      </c>
      <c r="M663" t="s">
        <v>1524</v>
      </c>
      <c r="N663" t="s">
        <v>71</v>
      </c>
      <c r="O663">
        <v>57</v>
      </c>
      <c r="P663" t="s">
        <v>112</v>
      </c>
      <c r="Q663">
        <v>3695</v>
      </c>
      <c r="R663">
        <v>0</v>
      </c>
      <c r="S663" t="s">
        <v>73</v>
      </c>
      <c r="T663" t="s">
        <v>51</v>
      </c>
      <c r="U663" t="s">
        <v>39</v>
      </c>
      <c r="V663" t="s">
        <v>52</v>
      </c>
      <c r="W663" t="s">
        <v>39</v>
      </c>
      <c r="X663">
        <v>2024</v>
      </c>
      <c r="Y663" t="s">
        <v>74</v>
      </c>
      <c r="Z663" t="s">
        <v>54</v>
      </c>
    </row>
    <row r="664" spans="1:26">
      <c r="A664" t="s">
        <v>1525</v>
      </c>
      <c r="B664" t="s">
        <v>66</v>
      </c>
      <c r="C664" t="s">
        <v>102</v>
      </c>
      <c r="D664" t="s">
        <v>77</v>
      </c>
      <c r="E664" t="s">
        <v>363</v>
      </c>
      <c r="F664" t="s">
        <v>160</v>
      </c>
      <c r="G664" t="s">
        <v>58</v>
      </c>
      <c r="H664">
        <v>10.1</v>
      </c>
      <c r="I664">
        <v>14.1</v>
      </c>
      <c r="J664" t="s">
        <v>33</v>
      </c>
      <c r="K664" t="s">
        <v>317</v>
      </c>
      <c r="L664" t="s">
        <v>60</v>
      </c>
      <c r="M664" t="s">
        <v>1526</v>
      </c>
      <c r="N664" t="s">
        <v>37</v>
      </c>
      <c r="O664">
        <v>138</v>
      </c>
      <c r="P664" t="s">
        <v>2265</v>
      </c>
      <c r="Q664">
        <v>0</v>
      </c>
      <c r="R664">
        <v>0</v>
      </c>
      <c r="S664" t="s">
        <v>2265</v>
      </c>
      <c r="T664" t="s">
        <v>136</v>
      </c>
      <c r="U664" t="s">
        <v>39</v>
      </c>
      <c r="V664" t="s">
        <v>52</v>
      </c>
      <c r="W664" t="s">
        <v>52</v>
      </c>
      <c r="X664">
        <v>2024</v>
      </c>
      <c r="Y664" t="s">
        <v>106</v>
      </c>
      <c r="Z664" t="s">
        <v>83</v>
      </c>
    </row>
    <row r="665" spans="1:26">
      <c r="A665" t="s">
        <v>1527</v>
      </c>
      <c r="B665" t="s">
        <v>93</v>
      </c>
      <c r="C665" t="s">
        <v>173</v>
      </c>
      <c r="D665" t="s">
        <v>77</v>
      </c>
      <c r="E665" t="s">
        <v>220</v>
      </c>
      <c r="F665" t="s">
        <v>238</v>
      </c>
      <c r="G665" t="s">
        <v>58</v>
      </c>
      <c r="H665">
        <v>9.5</v>
      </c>
      <c r="I665">
        <v>2</v>
      </c>
      <c r="J665" t="s">
        <v>156</v>
      </c>
      <c r="K665" t="s">
        <v>1528</v>
      </c>
      <c r="L665" t="s">
        <v>98</v>
      </c>
      <c r="M665" t="s">
        <v>1529</v>
      </c>
      <c r="N665" t="s">
        <v>71</v>
      </c>
      <c r="O665">
        <v>135</v>
      </c>
      <c r="P665" t="s">
        <v>89</v>
      </c>
      <c r="Q665">
        <v>7108</v>
      </c>
      <c r="R665">
        <v>500</v>
      </c>
      <c r="S665" t="s">
        <v>73</v>
      </c>
      <c r="T665" t="s">
        <v>51</v>
      </c>
      <c r="U665" t="s">
        <v>39</v>
      </c>
      <c r="V665" t="s">
        <v>52</v>
      </c>
      <c r="W665" t="s">
        <v>52</v>
      </c>
      <c r="X665">
        <v>2022</v>
      </c>
      <c r="Y665" t="s">
        <v>82</v>
      </c>
      <c r="Z665" t="s">
        <v>83</v>
      </c>
    </row>
    <row r="666" spans="1:26">
      <c r="A666" t="s">
        <v>1530</v>
      </c>
      <c r="B666" t="s">
        <v>116</v>
      </c>
      <c r="C666" t="s">
        <v>76</v>
      </c>
      <c r="D666" t="s">
        <v>77</v>
      </c>
      <c r="E666" t="s">
        <v>168</v>
      </c>
      <c r="F666" t="s">
        <v>109</v>
      </c>
      <c r="G666" t="s">
        <v>58</v>
      </c>
      <c r="H666">
        <v>8.5</v>
      </c>
      <c r="I666">
        <v>25.8</v>
      </c>
      <c r="J666" t="s">
        <v>33</v>
      </c>
      <c r="K666" t="s">
        <v>1531</v>
      </c>
      <c r="L666" t="s">
        <v>98</v>
      </c>
      <c r="M666" t="s">
        <v>1532</v>
      </c>
      <c r="N666" t="s">
        <v>71</v>
      </c>
      <c r="O666">
        <v>20</v>
      </c>
      <c r="P666" t="s">
        <v>105</v>
      </c>
      <c r="Q666">
        <v>7132</v>
      </c>
      <c r="R666">
        <v>2000</v>
      </c>
      <c r="S666" t="s">
        <v>90</v>
      </c>
      <c r="T666" t="s">
        <v>81</v>
      </c>
      <c r="U666" t="s">
        <v>39</v>
      </c>
      <c r="V666" t="s">
        <v>52</v>
      </c>
      <c r="W666" t="s">
        <v>52</v>
      </c>
      <c r="X666">
        <v>2022</v>
      </c>
      <c r="Y666" t="s">
        <v>153</v>
      </c>
      <c r="Z666" t="s">
        <v>54</v>
      </c>
    </row>
    <row r="667" spans="1:26">
      <c r="A667" t="s">
        <v>1533</v>
      </c>
      <c r="B667" t="s">
        <v>66</v>
      </c>
      <c r="C667" t="s">
        <v>121</v>
      </c>
      <c r="D667" t="s">
        <v>29</v>
      </c>
      <c r="E667" t="s">
        <v>94</v>
      </c>
      <c r="F667" t="s">
        <v>57</v>
      </c>
      <c r="G667" t="s">
        <v>32</v>
      </c>
      <c r="H667">
        <v>5.6</v>
      </c>
      <c r="I667">
        <v>3.9</v>
      </c>
      <c r="J667" t="s">
        <v>144</v>
      </c>
      <c r="K667" t="s">
        <v>1534</v>
      </c>
      <c r="L667" t="s">
        <v>35</v>
      </c>
      <c r="M667" t="s">
        <v>682</v>
      </c>
      <c r="N667" t="s">
        <v>61</v>
      </c>
      <c r="O667">
        <v>78</v>
      </c>
      <c r="P667" t="s">
        <v>2265</v>
      </c>
      <c r="Q667">
        <v>0</v>
      </c>
      <c r="R667">
        <v>0</v>
      </c>
      <c r="S667" t="s">
        <v>2265</v>
      </c>
      <c r="T667" t="s">
        <v>81</v>
      </c>
      <c r="U667" t="s">
        <v>52</v>
      </c>
      <c r="V667" t="s">
        <v>52</v>
      </c>
      <c r="W667" t="s">
        <v>52</v>
      </c>
      <c r="X667">
        <v>2022</v>
      </c>
      <c r="Y667" t="s">
        <v>82</v>
      </c>
      <c r="Z667" t="s">
        <v>83</v>
      </c>
    </row>
    <row r="668" spans="1:26">
      <c r="A668" t="s">
        <v>1535</v>
      </c>
      <c r="B668" t="s">
        <v>108</v>
      </c>
      <c r="C668" t="s">
        <v>67</v>
      </c>
      <c r="D668" t="s">
        <v>77</v>
      </c>
      <c r="E668" t="s">
        <v>168</v>
      </c>
      <c r="F668" t="s">
        <v>109</v>
      </c>
      <c r="G668" t="s">
        <v>58</v>
      </c>
      <c r="H668">
        <v>0.3</v>
      </c>
      <c r="I668">
        <v>17.600000000000001</v>
      </c>
      <c r="J668" t="s">
        <v>144</v>
      </c>
      <c r="K668" t="s">
        <v>619</v>
      </c>
      <c r="L668" t="s">
        <v>48</v>
      </c>
      <c r="M668" t="s">
        <v>127</v>
      </c>
      <c r="N668" t="s">
        <v>37</v>
      </c>
      <c r="O668">
        <v>130</v>
      </c>
      <c r="P668" t="s">
        <v>2265</v>
      </c>
      <c r="Q668">
        <v>0</v>
      </c>
      <c r="R668">
        <v>1000</v>
      </c>
      <c r="S668" t="s">
        <v>2265</v>
      </c>
      <c r="T668" t="s">
        <v>62</v>
      </c>
      <c r="U668" t="s">
        <v>39</v>
      </c>
      <c r="V668" t="s">
        <v>52</v>
      </c>
      <c r="W668" t="s">
        <v>52</v>
      </c>
      <c r="X668">
        <v>2024</v>
      </c>
      <c r="Y668" t="s">
        <v>63</v>
      </c>
      <c r="Z668" t="s">
        <v>64</v>
      </c>
    </row>
    <row r="669" spans="1:26">
      <c r="A669" t="s">
        <v>1536</v>
      </c>
      <c r="B669" t="s">
        <v>116</v>
      </c>
      <c r="C669" t="s">
        <v>28</v>
      </c>
      <c r="D669" t="s">
        <v>77</v>
      </c>
      <c r="E669" t="s">
        <v>260</v>
      </c>
      <c r="F669" t="s">
        <v>109</v>
      </c>
      <c r="G669" t="s">
        <v>58</v>
      </c>
      <c r="H669">
        <v>1.8</v>
      </c>
      <c r="I669">
        <v>22.2</v>
      </c>
      <c r="J669" t="s">
        <v>33</v>
      </c>
      <c r="K669" t="s">
        <v>206</v>
      </c>
      <c r="L669" t="s">
        <v>126</v>
      </c>
      <c r="M669" t="s">
        <v>127</v>
      </c>
      <c r="N669" t="s">
        <v>71</v>
      </c>
      <c r="O669">
        <v>145</v>
      </c>
      <c r="P669" t="s">
        <v>105</v>
      </c>
      <c r="Q669">
        <v>5544</v>
      </c>
      <c r="R669">
        <v>0</v>
      </c>
      <c r="S669" t="s">
        <v>113</v>
      </c>
      <c r="T669" t="s">
        <v>38</v>
      </c>
      <c r="U669" t="s">
        <v>39</v>
      </c>
      <c r="V669" t="s">
        <v>52</v>
      </c>
      <c r="W669" t="s">
        <v>52</v>
      </c>
      <c r="X669">
        <v>2024</v>
      </c>
      <c r="Y669" t="s">
        <v>114</v>
      </c>
      <c r="Z669" t="s">
        <v>41</v>
      </c>
    </row>
    <row r="670" spans="1:26">
      <c r="A670" t="s">
        <v>1537</v>
      </c>
      <c r="B670" t="s">
        <v>43</v>
      </c>
      <c r="C670" t="s">
        <v>76</v>
      </c>
      <c r="D670" t="s">
        <v>29</v>
      </c>
      <c r="E670" t="s">
        <v>94</v>
      </c>
      <c r="F670" t="s">
        <v>46</v>
      </c>
      <c r="G670" t="s">
        <v>32</v>
      </c>
      <c r="H670">
        <v>5</v>
      </c>
      <c r="I670">
        <v>26</v>
      </c>
      <c r="J670" t="s">
        <v>96</v>
      </c>
      <c r="K670" t="s">
        <v>1099</v>
      </c>
      <c r="L670" t="s">
        <v>35</v>
      </c>
      <c r="M670" t="s">
        <v>817</v>
      </c>
      <c r="N670" t="s">
        <v>50</v>
      </c>
      <c r="O670">
        <v>16</v>
      </c>
      <c r="P670" t="s">
        <v>2265</v>
      </c>
      <c r="Q670">
        <v>0</v>
      </c>
      <c r="R670">
        <v>500</v>
      </c>
      <c r="S670" t="s">
        <v>2265</v>
      </c>
      <c r="T670" t="s">
        <v>51</v>
      </c>
      <c r="U670" t="s">
        <v>39</v>
      </c>
      <c r="V670" t="s">
        <v>52</v>
      </c>
      <c r="W670" t="s">
        <v>52</v>
      </c>
      <c r="X670">
        <v>2023</v>
      </c>
      <c r="Y670" t="s">
        <v>74</v>
      </c>
      <c r="Z670" t="s">
        <v>54</v>
      </c>
    </row>
    <row r="671" spans="1:26">
      <c r="A671" t="s">
        <v>1538</v>
      </c>
      <c r="B671" t="s">
        <v>27</v>
      </c>
      <c r="C671" t="s">
        <v>28</v>
      </c>
      <c r="D671" t="s">
        <v>29</v>
      </c>
      <c r="E671" t="s">
        <v>117</v>
      </c>
      <c r="F671" t="s">
        <v>95</v>
      </c>
      <c r="G671" t="s">
        <v>32</v>
      </c>
      <c r="H671">
        <v>5.6</v>
      </c>
      <c r="I671">
        <v>17.2</v>
      </c>
      <c r="J671" t="s">
        <v>156</v>
      </c>
      <c r="K671" t="s">
        <v>750</v>
      </c>
      <c r="L671" t="s">
        <v>35</v>
      </c>
      <c r="M671" t="s">
        <v>612</v>
      </c>
      <c r="N671" t="s">
        <v>37</v>
      </c>
      <c r="O671">
        <v>167</v>
      </c>
      <c r="P671" t="s">
        <v>2265</v>
      </c>
      <c r="Q671">
        <v>0</v>
      </c>
      <c r="R671">
        <v>500</v>
      </c>
      <c r="S671" t="s">
        <v>2265</v>
      </c>
      <c r="T671" t="s">
        <v>136</v>
      </c>
      <c r="U671" t="s">
        <v>39</v>
      </c>
      <c r="V671" t="s">
        <v>39</v>
      </c>
      <c r="W671" t="s">
        <v>52</v>
      </c>
      <c r="X671">
        <v>2023</v>
      </c>
      <c r="Y671" t="s">
        <v>91</v>
      </c>
      <c r="Z671" t="s">
        <v>64</v>
      </c>
    </row>
    <row r="672" spans="1:26">
      <c r="A672" t="s">
        <v>1539</v>
      </c>
      <c r="B672" t="s">
        <v>108</v>
      </c>
      <c r="C672" t="s">
        <v>121</v>
      </c>
      <c r="D672" t="s">
        <v>29</v>
      </c>
      <c r="E672" t="s">
        <v>94</v>
      </c>
      <c r="F672" t="s">
        <v>68</v>
      </c>
      <c r="G672" t="s">
        <v>32</v>
      </c>
      <c r="H672">
        <v>10.5</v>
      </c>
      <c r="I672">
        <v>4.4000000000000004</v>
      </c>
      <c r="J672" t="s">
        <v>33</v>
      </c>
      <c r="K672" t="s">
        <v>1540</v>
      </c>
      <c r="L672" t="s">
        <v>98</v>
      </c>
      <c r="M672" t="s">
        <v>1467</v>
      </c>
      <c r="N672" t="s">
        <v>37</v>
      </c>
      <c r="O672">
        <v>43</v>
      </c>
      <c r="P672" t="s">
        <v>2265</v>
      </c>
      <c r="Q672">
        <v>0</v>
      </c>
      <c r="R672">
        <v>1000</v>
      </c>
      <c r="S672" t="s">
        <v>2265</v>
      </c>
      <c r="T672" t="s">
        <v>62</v>
      </c>
      <c r="U672" t="s">
        <v>52</v>
      </c>
      <c r="V672" t="s">
        <v>52</v>
      </c>
      <c r="W672" t="s">
        <v>39</v>
      </c>
      <c r="X672">
        <v>2022</v>
      </c>
      <c r="Y672" t="s">
        <v>114</v>
      </c>
      <c r="Z672" t="s">
        <v>41</v>
      </c>
    </row>
    <row r="673" spans="1:26">
      <c r="A673" t="s">
        <v>1541</v>
      </c>
      <c r="B673" t="s">
        <v>93</v>
      </c>
      <c r="C673" t="s">
        <v>164</v>
      </c>
      <c r="D673" t="s">
        <v>29</v>
      </c>
      <c r="E673" t="s">
        <v>30</v>
      </c>
      <c r="F673" t="s">
        <v>68</v>
      </c>
      <c r="G673" t="s">
        <v>32</v>
      </c>
      <c r="H673">
        <v>6.3</v>
      </c>
      <c r="I673">
        <v>21.7</v>
      </c>
      <c r="J673" t="s">
        <v>20</v>
      </c>
      <c r="K673" t="s">
        <v>704</v>
      </c>
      <c r="L673" t="s">
        <v>98</v>
      </c>
      <c r="M673" t="s">
        <v>1542</v>
      </c>
      <c r="N673" t="s">
        <v>61</v>
      </c>
      <c r="O673">
        <v>76</v>
      </c>
      <c r="P673" t="s">
        <v>2265</v>
      </c>
      <c r="Q673">
        <v>0</v>
      </c>
      <c r="R673">
        <v>0</v>
      </c>
      <c r="S673" t="s">
        <v>2265</v>
      </c>
      <c r="T673" t="s">
        <v>81</v>
      </c>
      <c r="U673" t="s">
        <v>39</v>
      </c>
      <c r="V673" t="s">
        <v>52</v>
      </c>
      <c r="W673" t="s">
        <v>52</v>
      </c>
      <c r="X673">
        <v>2024</v>
      </c>
      <c r="Y673" t="s">
        <v>153</v>
      </c>
      <c r="Z673" t="s">
        <v>54</v>
      </c>
    </row>
    <row r="674" spans="1:26">
      <c r="A674" t="s">
        <v>1543</v>
      </c>
      <c r="B674" t="s">
        <v>93</v>
      </c>
      <c r="C674" t="s">
        <v>44</v>
      </c>
      <c r="D674" t="s">
        <v>77</v>
      </c>
      <c r="E674" t="s">
        <v>78</v>
      </c>
      <c r="F674" t="s">
        <v>68</v>
      </c>
      <c r="G674" t="s">
        <v>58</v>
      </c>
      <c r="H674">
        <v>8.6</v>
      </c>
      <c r="I674">
        <v>16.8</v>
      </c>
      <c r="J674" t="s">
        <v>144</v>
      </c>
      <c r="K674" t="s">
        <v>459</v>
      </c>
      <c r="L674" t="s">
        <v>35</v>
      </c>
      <c r="M674" t="s">
        <v>1544</v>
      </c>
      <c r="N674" t="s">
        <v>71</v>
      </c>
      <c r="O674">
        <v>85</v>
      </c>
      <c r="P674" t="s">
        <v>230</v>
      </c>
      <c r="Q674">
        <v>4345</v>
      </c>
      <c r="R674">
        <v>1000</v>
      </c>
      <c r="S674" t="s">
        <v>152</v>
      </c>
      <c r="T674" t="s">
        <v>81</v>
      </c>
      <c r="U674" t="s">
        <v>39</v>
      </c>
      <c r="V674" t="s">
        <v>52</v>
      </c>
      <c r="W674" t="s">
        <v>39</v>
      </c>
      <c r="X674">
        <v>2023</v>
      </c>
      <c r="Y674" t="s">
        <v>312</v>
      </c>
      <c r="Z674" t="s">
        <v>83</v>
      </c>
    </row>
    <row r="675" spans="1:26">
      <c r="A675" t="s">
        <v>1545</v>
      </c>
      <c r="B675" t="s">
        <v>66</v>
      </c>
      <c r="C675" t="s">
        <v>102</v>
      </c>
      <c r="D675" t="s">
        <v>29</v>
      </c>
      <c r="E675" t="s">
        <v>117</v>
      </c>
      <c r="F675" t="s">
        <v>46</v>
      </c>
      <c r="G675" t="s">
        <v>58</v>
      </c>
      <c r="H675">
        <v>7.2</v>
      </c>
      <c r="I675">
        <v>2.8</v>
      </c>
      <c r="J675" t="s">
        <v>33</v>
      </c>
      <c r="K675" t="s">
        <v>214</v>
      </c>
      <c r="L675" t="s">
        <v>60</v>
      </c>
      <c r="M675" t="s">
        <v>972</v>
      </c>
      <c r="N675" t="s">
        <v>71</v>
      </c>
      <c r="O675">
        <v>25</v>
      </c>
      <c r="P675" t="s">
        <v>72</v>
      </c>
      <c r="Q675">
        <v>4059</v>
      </c>
      <c r="R675">
        <v>500</v>
      </c>
      <c r="S675" t="s">
        <v>90</v>
      </c>
      <c r="T675" t="s">
        <v>62</v>
      </c>
      <c r="U675" t="s">
        <v>39</v>
      </c>
      <c r="V675" t="s">
        <v>52</v>
      </c>
      <c r="W675" t="s">
        <v>52</v>
      </c>
      <c r="X675">
        <v>2023</v>
      </c>
      <c r="Y675" t="s">
        <v>128</v>
      </c>
      <c r="Z675" t="s">
        <v>64</v>
      </c>
    </row>
    <row r="676" spans="1:26">
      <c r="A676" t="s">
        <v>1546</v>
      </c>
      <c r="B676" t="s">
        <v>27</v>
      </c>
      <c r="C676" t="s">
        <v>28</v>
      </c>
      <c r="D676" t="s">
        <v>29</v>
      </c>
      <c r="E676" t="s">
        <v>244</v>
      </c>
      <c r="F676" t="s">
        <v>68</v>
      </c>
      <c r="G676" t="s">
        <v>32</v>
      </c>
      <c r="H676">
        <v>2.7</v>
      </c>
      <c r="I676">
        <v>6.7</v>
      </c>
      <c r="J676" t="s">
        <v>33</v>
      </c>
      <c r="K676" t="s">
        <v>413</v>
      </c>
      <c r="L676" t="s">
        <v>140</v>
      </c>
      <c r="M676" t="s">
        <v>310</v>
      </c>
      <c r="N676" t="s">
        <v>71</v>
      </c>
      <c r="O676">
        <v>20</v>
      </c>
      <c r="P676" t="s">
        <v>105</v>
      </c>
      <c r="Q676">
        <v>1921</v>
      </c>
      <c r="R676">
        <v>2000</v>
      </c>
      <c r="S676" t="s">
        <v>152</v>
      </c>
      <c r="T676" t="s">
        <v>62</v>
      </c>
      <c r="U676" t="s">
        <v>52</v>
      </c>
      <c r="V676" t="s">
        <v>39</v>
      </c>
      <c r="W676" t="s">
        <v>52</v>
      </c>
      <c r="X676">
        <v>2023</v>
      </c>
      <c r="Y676" t="s">
        <v>82</v>
      </c>
      <c r="Z676" t="s">
        <v>83</v>
      </c>
    </row>
    <row r="677" spans="1:26">
      <c r="A677" t="s">
        <v>1547</v>
      </c>
      <c r="B677" t="s">
        <v>116</v>
      </c>
      <c r="C677" t="s">
        <v>76</v>
      </c>
      <c r="D677" t="s">
        <v>77</v>
      </c>
      <c r="E677" t="s">
        <v>363</v>
      </c>
      <c r="F677" t="s">
        <v>68</v>
      </c>
      <c r="G677" t="s">
        <v>32</v>
      </c>
      <c r="H677">
        <v>5.8</v>
      </c>
      <c r="I677">
        <v>0.5</v>
      </c>
      <c r="J677" t="s">
        <v>144</v>
      </c>
      <c r="K677" t="s">
        <v>1548</v>
      </c>
      <c r="L677" t="s">
        <v>98</v>
      </c>
      <c r="M677" t="s">
        <v>323</v>
      </c>
      <c r="N677" t="s">
        <v>71</v>
      </c>
      <c r="O677">
        <v>24</v>
      </c>
      <c r="P677" t="s">
        <v>112</v>
      </c>
      <c r="Q677">
        <v>4174</v>
      </c>
      <c r="R677">
        <v>0</v>
      </c>
      <c r="S677" t="s">
        <v>152</v>
      </c>
      <c r="T677" t="s">
        <v>51</v>
      </c>
      <c r="U677" t="s">
        <v>39</v>
      </c>
      <c r="V677" t="s">
        <v>39</v>
      </c>
      <c r="W677" t="s">
        <v>52</v>
      </c>
      <c r="X677">
        <v>2023</v>
      </c>
      <c r="Y677" t="s">
        <v>312</v>
      </c>
      <c r="Z677" t="s">
        <v>83</v>
      </c>
    </row>
    <row r="678" spans="1:26">
      <c r="A678" t="s">
        <v>1549</v>
      </c>
      <c r="B678" t="s">
        <v>116</v>
      </c>
      <c r="C678" t="s">
        <v>102</v>
      </c>
      <c r="D678" t="s">
        <v>85</v>
      </c>
      <c r="E678" t="s">
        <v>86</v>
      </c>
      <c r="F678" t="s">
        <v>68</v>
      </c>
      <c r="G678" t="s">
        <v>32</v>
      </c>
      <c r="H678">
        <v>10.1</v>
      </c>
      <c r="I678">
        <v>11.4</v>
      </c>
      <c r="J678" t="s">
        <v>156</v>
      </c>
      <c r="K678" t="s">
        <v>1550</v>
      </c>
      <c r="L678" t="s">
        <v>48</v>
      </c>
      <c r="M678" t="s">
        <v>1551</v>
      </c>
      <c r="N678" t="s">
        <v>61</v>
      </c>
      <c r="O678">
        <v>91</v>
      </c>
      <c r="P678" t="s">
        <v>2265</v>
      </c>
      <c r="Q678">
        <v>0</v>
      </c>
      <c r="R678">
        <v>0</v>
      </c>
      <c r="S678" t="s">
        <v>2265</v>
      </c>
      <c r="T678" t="s">
        <v>136</v>
      </c>
      <c r="U678" t="s">
        <v>52</v>
      </c>
      <c r="V678" t="s">
        <v>52</v>
      </c>
      <c r="W678" t="s">
        <v>52</v>
      </c>
      <c r="X678">
        <v>2024</v>
      </c>
      <c r="Y678" t="s">
        <v>211</v>
      </c>
      <c r="Z678" t="s">
        <v>41</v>
      </c>
    </row>
    <row r="679" spans="1:26">
      <c r="A679" t="s">
        <v>1552</v>
      </c>
      <c r="B679" t="s">
        <v>108</v>
      </c>
      <c r="C679" t="s">
        <v>67</v>
      </c>
      <c r="D679" t="s">
        <v>29</v>
      </c>
      <c r="E679" t="s">
        <v>244</v>
      </c>
      <c r="F679" t="s">
        <v>57</v>
      </c>
      <c r="G679" t="s">
        <v>58</v>
      </c>
      <c r="H679">
        <v>2.2000000000000002</v>
      </c>
      <c r="I679">
        <v>30.4</v>
      </c>
      <c r="J679" t="s">
        <v>20</v>
      </c>
      <c r="K679" t="s">
        <v>704</v>
      </c>
      <c r="L679" t="s">
        <v>140</v>
      </c>
      <c r="M679" t="s">
        <v>1553</v>
      </c>
      <c r="N679" t="s">
        <v>171</v>
      </c>
      <c r="O679">
        <v>167</v>
      </c>
      <c r="P679" t="s">
        <v>2265</v>
      </c>
      <c r="Q679">
        <v>0</v>
      </c>
      <c r="R679">
        <v>0</v>
      </c>
      <c r="S679" t="s">
        <v>2265</v>
      </c>
      <c r="T679" t="s">
        <v>81</v>
      </c>
      <c r="U679" t="s">
        <v>52</v>
      </c>
      <c r="V679" t="s">
        <v>52</v>
      </c>
      <c r="W679" t="s">
        <v>52</v>
      </c>
      <c r="X679">
        <v>2024</v>
      </c>
      <c r="Y679" t="s">
        <v>153</v>
      </c>
      <c r="Z679" t="s">
        <v>54</v>
      </c>
    </row>
    <row r="680" spans="1:26">
      <c r="A680" t="s">
        <v>1554</v>
      </c>
      <c r="B680" t="s">
        <v>93</v>
      </c>
      <c r="C680" t="s">
        <v>173</v>
      </c>
      <c r="D680" t="s">
        <v>77</v>
      </c>
      <c r="E680" t="s">
        <v>363</v>
      </c>
      <c r="F680" t="s">
        <v>109</v>
      </c>
      <c r="G680" t="s">
        <v>58</v>
      </c>
      <c r="H680">
        <v>7.1</v>
      </c>
      <c r="I680">
        <v>11.8</v>
      </c>
      <c r="J680" t="s">
        <v>20</v>
      </c>
      <c r="K680" t="s">
        <v>189</v>
      </c>
      <c r="L680" t="s">
        <v>60</v>
      </c>
      <c r="M680" t="s">
        <v>849</v>
      </c>
      <c r="N680" t="s">
        <v>37</v>
      </c>
      <c r="O680">
        <v>93</v>
      </c>
      <c r="P680" t="s">
        <v>2265</v>
      </c>
      <c r="Q680">
        <v>0</v>
      </c>
      <c r="R680">
        <v>0</v>
      </c>
      <c r="S680" t="s">
        <v>2265</v>
      </c>
      <c r="T680" t="s">
        <v>38</v>
      </c>
      <c r="U680" t="s">
        <v>39</v>
      </c>
      <c r="V680" t="s">
        <v>52</v>
      </c>
      <c r="W680" t="s">
        <v>52</v>
      </c>
      <c r="X680">
        <v>2024</v>
      </c>
      <c r="Y680" t="s">
        <v>153</v>
      </c>
      <c r="Z680" t="s">
        <v>54</v>
      </c>
    </row>
    <row r="681" spans="1:26">
      <c r="A681" t="s">
        <v>1555</v>
      </c>
      <c r="B681" t="s">
        <v>108</v>
      </c>
      <c r="C681" t="s">
        <v>121</v>
      </c>
      <c r="D681" t="s">
        <v>85</v>
      </c>
      <c r="E681" t="s">
        <v>174</v>
      </c>
      <c r="F681" t="s">
        <v>149</v>
      </c>
      <c r="G681" t="s">
        <v>58</v>
      </c>
      <c r="H681">
        <v>0.5</v>
      </c>
      <c r="I681">
        <v>25.3</v>
      </c>
      <c r="J681" t="s">
        <v>144</v>
      </c>
      <c r="K681" t="s">
        <v>1556</v>
      </c>
      <c r="L681" t="s">
        <v>98</v>
      </c>
      <c r="M681" t="s">
        <v>1557</v>
      </c>
      <c r="N681" t="s">
        <v>71</v>
      </c>
      <c r="O681">
        <v>71</v>
      </c>
      <c r="P681" t="s">
        <v>105</v>
      </c>
      <c r="Q681">
        <v>2843</v>
      </c>
      <c r="R681">
        <v>5000</v>
      </c>
      <c r="S681" t="s">
        <v>73</v>
      </c>
      <c r="T681" t="s">
        <v>38</v>
      </c>
      <c r="U681" t="s">
        <v>39</v>
      </c>
      <c r="V681" t="s">
        <v>39</v>
      </c>
      <c r="W681" t="s">
        <v>52</v>
      </c>
      <c r="X681">
        <v>2023</v>
      </c>
      <c r="Y681" t="s">
        <v>153</v>
      </c>
      <c r="Z681" t="s">
        <v>54</v>
      </c>
    </row>
    <row r="682" spans="1:26">
      <c r="A682" t="s">
        <v>1558</v>
      </c>
      <c r="B682" t="s">
        <v>116</v>
      </c>
      <c r="C682" t="s">
        <v>173</v>
      </c>
      <c r="D682" t="s">
        <v>77</v>
      </c>
      <c r="E682" t="s">
        <v>216</v>
      </c>
      <c r="F682" t="s">
        <v>124</v>
      </c>
      <c r="G682" t="s">
        <v>58</v>
      </c>
      <c r="H682">
        <v>7.7</v>
      </c>
      <c r="I682">
        <v>2.7</v>
      </c>
      <c r="J682" t="s">
        <v>33</v>
      </c>
      <c r="K682" t="s">
        <v>549</v>
      </c>
      <c r="L682" t="s">
        <v>98</v>
      </c>
      <c r="M682" t="s">
        <v>304</v>
      </c>
      <c r="N682" t="s">
        <v>71</v>
      </c>
      <c r="O682">
        <v>108</v>
      </c>
      <c r="P682" t="s">
        <v>72</v>
      </c>
      <c r="Q682">
        <v>3459</v>
      </c>
      <c r="R682">
        <v>500</v>
      </c>
      <c r="S682" t="s">
        <v>113</v>
      </c>
      <c r="T682" t="s">
        <v>62</v>
      </c>
      <c r="U682" t="s">
        <v>39</v>
      </c>
      <c r="V682" t="s">
        <v>52</v>
      </c>
      <c r="W682" t="s">
        <v>39</v>
      </c>
      <c r="X682">
        <v>2022</v>
      </c>
      <c r="Y682" t="s">
        <v>153</v>
      </c>
      <c r="Z682" t="s">
        <v>54</v>
      </c>
    </row>
    <row r="683" spans="1:26">
      <c r="A683" t="s">
        <v>1559</v>
      </c>
      <c r="B683" t="s">
        <v>108</v>
      </c>
      <c r="C683" t="s">
        <v>76</v>
      </c>
      <c r="D683" t="s">
        <v>85</v>
      </c>
      <c r="E683" t="s">
        <v>86</v>
      </c>
      <c r="F683" t="s">
        <v>160</v>
      </c>
      <c r="G683" t="s">
        <v>58</v>
      </c>
      <c r="H683">
        <v>8.8000000000000007</v>
      </c>
      <c r="I683">
        <v>3.4</v>
      </c>
      <c r="J683" t="s">
        <v>156</v>
      </c>
      <c r="K683" t="s">
        <v>682</v>
      </c>
      <c r="L683" t="s">
        <v>140</v>
      </c>
      <c r="M683" t="s">
        <v>1560</v>
      </c>
      <c r="N683" t="s">
        <v>37</v>
      </c>
      <c r="O683">
        <v>17</v>
      </c>
      <c r="P683" t="s">
        <v>2265</v>
      </c>
      <c r="Q683">
        <v>0</v>
      </c>
      <c r="R683">
        <v>0</v>
      </c>
      <c r="S683" t="s">
        <v>2265</v>
      </c>
      <c r="T683" t="s">
        <v>136</v>
      </c>
      <c r="U683" t="s">
        <v>39</v>
      </c>
      <c r="V683" t="s">
        <v>52</v>
      </c>
      <c r="W683" t="s">
        <v>39</v>
      </c>
      <c r="X683">
        <v>2022</v>
      </c>
      <c r="Y683" t="s">
        <v>53</v>
      </c>
      <c r="Z683" t="s">
        <v>54</v>
      </c>
    </row>
    <row r="684" spans="1:26">
      <c r="A684" t="s">
        <v>1561</v>
      </c>
      <c r="B684" t="s">
        <v>116</v>
      </c>
      <c r="C684" t="s">
        <v>121</v>
      </c>
      <c r="D684" t="s">
        <v>29</v>
      </c>
      <c r="E684" t="s">
        <v>56</v>
      </c>
      <c r="F684" t="s">
        <v>95</v>
      </c>
      <c r="G684" t="s">
        <v>58</v>
      </c>
      <c r="H684">
        <v>5.6</v>
      </c>
      <c r="I684">
        <v>29.3</v>
      </c>
      <c r="J684" t="s">
        <v>33</v>
      </c>
      <c r="K684" t="s">
        <v>1562</v>
      </c>
      <c r="L684" t="s">
        <v>48</v>
      </c>
      <c r="M684" t="s">
        <v>298</v>
      </c>
      <c r="N684" t="s">
        <v>171</v>
      </c>
      <c r="O684">
        <v>31</v>
      </c>
      <c r="P684" t="s">
        <v>2265</v>
      </c>
      <c r="Q684">
        <v>0</v>
      </c>
      <c r="R684">
        <v>0</v>
      </c>
      <c r="S684" t="s">
        <v>2265</v>
      </c>
      <c r="T684" t="s">
        <v>38</v>
      </c>
      <c r="U684" t="s">
        <v>39</v>
      </c>
      <c r="V684" t="s">
        <v>52</v>
      </c>
      <c r="W684" t="s">
        <v>39</v>
      </c>
      <c r="X684">
        <v>2023</v>
      </c>
      <c r="Y684" t="s">
        <v>63</v>
      </c>
      <c r="Z684" t="s">
        <v>64</v>
      </c>
    </row>
    <row r="685" spans="1:26">
      <c r="A685" t="s">
        <v>1563</v>
      </c>
      <c r="B685" t="s">
        <v>43</v>
      </c>
      <c r="C685" t="s">
        <v>173</v>
      </c>
      <c r="D685" t="s">
        <v>77</v>
      </c>
      <c r="E685" t="s">
        <v>220</v>
      </c>
      <c r="F685" t="s">
        <v>124</v>
      </c>
      <c r="G685" t="s">
        <v>58</v>
      </c>
      <c r="H685">
        <v>5.6</v>
      </c>
      <c r="I685">
        <v>30.8</v>
      </c>
      <c r="J685" t="s">
        <v>33</v>
      </c>
      <c r="K685" t="s">
        <v>193</v>
      </c>
      <c r="L685" t="s">
        <v>35</v>
      </c>
      <c r="M685" t="s">
        <v>543</v>
      </c>
      <c r="N685" t="s">
        <v>171</v>
      </c>
      <c r="O685">
        <v>164</v>
      </c>
      <c r="P685" t="s">
        <v>2265</v>
      </c>
      <c r="Q685">
        <v>0</v>
      </c>
      <c r="R685">
        <v>0</v>
      </c>
      <c r="S685" t="s">
        <v>2265</v>
      </c>
      <c r="T685" t="s">
        <v>136</v>
      </c>
      <c r="U685" t="s">
        <v>39</v>
      </c>
      <c r="V685" t="s">
        <v>39</v>
      </c>
      <c r="W685" t="s">
        <v>52</v>
      </c>
      <c r="X685">
        <v>2023</v>
      </c>
      <c r="Y685" t="s">
        <v>312</v>
      </c>
      <c r="Z685" t="s">
        <v>83</v>
      </c>
    </row>
    <row r="686" spans="1:26">
      <c r="A686" t="s">
        <v>1564</v>
      </c>
      <c r="B686" t="s">
        <v>93</v>
      </c>
      <c r="C686" t="s">
        <v>173</v>
      </c>
      <c r="D686" t="s">
        <v>77</v>
      </c>
      <c r="E686" t="s">
        <v>260</v>
      </c>
      <c r="F686" t="s">
        <v>149</v>
      </c>
      <c r="G686" t="s">
        <v>32</v>
      </c>
      <c r="H686">
        <v>10.6</v>
      </c>
      <c r="I686">
        <v>6.6</v>
      </c>
      <c r="J686" t="s">
        <v>33</v>
      </c>
      <c r="K686" t="s">
        <v>80</v>
      </c>
      <c r="L686" t="s">
        <v>126</v>
      </c>
      <c r="M686" t="s">
        <v>189</v>
      </c>
      <c r="N686" t="s">
        <v>37</v>
      </c>
      <c r="O686">
        <v>58</v>
      </c>
      <c r="P686" t="s">
        <v>2265</v>
      </c>
      <c r="Q686">
        <v>0</v>
      </c>
      <c r="R686">
        <v>500</v>
      </c>
      <c r="S686" t="s">
        <v>2265</v>
      </c>
      <c r="T686" t="s">
        <v>51</v>
      </c>
      <c r="U686" t="s">
        <v>39</v>
      </c>
      <c r="V686" t="s">
        <v>52</v>
      </c>
      <c r="W686" t="s">
        <v>52</v>
      </c>
      <c r="X686">
        <v>2024</v>
      </c>
      <c r="Y686" t="s">
        <v>74</v>
      </c>
      <c r="Z686" t="s">
        <v>54</v>
      </c>
    </row>
    <row r="687" spans="1:26">
      <c r="A687" t="s">
        <v>1565</v>
      </c>
      <c r="B687" t="s">
        <v>93</v>
      </c>
      <c r="C687" t="s">
        <v>102</v>
      </c>
      <c r="D687" t="s">
        <v>77</v>
      </c>
      <c r="E687" t="s">
        <v>220</v>
      </c>
      <c r="F687" t="s">
        <v>46</v>
      </c>
      <c r="G687" t="s">
        <v>32</v>
      </c>
      <c r="H687">
        <v>4.2</v>
      </c>
      <c r="I687">
        <v>28.5</v>
      </c>
      <c r="J687" t="s">
        <v>33</v>
      </c>
      <c r="K687" t="s">
        <v>702</v>
      </c>
      <c r="L687" t="s">
        <v>140</v>
      </c>
      <c r="M687" t="s">
        <v>1566</v>
      </c>
      <c r="N687" t="s">
        <v>37</v>
      </c>
      <c r="O687">
        <v>40</v>
      </c>
      <c r="P687" t="s">
        <v>2265</v>
      </c>
      <c r="Q687">
        <v>0</v>
      </c>
      <c r="R687">
        <v>1000</v>
      </c>
      <c r="S687" t="s">
        <v>2265</v>
      </c>
      <c r="T687" t="s">
        <v>81</v>
      </c>
      <c r="U687" t="s">
        <v>39</v>
      </c>
      <c r="V687" t="s">
        <v>39</v>
      </c>
      <c r="W687" t="s">
        <v>52</v>
      </c>
      <c r="X687">
        <v>2024</v>
      </c>
      <c r="Y687" t="s">
        <v>82</v>
      </c>
      <c r="Z687" t="s">
        <v>83</v>
      </c>
    </row>
    <row r="688" spans="1:26">
      <c r="A688" t="s">
        <v>1567</v>
      </c>
      <c r="B688" t="s">
        <v>27</v>
      </c>
      <c r="C688" t="s">
        <v>44</v>
      </c>
      <c r="D688" t="s">
        <v>29</v>
      </c>
      <c r="E688" t="s">
        <v>30</v>
      </c>
      <c r="F688" t="s">
        <v>31</v>
      </c>
      <c r="G688" t="s">
        <v>58</v>
      </c>
      <c r="H688">
        <v>5.7</v>
      </c>
      <c r="I688">
        <v>11.6</v>
      </c>
      <c r="J688" t="s">
        <v>33</v>
      </c>
      <c r="K688" t="s">
        <v>1393</v>
      </c>
      <c r="L688" t="s">
        <v>98</v>
      </c>
      <c r="M688" t="s">
        <v>394</v>
      </c>
      <c r="N688" t="s">
        <v>71</v>
      </c>
      <c r="O688">
        <v>133</v>
      </c>
      <c r="P688" t="s">
        <v>230</v>
      </c>
      <c r="Q688">
        <v>3446</v>
      </c>
      <c r="R688">
        <v>0</v>
      </c>
      <c r="S688" t="s">
        <v>152</v>
      </c>
      <c r="T688" t="s">
        <v>38</v>
      </c>
      <c r="U688" t="s">
        <v>39</v>
      </c>
      <c r="V688" t="s">
        <v>52</v>
      </c>
      <c r="W688" t="s">
        <v>52</v>
      </c>
      <c r="X688">
        <v>2022</v>
      </c>
      <c r="Y688" t="s">
        <v>211</v>
      </c>
      <c r="Z688" t="s">
        <v>41</v>
      </c>
    </row>
    <row r="689" spans="1:26">
      <c r="A689" t="s">
        <v>1568</v>
      </c>
      <c r="B689" t="s">
        <v>43</v>
      </c>
      <c r="C689" t="s">
        <v>76</v>
      </c>
      <c r="D689" t="s">
        <v>122</v>
      </c>
      <c r="E689" t="s">
        <v>155</v>
      </c>
      <c r="F689" t="s">
        <v>149</v>
      </c>
      <c r="G689" t="s">
        <v>32</v>
      </c>
      <c r="H689">
        <v>3.7</v>
      </c>
      <c r="I689">
        <v>16.600000000000001</v>
      </c>
      <c r="J689" t="s">
        <v>20</v>
      </c>
      <c r="K689" t="s">
        <v>1265</v>
      </c>
      <c r="L689" t="s">
        <v>140</v>
      </c>
      <c r="M689" t="s">
        <v>1569</v>
      </c>
      <c r="N689" t="s">
        <v>171</v>
      </c>
      <c r="O689">
        <v>48</v>
      </c>
      <c r="P689" t="s">
        <v>2265</v>
      </c>
      <c r="Q689">
        <v>0</v>
      </c>
      <c r="R689">
        <v>0</v>
      </c>
      <c r="S689" t="s">
        <v>2265</v>
      </c>
      <c r="T689" t="s">
        <v>136</v>
      </c>
      <c r="U689" t="s">
        <v>52</v>
      </c>
      <c r="V689" t="s">
        <v>52</v>
      </c>
      <c r="W689" t="s">
        <v>52</v>
      </c>
      <c r="X689">
        <v>2022</v>
      </c>
      <c r="Y689" t="s">
        <v>40</v>
      </c>
      <c r="Z689" t="s">
        <v>41</v>
      </c>
    </row>
    <row r="690" spans="1:26">
      <c r="A690" t="s">
        <v>1570</v>
      </c>
      <c r="B690" t="s">
        <v>116</v>
      </c>
      <c r="C690" t="s">
        <v>102</v>
      </c>
      <c r="D690" t="s">
        <v>29</v>
      </c>
      <c r="E690" t="s">
        <v>94</v>
      </c>
      <c r="F690" t="s">
        <v>109</v>
      </c>
      <c r="G690" t="s">
        <v>58</v>
      </c>
      <c r="H690">
        <v>5.8</v>
      </c>
      <c r="I690">
        <v>14.3</v>
      </c>
      <c r="J690" t="s">
        <v>144</v>
      </c>
      <c r="K690" t="s">
        <v>118</v>
      </c>
      <c r="L690" t="s">
        <v>126</v>
      </c>
      <c r="M690" t="s">
        <v>336</v>
      </c>
      <c r="N690" t="s">
        <v>171</v>
      </c>
      <c r="O690">
        <v>154</v>
      </c>
      <c r="P690" t="s">
        <v>2265</v>
      </c>
      <c r="Q690">
        <v>0</v>
      </c>
      <c r="R690">
        <v>0</v>
      </c>
      <c r="S690" t="s">
        <v>2265</v>
      </c>
      <c r="T690" t="s">
        <v>51</v>
      </c>
      <c r="U690" t="s">
        <v>52</v>
      </c>
      <c r="V690" t="s">
        <v>52</v>
      </c>
      <c r="W690" t="s">
        <v>39</v>
      </c>
      <c r="X690">
        <v>2024</v>
      </c>
      <c r="Y690" t="s">
        <v>82</v>
      </c>
      <c r="Z690" t="s">
        <v>83</v>
      </c>
    </row>
    <row r="691" spans="1:26">
      <c r="A691" t="s">
        <v>1571</v>
      </c>
      <c r="B691" t="s">
        <v>116</v>
      </c>
      <c r="C691" t="s">
        <v>28</v>
      </c>
      <c r="D691" t="s">
        <v>77</v>
      </c>
      <c r="E691" t="s">
        <v>216</v>
      </c>
      <c r="F691" t="s">
        <v>160</v>
      </c>
      <c r="G691" t="s">
        <v>58</v>
      </c>
      <c r="H691">
        <v>1.6</v>
      </c>
      <c r="I691">
        <v>12</v>
      </c>
      <c r="J691" t="s">
        <v>96</v>
      </c>
      <c r="K691" t="s">
        <v>1572</v>
      </c>
      <c r="L691" t="s">
        <v>60</v>
      </c>
      <c r="M691" t="s">
        <v>1573</v>
      </c>
      <c r="N691" t="s">
        <v>37</v>
      </c>
      <c r="O691">
        <v>153</v>
      </c>
      <c r="P691" t="s">
        <v>2265</v>
      </c>
      <c r="Q691">
        <v>0</v>
      </c>
      <c r="R691">
        <v>0</v>
      </c>
      <c r="S691" t="s">
        <v>2265</v>
      </c>
      <c r="T691" t="s">
        <v>136</v>
      </c>
      <c r="U691" t="s">
        <v>52</v>
      </c>
      <c r="V691" t="s">
        <v>39</v>
      </c>
      <c r="W691" t="s">
        <v>52</v>
      </c>
      <c r="X691">
        <v>2023</v>
      </c>
      <c r="Y691" t="s">
        <v>114</v>
      </c>
      <c r="Z691" t="s">
        <v>41</v>
      </c>
    </row>
    <row r="692" spans="1:26">
      <c r="A692" t="s">
        <v>1574</v>
      </c>
      <c r="B692" t="s">
        <v>43</v>
      </c>
      <c r="C692" t="s">
        <v>44</v>
      </c>
      <c r="D692" t="s">
        <v>77</v>
      </c>
      <c r="E692" t="s">
        <v>216</v>
      </c>
      <c r="F692" t="s">
        <v>95</v>
      </c>
      <c r="G692" t="s">
        <v>58</v>
      </c>
      <c r="H692">
        <v>3.8</v>
      </c>
      <c r="I692">
        <v>6.9</v>
      </c>
      <c r="J692" t="s">
        <v>33</v>
      </c>
      <c r="K692" t="s">
        <v>678</v>
      </c>
      <c r="L692" t="s">
        <v>98</v>
      </c>
      <c r="M692" t="s">
        <v>1575</v>
      </c>
      <c r="N692" t="s">
        <v>61</v>
      </c>
      <c r="O692">
        <v>45</v>
      </c>
      <c r="P692" t="s">
        <v>2265</v>
      </c>
      <c r="Q692">
        <v>0</v>
      </c>
      <c r="R692">
        <v>0</v>
      </c>
      <c r="S692" t="s">
        <v>2265</v>
      </c>
      <c r="T692" t="s">
        <v>62</v>
      </c>
      <c r="U692" t="s">
        <v>39</v>
      </c>
      <c r="V692" t="s">
        <v>39</v>
      </c>
      <c r="W692" t="s">
        <v>52</v>
      </c>
      <c r="X692">
        <v>2023</v>
      </c>
      <c r="Y692" t="s">
        <v>82</v>
      </c>
      <c r="Z692" t="s">
        <v>83</v>
      </c>
    </row>
    <row r="693" spans="1:26">
      <c r="A693" t="s">
        <v>1576</v>
      </c>
      <c r="B693" t="s">
        <v>66</v>
      </c>
      <c r="C693" t="s">
        <v>44</v>
      </c>
      <c r="D693" t="s">
        <v>77</v>
      </c>
      <c r="E693" t="s">
        <v>260</v>
      </c>
      <c r="F693" t="s">
        <v>149</v>
      </c>
      <c r="G693" t="s">
        <v>58</v>
      </c>
      <c r="H693">
        <v>8.4</v>
      </c>
      <c r="I693">
        <v>32</v>
      </c>
      <c r="J693" t="s">
        <v>96</v>
      </c>
      <c r="K693" t="s">
        <v>603</v>
      </c>
      <c r="L693" t="s">
        <v>35</v>
      </c>
      <c r="M693" t="s">
        <v>1577</v>
      </c>
      <c r="N693" t="s">
        <v>100</v>
      </c>
      <c r="O693">
        <v>121</v>
      </c>
      <c r="P693" t="s">
        <v>2265</v>
      </c>
      <c r="Q693">
        <v>0</v>
      </c>
      <c r="R693">
        <v>0</v>
      </c>
      <c r="S693" t="s">
        <v>2265</v>
      </c>
      <c r="T693" t="s">
        <v>136</v>
      </c>
      <c r="U693" t="s">
        <v>39</v>
      </c>
      <c r="V693" t="s">
        <v>52</v>
      </c>
      <c r="W693" t="s">
        <v>52</v>
      </c>
      <c r="X693">
        <v>2022</v>
      </c>
      <c r="Y693" t="s">
        <v>40</v>
      </c>
      <c r="Z693" t="s">
        <v>41</v>
      </c>
    </row>
    <row r="694" spans="1:26">
      <c r="A694" t="s">
        <v>1578</v>
      </c>
      <c r="B694" t="s">
        <v>93</v>
      </c>
      <c r="C694" t="s">
        <v>121</v>
      </c>
      <c r="D694" t="s">
        <v>85</v>
      </c>
      <c r="E694" t="s">
        <v>402</v>
      </c>
      <c r="F694" t="s">
        <v>31</v>
      </c>
      <c r="G694" t="s">
        <v>58</v>
      </c>
      <c r="H694">
        <v>7.2</v>
      </c>
      <c r="I694">
        <v>18.899999999999999</v>
      </c>
      <c r="J694" t="s">
        <v>33</v>
      </c>
      <c r="K694" t="s">
        <v>812</v>
      </c>
      <c r="L694" t="s">
        <v>140</v>
      </c>
      <c r="M694" t="s">
        <v>1579</v>
      </c>
      <c r="N694" t="s">
        <v>100</v>
      </c>
      <c r="O694">
        <v>173</v>
      </c>
      <c r="P694" t="s">
        <v>2265</v>
      </c>
      <c r="Q694">
        <v>0</v>
      </c>
      <c r="R694">
        <v>0</v>
      </c>
      <c r="S694" t="s">
        <v>2265</v>
      </c>
      <c r="T694" t="s">
        <v>81</v>
      </c>
      <c r="U694" t="s">
        <v>39</v>
      </c>
      <c r="V694" t="s">
        <v>52</v>
      </c>
      <c r="W694" t="s">
        <v>52</v>
      </c>
      <c r="X694">
        <v>2023</v>
      </c>
      <c r="Y694" t="s">
        <v>211</v>
      </c>
      <c r="Z694" t="s">
        <v>41</v>
      </c>
    </row>
    <row r="695" spans="1:26">
      <c r="A695" t="s">
        <v>1580</v>
      </c>
      <c r="B695" t="s">
        <v>43</v>
      </c>
      <c r="C695" t="s">
        <v>121</v>
      </c>
      <c r="D695" t="s">
        <v>122</v>
      </c>
      <c r="E695" t="s">
        <v>202</v>
      </c>
      <c r="F695" t="s">
        <v>124</v>
      </c>
      <c r="G695" t="s">
        <v>58</v>
      </c>
      <c r="H695">
        <v>11</v>
      </c>
      <c r="I695">
        <v>22.8</v>
      </c>
      <c r="J695" t="s">
        <v>33</v>
      </c>
      <c r="K695" t="s">
        <v>1278</v>
      </c>
      <c r="L695" t="s">
        <v>60</v>
      </c>
      <c r="M695" t="s">
        <v>1498</v>
      </c>
      <c r="N695" t="s">
        <v>100</v>
      </c>
      <c r="O695">
        <v>157</v>
      </c>
      <c r="P695" t="s">
        <v>2265</v>
      </c>
      <c r="Q695">
        <v>0</v>
      </c>
      <c r="R695">
        <v>0</v>
      </c>
      <c r="S695" t="s">
        <v>2265</v>
      </c>
      <c r="T695" t="s">
        <v>136</v>
      </c>
      <c r="U695" t="s">
        <v>39</v>
      </c>
      <c r="V695" t="s">
        <v>52</v>
      </c>
      <c r="W695" t="s">
        <v>52</v>
      </c>
      <c r="X695">
        <v>2022</v>
      </c>
      <c r="Y695" t="s">
        <v>106</v>
      </c>
      <c r="Z695" t="s">
        <v>83</v>
      </c>
    </row>
    <row r="696" spans="1:26">
      <c r="A696" t="s">
        <v>1581</v>
      </c>
      <c r="B696" t="s">
        <v>116</v>
      </c>
      <c r="C696" t="s">
        <v>173</v>
      </c>
      <c r="D696" t="s">
        <v>77</v>
      </c>
      <c r="E696" t="s">
        <v>94</v>
      </c>
      <c r="F696" t="s">
        <v>57</v>
      </c>
      <c r="G696" t="s">
        <v>58</v>
      </c>
      <c r="H696">
        <v>4.7</v>
      </c>
      <c r="I696">
        <v>28.8</v>
      </c>
      <c r="J696" t="s">
        <v>33</v>
      </c>
      <c r="K696" t="s">
        <v>1582</v>
      </c>
      <c r="L696" t="s">
        <v>126</v>
      </c>
      <c r="M696" t="s">
        <v>1025</v>
      </c>
      <c r="N696" t="s">
        <v>61</v>
      </c>
      <c r="O696">
        <v>73</v>
      </c>
      <c r="P696" t="s">
        <v>2265</v>
      </c>
      <c r="Q696">
        <v>0</v>
      </c>
      <c r="R696">
        <v>0</v>
      </c>
      <c r="S696" t="s">
        <v>2265</v>
      </c>
      <c r="T696" t="s">
        <v>62</v>
      </c>
      <c r="U696" t="s">
        <v>39</v>
      </c>
      <c r="V696" t="s">
        <v>52</v>
      </c>
      <c r="W696" t="s">
        <v>39</v>
      </c>
      <c r="X696">
        <v>2022</v>
      </c>
      <c r="Y696" t="s">
        <v>128</v>
      </c>
      <c r="Z696" t="s">
        <v>64</v>
      </c>
    </row>
    <row r="697" spans="1:26">
      <c r="A697" t="s">
        <v>1583</v>
      </c>
      <c r="B697" t="s">
        <v>108</v>
      </c>
      <c r="C697" t="s">
        <v>76</v>
      </c>
      <c r="D697" t="s">
        <v>122</v>
      </c>
      <c r="E697" t="s">
        <v>123</v>
      </c>
      <c r="F697" t="s">
        <v>149</v>
      </c>
      <c r="G697" t="s">
        <v>32</v>
      </c>
      <c r="H697">
        <v>6.9</v>
      </c>
      <c r="I697">
        <v>13.7</v>
      </c>
      <c r="J697" t="s">
        <v>144</v>
      </c>
      <c r="K697" t="s">
        <v>302</v>
      </c>
      <c r="L697" t="s">
        <v>35</v>
      </c>
      <c r="M697" t="s">
        <v>1075</v>
      </c>
      <c r="N697" t="s">
        <v>71</v>
      </c>
      <c r="O697">
        <v>4</v>
      </c>
      <c r="P697" t="s">
        <v>72</v>
      </c>
      <c r="Q697">
        <v>1806</v>
      </c>
      <c r="R697">
        <v>0</v>
      </c>
      <c r="S697" t="s">
        <v>90</v>
      </c>
      <c r="T697" t="s">
        <v>51</v>
      </c>
      <c r="U697" t="s">
        <v>39</v>
      </c>
      <c r="V697" t="s">
        <v>52</v>
      </c>
      <c r="W697" t="s">
        <v>52</v>
      </c>
      <c r="X697">
        <v>2024</v>
      </c>
      <c r="Y697" t="s">
        <v>74</v>
      </c>
      <c r="Z697" t="s">
        <v>54</v>
      </c>
    </row>
    <row r="698" spans="1:26">
      <c r="A698" t="s">
        <v>1584</v>
      </c>
      <c r="B698" t="s">
        <v>108</v>
      </c>
      <c r="C698" t="s">
        <v>44</v>
      </c>
      <c r="D698" t="s">
        <v>29</v>
      </c>
      <c r="E698" t="s">
        <v>56</v>
      </c>
      <c r="F698" t="s">
        <v>95</v>
      </c>
      <c r="G698" t="s">
        <v>58</v>
      </c>
      <c r="H698">
        <v>1.4</v>
      </c>
      <c r="I698">
        <v>6.7</v>
      </c>
      <c r="J698" t="s">
        <v>33</v>
      </c>
      <c r="K698" t="s">
        <v>1283</v>
      </c>
      <c r="L698" t="s">
        <v>60</v>
      </c>
      <c r="M698" t="s">
        <v>1064</v>
      </c>
      <c r="N698" t="s">
        <v>171</v>
      </c>
      <c r="O698">
        <v>86</v>
      </c>
      <c r="P698" t="s">
        <v>2265</v>
      </c>
      <c r="Q698">
        <v>0</v>
      </c>
      <c r="R698">
        <v>0</v>
      </c>
      <c r="S698" t="s">
        <v>2265</v>
      </c>
      <c r="T698" t="s">
        <v>62</v>
      </c>
      <c r="U698" t="s">
        <v>39</v>
      </c>
      <c r="V698" t="s">
        <v>39</v>
      </c>
      <c r="W698" t="s">
        <v>52</v>
      </c>
      <c r="X698">
        <v>2024</v>
      </c>
      <c r="Y698" t="s">
        <v>211</v>
      </c>
      <c r="Z698" t="s">
        <v>41</v>
      </c>
    </row>
    <row r="699" spans="1:26">
      <c r="A699" t="s">
        <v>1585</v>
      </c>
      <c r="B699" t="s">
        <v>27</v>
      </c>
      <c r="C699" t="s">
        <v>67</v>
      </c>
      <c r="D699" t="s">
        <v>85</v>
      </c>
      <c r="E699" t="s">
        <v>174</v>
      </c>
      <c r="F699" t="s">
        <v>160</v>
      </c>
      <c r="G699" t="s">
        <v>32</v>
      </c>
      <c r="H699">
        <v>5.9</v>
      </c>
      <c r="I699">
        <v>13.2</v>
      </c>
      <c r="J699" t="s">
        <v>33</v>
      </c>
      <c r="K699" t="s">
        <v>1586</v>
      </c>
      <c r="L699" t="s">
        <v>98</v>
      </c>
      <c r="M699" t="s">
        <v>534</v>
      </c>
      <c r="N699" t="s">
        <v>71</v>
      </c>
      <c r="O699">
        <v>73</v>
      </c>
      <c r="P699" t="s">
        <v>72</v>
      </c>
      <c r="Q699">
        <v>997</v>
      </c>
      <c r="R699">
        <v>5000</v>
      </c>
      <c r="S699" t="s">
        <v>73</v>
      </c>
      <c r="T699" t="s">
        <v>62</v>
      </c>
      <c r="U699" t="s">
        <v>39</v>
      </c>
      <c r="V699" t="s">
        <v>39</v>
      </c>
      <c r="W699" t="s">
        <v>52</v>
      </c>
      <c r="X699">
        <v>2024</v>
      </c>
      <c r="Y699" t="s">
        <v>211</v>
      </c>
      <c r="Z699" t="s">
        <v>41</v>
      </c>
    </row>
    <row r="700" spans="1:26">
      <c r="A700" t="s">
        <v>1587</v>
      </c>
      <c r="B700" t="s">
        <v>116</v>
      </c>
      <c r="C700" t="s">
        <v>67</v>
      </c>
      <c r="D700" t="s">
        <v>122</v>
      </c>
      <c r="E700" t="s">
        <v>130</v>
      </c>
      <c r="F700" t="s">
        <v>238</v>
      </c>
      <c r="G700" t="s">
        <v>32</v>
      </c>
      <c r="H700">
        <v>3.6</v>
      </c>
      <c r="I700">
        <v>1.7</v>
      </c>
      <c r="J700" t="s">
        <v>33</v>
      </c>
      <c r="K700" t="s">
        <v>1489</v>
      </c>
      <c r="L700" t="s">
        <v>48</v>
      </c>
      <c r="M700" t="s">
        <v>739</v>
      </c>
      <c r="N700" t="s">
        <v>171</v>
      </c>
      <c r="O700">
        <v>115</v>
      </c>
      <c r="P700" t="s">
        <v>2265</v>
      </c>
      <c r="Q700">
        <v>0</v>
      </c>
      <c r="R700">
        <v>0</v>
      </c>
      <c r="S700" t="s">
        <v>2265</v>
      </c>
      <c r="T700" t="s">
        <v>38</v>
      </c>
      <c r="U700" t="s">
        <v>39</v>
      </c>
      <c r="V700" t="s">
        <v>39</v>
      </c>
      <c r="W700" t="s">
        <v>52</v>
      </c>
      <c r="X700">
        <v>2022</v>
      </c>
      <c r="Y700" t="s">
        <v>82</v>
      </c>
      <c r="Z700" t="s">
        <v>83</v>
      </c>
    </row>
    <row r="701" spans="1:26">
      <c r="A701" t="s">
        <v>1588</v>
      </c>
      <c r="B701" t="s">
        <v>66</v>
      </c>
      <c r="C701" t="s">
        <v>121</v>
      </c>
      <c r="D701" t="s">
        <v>77</v>
      </c>
      <c r="E701" t="s">
        <v>94</v>
      </c>
      <c r="F701" t="s">
        <v>238</v>
      </c>
      <c r="G701" t="s">
        <v>58</v>
      </c>
      <c r="H701">
        <v>11</v>
      </c>
      <c r="I701">
        <v>31.7</v>
      </c>
      <c r="J701" t="s">
        <v>33</v>
      </c>
      <c r="K701" t="s">
        <v>1411</v>
      </c>
      <c r="L701" t="s">
        <v>60</v>
      </c>
      <c r="M701" t="s">
        <v>1589</v>
      </c>
      <c r="N701" t="s">
        <v>50</v>
      </c>
      <c r="O701">
        <v>89</v>
      </c>
      <c r="P701" t="s">
        <v>2265</v>
      </c>
      <c r="Q701">
        <v>0</v>
      </c>
      <c r="R701">
        <v>0</v>
      </c>
      <c r="S701" t="s">
        <v>2265</v>
      </c>
      <c r="T701" t="s">
        <v>38</v>
      </c>
      <c r="U701" t="s">
        <v>39</v>
      </c>
      <c r="V701" t="s">
        <v>52</v>
      </c>
      <c r="W701" t="s">
        <v>39</v>
      </c>
      <c r="X701">
        <v>2023</v>
      </c>
      <c r="Y701" t="s">
        <v>40</v>
      </c>
      <c r="Z701" t="s">
        <v>41</v>
      </c>
    </row>
    <row r="702" spans="1:26">
      <c r="A702" t="s">
        <v>1590</v>
      </c>
      <c r="B702" t="s">
        <v>66</v>
      </c>
      <c r="C702" t="s">
        <v>173</v>
      </c>
      <c r="D702" t="s">
        <v>85</v>
      </c>
      <c r="E702" t="s">
        <v>138</v>
      </c>
      <c r="F702" t="s">
        <v>95</v>
      </c>
      <c r="G702" t="s">
        <v>32</v>
      </c>
      <c r="H702">
        <v>5.0999999999999996</v>
      </c>
      <c r="I702">
        <v>1.3</v>
      </c>
      <c r="J702" t="s">
        <v>33</v>
      </c>
      <c r="K702" t="s">
        <v>1591</v>
      </c>
      <c r="L702" t="s">
        <v>48</v>
      </c>
      <c r="M702" t="s">
        <v>1540</v>
      </c>
      <c r="N702" t="s">
        <v>61</v>
      </c>
      <c r="O702">
        <v>87</v>
      </c>
      <c r="P702" t="s">
        <v>2265</v>
      </c>
      <c r="Q702">
        <v>0</v>
      </c>
      <c r="R702">
        <v>0</v>
      </c>
      <c r="S702" t="s">
        <v>2265</v>
      </c>
      <c r="T702" t="s">
        <v>62</v>
      </c>
      <c r="U702" t="s">
        <v>39</v>
      </c>
      <c r="V702" t="s">
        <v>52</v>
      </c>
      <c r="W702" t="s">
        <v>52</v>
      </c>
      <c r="X702">
        <v>2022</v>
      </c>
      <c r="Y702" t="s">
        <v>153</v>
      </c>
      <c r="Z702" t="s">
        <v>54</v>
      </c>
    </row>
    <row r="703" spans="1:26">
      <c r="A703" t="s">
        <v>1592</v>
      </c>
      <c r="B703" t="s">
        <v>43</v>
      </c>
      <c r="C703" t="s">
        <v>173</v>
      </c>
      <c r="D703" t="s">
        <v>77</v>
      </c>
      <c r="E703" t="s">
        <v>260</v>
      </c>
      <c r="F703" t="s">
        <v>109</v>
      </c>
      <c r="G703" t="s">
        <v>58</v>
      </c>
      <c r="H703">
        <v>3.4</v>
      </c>
      <c r="I703">
        <v>24.3</v>
      </c>
      <c r="J703" t="s">
        <v>20</v>
      </c>
      <c r="K703" t="s">
        <v>276</v>
      </c>
      <c r="L703" t="s">
        <v>126</v>
      </c>
      <c r="M703" t="s">
        <v>534</v>
      </c>
      <c r="N703" t="s">
        <v>100</v>
      </c>
      <c r="O703">
        <v>56</v>
      </c>
      <c r="P703" t="s">
        <v>2265</v>
      </c>
      <c r="Q703">
        <v>0</v>
      </c>
      <c r="R703">
        <v>0</v>
      </c>
      <c r="S703" t="s">
        <v>2265</v>
      </c>
      <c r="T703" t="s">
        <v>81</v>
      </c>
      <c r="U703" t="s">
        <v>39</v>
      </c>
      <c r="V703" t="s">
        <v>52</v>
      </c>
      <c r="W703" t="s">
        <v>39</v>
      </c>
      <c r="X703">
        <v>2024</v>
      </c>
      <c r="Y703" t="s">
        <v>211</v>
      </c>
      <c r="Z703" t="s">
        <v>41</v>
      </c>
    </row>
    <row r="704" spans="1:26">
      <c r="A704" t="s">
        <v>1593</v>
      </c>
      <c r="B704" t="s">
        <v>66</v>
      </c>
      <c r="C704" t="s">
        <v>67</v>
      </c>
      <c r="D704" t="s">
        <v>85</v>
      </c>
      <c r="E704" t="s">
        <v>208</v>
      </c>
      <c r="F704" t="s">
        <v>95</v>
      </c>
      <c r="G704" t="s">
        <v>58</v>
      </c>
      <c r="H704">
        <v>5.6</v>
      </c>
      <c r="I704">
        <v>27.8</v>
      </c>
      <c r="J704" t="s">
        <v>33</v>
      </c>
      <c r="K704" t="s">
        <v>341</v>
      </c>
      <c r="L704" t="s">
        <v>35</v>
      </c>
      <c r="M704" t="s">
        <v>1466</v>
      </c>
      <c r="N704" t="s">
        <v>71</v>
      </c>
      <c r="O704">
        <v>107</v>
      </c>
      <c r="P704" t="s">
        <v>72</v>
      </c>
      <c r="Q704">
        <v>1625</v>
      </c>
      <c r="R704">
        <v>0</v>
      </c>
      <c r="S704" t="s">
        <v>113</v>
      </c>
      <c r="T704" t="s">
        <v>38</v>
      </c>
      <c r="U704" t="s">
        <v>39</v>
      </c>
      <c r="V704" t="s">
        <v>52</v>
      </c>
      <c r="W704" t="s">
        <v>52</v>
      </c>
      <c r="X704">
        <v>2022</v>
      </c>
      <c r="Y704" t="s">
        <v>82</v>
      </c>
      <c r="Z704" t="s">
        <v>83</v>
      </c>
    </row>
    <row r="705" spans="1:26">
      <c r="A705" t="s">
        <v>1594</v>
      </c>
      <c r="B705" t="s">
        <v>93</v>
      </c>
      <c r="C705" t="s">
        <v>67</v>
      </c>
      <c r="D705" t="s">
        <v>77</v>
      </c>
      <c r="E705" t="s">
        <v>94</v>
      </c>
      <c r="F705" t="s">
        <v>46</v>
      </c>
      <c r="G705" t="s">
        <v>32</v>
      </c>
      <c r="H705">
        <v>5.8</v>
      </c>
      <c r="I705">
        <v>19.7</v>
      </c>
      <c r="J705" t="s">
        <v>96</v>
      </c>
      <c r="K705" t="s">
        <v>806</v>
      </c>
      <c r="L705" t="s">
        <v>126</v>
      </c>
      <c r="M705" t="s">
        <v>1192</v>
      </c>
      <c r="N705" t="s">
        <v>100</v>
      </c>
      <c r="O705">
        <v>139</v>
      </c>
      <c r="P705" t="s">
        <v>2265</v>
      </c>
      <c r="Q705">
        <v>0</v>
      </c>
      <c r="R705">
        <v>0</v>
      </c>
      <c r="S705" t="s">
        <v>2265</v>
      </c>
      <c r="T705" t="s">
        <v>81</v>
      </c>
      <c r="U705" t="s">
        <v>52</v>
      </c>
      <c r="V705" t="s">
        <v>52</v>
      </c>
      <c r="W705" t="s">
        <v>52</v>
      </c>
      <c r="X705">
        <v>2023</v>
      </c>
      <c r="Y705" t="s">
        <v>128</v>
      </c>
      <c r="Z705" t="s">
        <v>64</v>
      </c>
    </row>
    <row r="706" spans="1:26">
      <c r="A706" t="s">
        <v>1595</v>
      </c>
      <c r="B706" t="s">
        <v>116</v>
      </c>
      <c r="C706" t="s">
        <v>121</v>
      </c>
      <c r="D706" t="s">
        <v>77</v>
      </c>
      <c r="E706" t="s">
        <v>216</v>
      </c>
      <c r="F706" t="s">
        <v>109</v>
      </c>
      <c r="G706" t="s">
        <v>32</v>
      </c>
      <c r="H706">
        <v>0.5</v>
      </c>
      <c r="I706">
        <v>29.9</v>
      </c>
      <c r="J706" t="s">
        <v>33</v>
      </c>
      <c r="K706" t="s">
        <v>1596</v>
      </c>
      <c r="L706" t="s">
        <v>48</v>
      </c>
      <c r="M706" t="s">
        <v>1597</v>
      </c>
      <c r="N706" t="s">
        <v>100</v>
      </c>
      <c r="O706">
        <v>66</v>
      </c>
      <c r="P706" t="s">
        <v>2265</v>
      </c>
      <c r="Q706">
        <v>0</v>
      </c>
      <c r="R706">
        <v>0</v>
      </c>
      <c r="S706" t="s">
        <v>2265</v>
      </c>
      <c r="T706" t="s">
        <v>62</v>
      </c>
      <c r="U706" t="s">
        <v>39</v>
      </c>
      <c r="V706" t="s">
        <v>52</v>
      </c>
      <c r="W706" t="s">
        <v>52</v>
      </c>
      <c r="X706">
        <v>2024</v>
      </c>
      <c r="Y706" t="s">
        <v>312</v>
      </c>
      <c r="Z706" t="s">
        <v>83</v>
      </c>
    </row>
    <row r="707" spans="1:26">
      <c r="A707" t="s">
        <v>1598</v>
      </c>
      <c r="B707" t="s">
        <v>108</v>
      </c>
      <c r="C707" t="s">
        <v>76</v>
      </c>
      <c r="D707" t="s">
        <v>122</v>
      </c>
      <c r="E707" t="s">
        <v>130</v>
      </c>
      <c r="F707" t="s">
        <v>160</v>
      </c>
      <c r="G707" t="s">
        <v>32</v>
      </c>
      <c r="H707">
        <v>7.5</v>
      </c>
      <c r="I707">
        <v>20</v>
      </c>
      <c r="J707" t="s">
        <v>33</v>
      </c>
      <c r="K707" t="s">
        <v>209</v>
      </c>
      <c r="L707" t="s">
        <v>126</v>
      </c>
      <c r="M707" t="s">
        <v>439</v>
      </c>
      <c r="N707" t="s">
        <v>71</v>
      </c>
      <c r="O707">
        <v>8</v>
      </c>
      <c r="P707" t="s">
        <v>105</v>
      </c>
      <c r="Q707">
        <v>2895</v>
      </c>
      <c r="R707">
        <v>0</v>
      </c>
      <c r="S707" t="s">
        <v>113</v>
      </c>
      <c r="T707" t="s">
        <v>136</v>
      </c>
      <c r="U707" t="s">
        <v>39</v>
      </c>
      <c r="V707" t="s">
        <v>39</v>
      </c>
      <c r="W707" t="s">
        <v>52</v>
      </c>
      <c r="X707">
        <v>2024</v>
      </c>
      <c r="Y707" t="s">
        <v>211</v>
      </c>
      <c r="Z707" t="s">
        <v>41</v>
      </c>
    </row>
    <row r="708" spans="1:26">
      <c r="A708" t="s">
        <v>1599</v>
      </c>
      <c r="B708" t="s">
        <v>66</v>
      </c>
      <c r="C708" t="s">
        <v>44</v>
      </c>
      <c r="D708" t="s">
        <v>77</v>
      </c>
      <c r="E708" t="s">
        <v>363</v>
      </c>
      <c r="F708" t="s">
        <v>109</v>
      </c>
      <c r="G708" t="s">
        <v>32</v>
      </c>
      <c r="H708">
        <v>2.2000000000000002</v>
      </c>
      <c r="I708">
        <v>6</v>
      </c>
      <c r="J708" t="s">
        <v>33</v>
      </c>
      <c r="K708" t="s">
        <v>1141</v>
      </c>
      <c r="L708" t="s">
        <v>48</v>
      </c>
      <c r="M708" t="s">
        <v>1600</v>
      </c>
      <c r="N708" t="s">
        <v>61</v>
      </c>
      <c r="O708">
        <v>147</v>
      </c>
      <c r="P708" t="s">
        <v>2265</v>
      </c>
      <c r="Q708">
        <v>0</v>
      </c>
      <c r="R708">
        <v>0</v>
      </c>
      <c r="S708" t="s">
        <v>2265</v>
      </c>
      <c r="T708" t="s">
        <v>136</v>
      </c>
      <c r="U708" t="s">
        <v>39</v>
      </c>
      <c r="V708" t="s">
        <v>52</v>
      </c>
      <c r="W708" t="s">
        <v>52</v>
      </c>
      <c r="X708">
        <v>2022</v>
      </c>
      <c r="Y708" t="s">
        <v>211</v>
      </c>
      <c r="Z708" t="s">
        <v>41</v>
      </c>
    </row>
    <row r="709" spans="1:26">
      <c r="A709" t="s">
        <v>1601</v>
      </c>
      <c r="B709" t="s">
        <v>108</v>
      </c>
      <c r="C709" t="s">
        <v>173</v>
      </c>
      <c r="D709" t="s">
        <v>29</v>
      </c>
      <c r="E709" t="s">
        <v>94</v>
      </c>
      <c r="F709" t="s">
        <v>149</v>
      </c>
      <c r="G709" t="s">
        <v>58</v>
      </c>
      <c r="H709">
        <v>2.8</v>
      </c>
      <c r="I709">
        <v>14.4</v>
      </c>
      <c r="J709" t="s">
        <v>96</v>
      </c>
      <c r="K709" t="s">
        <v>1602</v>
      </c>
      <c r="L709" t="s">
        <v>48</v>
      </c>
      <c r="M709" t="s">
        <v>1231</v>
      </c>
      <c r="N709" t="s">
        <v>100</v>
      </c>
      <c r="O709">
        <v>129</v>
      </c>
      <c r="P709" t="s">
        <v>2265</v>
      </c>
      <c r="Q709">
        <v>0</v>
      </c>
      <c r="R709">
        <v>0</v>
      </c>
      <c r="S709" t="s">
        <v>2265</v>
      </c>
      <c r="T709" t="s">
        <v>136</v>
      </c>
      <c r="U709" t="s">
        <v>39</v>
      </c>
      <c r="V709" t="s">
        <v>39</v>
      </c>
      <c r="W709" t="s">
        <v>52</v>
      </c>
      <c r="X709">
        <v>2023</v>
      </c>
      <c r="Y709" t="s">
        <v>91</v>
      </c>
      <c r="Z709" t="s">
        <v>64</v>
      </c>
    </row>
    <row r="710" spans="1:26">
      <c r="A710" t="s">
        <v>1603</v>
      </c>
      <c r="B710" t="s">
        <v>66</v>
      </c>
      <c r="C710" t="s">
        <v>76</v>
      </c>
      <c r="D710" t="s">
        <v>77</v>
      </c>
      <c r="E710" t="s">
        <v>216</v>
      </c>
      <c r="F710" t="s">
        <v>31</v>
      </c>
      <c r="G710" t="s">
        <v>58</v>
      </c>
      <c r="H710">
        <v>11.7</v>
      </c>
      <c r="I710">
        <v>14.7</v>
      </c>
      <c r="J710" t="s">
        <v>33</v>
      </c>
      <c r="K710" t="s">
        <v>204</v>
      </c>
      <c r="L710" t="s">
        <v>140</v>
      </c>
      <c r="M710" t="s">
        <v>1137</v>
      </c>
      <c r="N710" t="s">
        <v>100</v>
      </c>
      <c r="O710">
        <v>99</v>
      </c>
      <c r="P710" t="s">
        <v>2265</v>
      </c>
      <c r="Q710">
        <v>0</v>
      </c>
      <c r="R710">
        <v>0</v>
      </c>
      <c r="S710" t="s">
        <v>2265</v>
      </c>
      <c r="T710" t="s">
        <v>62</v>
      </c>
      <c r="U710" t="s">
        <v>39</v>
      </c>
      <c r="V710" t="s">
        <v>52</v>
      </c>
      <c r="W710" t="s">
        <v>52</v>
      </c>
      <c r="X710">
        <v>2022</v>
      </c>
      <c r="Y710" t="s">
        <v>40</v>
      </c>
      <c r="Z710" t="s">
        <v>41</v>
      </c>
    </row>
    <row r="711" spans="1:26">
      <c r="A711" t="s">
        <v>1604</v>
      </c>
      <c r="B711" t="s">
        <v>27</v>
      </c>
      <c r="C711" t="s">
        <v>44</v>
      </c>
      <c r="D711" t="s">
        <v>77</v>
      </c>
      <c r="E711" t="s">
        <v>260</v>
      </c>
      <c r="F711" t="s">
        <v>109</v>
      </c>
      <c r="G711" t="s">
        <v>58</v>
      </c>
      <c r="H711">
        <v>11.4</v>
      </c>
      <c r="I711">
        <v>1.3</v>
      </c>
      <c r="J711" t="s">
        <v>96</v>
      </c>
      <c r="K711" t="s">
        <v>637</v>
      </c>
      <c r="L711" t="s">
        <v>48</v>
      </c>
      <c r="M711" t="s">
        <v>1605</v>
      </c>
      <c r="N711" t="s">
        <v>50</v>
      </c>
      <c r="O711">
        <v>43</v>
      </c>
      <c r="P711" t="s">
        <v>2265</v>
      </c>
      <c r="Q711">
        <v>0</v>
      </c>
      <c r="R711">
        <v>0</v>
      </c>
      <c r="S711" t="s">
        <v>2265</v>
      </c>
      <c r="T711" t="s">
        <v>136</v>
      </c>
      <c r="U711" t="s">
        <v>39</v>
      </c>
      <c r="V711" t="s">
        <v>52</v>
      </c>
      <c r="W711" t="s">
        <v>52</v>
      </c>
      <c r="X711">
        <v>2023</v>
      </c>
      <c r="Y711" t="s">
        <v>53</v>
      </c>
      <c r="Z711" t="s">
        <v>54</v>
      </c>
    </row>
    <row r="712" spans="1:26">
      <c r="A712" t="s">
        <v>1606</v>
      </c>
      <c r="B712" t="s">
        <v>108</v>
      </c>
      <c r="C712" t="s">
        <v>121</v>
      </c>
      <c r="D712" t="s">
        <v>77</v>
      </c>
      <c r="E712" t="s">
        <v>78</v>
      </c>
      <c r="F712" t="s">
        <v>124</v>
      </c>
      <c r="G712" t="s">
        <v>32</v>
      </c>
      <c r="H712">
        <v>10.7</v>
      </c>
      <c r="I712">
        <v>7.6</v>
      </c>
      <c r="J712" t="s">
        <v>33</v>
      </c>
      <c r="K712" t="s">
        <v>984</v>
      </c>
      <c r="L712" t="s">
        <v>48</v>
      </c>
      <c r="M712" t="s">
        <v>817</v>
      </c>
      <c r="N712" t="s">
        <v>71</v>
      </c>
      <c r="O712">
        <v>83</v>
      </c>
      <c r="P712" t="s">
        <v>112</v>
      </c>
      <c r="Q712">
        <v>5400</v>
      </c>
      <c r="R712">
        <v>0</v>
      </c>
      <c r="S712" t="s">
        <v>73</v>
      </c>
      <c r="T712" t="s">
        <v>62</v>
      </c>
      <c r="U712" t="s">
        <v>39</v>
      </c>
      <c r="V712" t="s">
        <v>39</v>
      </c>
      <c r="W712" t="s">
        <v>52</v>
      </c>
      <c r="X712">
        <v>2023</v>
      </c>
      <c r="Y712" t="s">
        <v>82</v>
      </c>
      <c r="Z712" t="s">
        <v>83</v>
      </c>
    </row>
    <row r="713" spans="1:26">
      <c r="A713" t="s">
        <v>1607</v>
      </c>
      <c r="B713" t="s">
        <v>108</v>
      </c>
      <c r="C713" t="s">
        <v>28</v>
      </c>
      <c r="D713" t="s">
        <v>77</v>
      </c>
      <c r="E713" t="s">
        <v>143</v>
      </c>
      <c r="F713" t="s">
        <v>57</v>
      </c>
      <c r="G713" t="s">
        <v>32</v>
      </c>
      <c r="H713">
        <v>10.4</v>
      </c>
      <c r="I713">
        <v>34.799999999999997</v>
      </c>
      <c r="J713" t="s">
        <v>156</v>
      </c>
      <c r="K713" t="s">
        <v>1608</v>
      </c>
      <c r="L713" t="s">
        <v>140</v>
      </c>
      <c r="M713" t="s">
        <v>1609</v>
      </c>
      <c r="N713" t="s">
        <v>100</v>
      </c>
      <c r="O713">
        <v>9</v>
      </c>
      <c r="P713" t="s">
        <v>2265</v>
      </c>
      <c r="Q713">
        <v>0</v>
      </c>
      <c r="R713">
        <v>0</v>
      </c>
      <c r="S713" t="s">
        <v>2265</v>
      </c>
      <c r="T713" t="s">
        <v>38</v>
      </c>
      <c r="U713" t="s">
        <v>39</v>
      </c>
      <c r="V713" t="s">
        <v>52</v>
      </c>
      <c r="W713" t="s">
        <v>52</v>
      </c>
      <c r="X713">
        <v>2022</v>
      </c>
      <c r="Y713" t="s">
        <v>106</v>
      </c>
      <c r="Z713" t="s">
        <v>83</v>
      </c>
    </row>
    <row r="714" spans="1:26">
      <c r="A714" t="s">
        <v>1610</v>
      </c>
      <c r="B714" t="s">
        <v>66</v>
      </c>
      <c r="C714" t="s">
        <v>121</v>
      </c>
      <c r="D714" t="s">
        <v>77</v>
      </c>
      <c r="E714" t="s">
        <v>168</v>
      </c>
      <c r="F714" t="s">
        <v>57</v>
      </c>
      <c r="G714" t="s">
        <v>58</v>
      </c>
      <c r="H714">
        <v>4.9000000000000004</v>
      </c>
      <c r="I714">
        <v>32.5</v>
      </c>
      <c r="J714" t="s">
        <v>33</v>
      </c>
      <c r="K714" t="s">
        <v>321</v>
      </c>
      <c r="L714" t="s">
        <v>48</v>
      </c>
      <c r="M714" t="s">
        <v>689</v>
      </c>
      <c r="N714" t="s">
        <v>171</v>
      </c>
      <c r="O714">
        <v>11</v>
      </c>
      <c r="P714" t="s">
        <v>2265</v>
      </c>
      <c r="Q714">
        <v>0</v>
      </c>
      <c r="R714">
        <v>0</v>
      </c>
      <c r="S714" t="s">
        <v>2265</v>
      </c>
      <c r="T714" t="s">
        <v>51</v>
      </c>
      <c r="U714" t="s">
        <v>39</v>
      </c>
      <c r="V714" t="s">
        <v>52</v>
      </c>
      <c r="W714" t="s">
        <v>52</v>
      </c>
      <c r="X714">
        <v>2024</v>
      </c>
      <c r="Y714" t="s">
        <v>312</v>
      </c>
      <c r="Z714" t="s">
        <v>83</v>
      </c>
    </row>
    <row r="715" spans="1:26">
      <c r="A715" t="s">
        <v>1611</v>
      </c>
      <c r="B715" t="s">
        <v>66</v>
      </c>
      <c r="C715" t="s">
        <v>28</v>
      </c>
      <c r="D715" t="s">
        <v>122</v>
      </c>
      <c r="E715" t="s">
        <v>130</v>
      </c>
      <c r="F715" t="s">
        <v>149</v>
      </c>
      <c r="G715" t="s">
        <v>32</v>
      </c>
      <c r="H715">
        <v>2.6</v>
      </c>
      <c r="I715">
        <v>3.9</v>
      </c>
      <c r="J715" t="s">
        <v>96</v>
      </c>
      <c r="K715" t="s">
        <v>809</v>
      </c>
      <c r="L715" t="s">
        <v>48</v>
      </c>
      <c r="M715" t="s">
        <v>1191</v>
      </c>
      <c r="N715" t="s">
        <v>37</v>
      </c>
      <c r="O715">
        <v>37</v>
      </c>
      <c r="P715" t="s">
        <v>2265</v>
      </c>
      <c r="Q715">
        <v>0</v>
      </c>
      <c r="R715">
        <v>1000</v>
      </c>
      <c r="S715" t="s">
        <v>2265</v>
      </c>
      <c r="T715" t="s">
        <v>51</v>
      </c>
      <c r="U715" t="s">
        <v>39</v>
      </c>
      <c r="V715" t="s">
        <v>52</v>
      </c>
      <c r="W715" t="s">
        <v>52</v>
      </c>
      <c r="X715">
        <v>2023</v>
      </c>
      <c r="Y715" t="s">
        <v>128</v>
      </c>
      <c r="Z715" t="s">
        <v>64</v>
      </c>
    </row>
    <row r="716" spans="1:26">
      <c r="A716" t="s">
        <v>1612</v>
      </c>
      <c r="B716" t="s">
        <v>43</v>
      </c>
      <c r="C716" t="s">
        <v>173</v>
      </c>
      <c r="D716" t="s">
        <v>122</v>
      </c>
      <c r="E716" t="s">
        <v>130</v>
      </c>
      <c r="F716" t="s">
        <v>238</v>
      </c>
      <c r="G716" t="s">
        <v>58</v>
      </c>
      <c r="H716">
        <v>7.2</v>
      </c>
      <c r="I716">
        <v>26.8</v>
      </c>
      <c r="J716" t="s">
        <v>33</v>
      </c>
      <c r="K716" t="s">
        <v>1613</v>
      </c>
      <c r="L716" t="s">
        <v>140</v>
      </c>
      <c r="M716" t="s">
        <v>1614</v>
      </c>
      <c r="N716" t="s">
        <v>61</v>
      </c>
      <c r="O716">
        <v>146</v>
      </c>
      <c r="P716" t="s">
        <v>2265</v>
      </c>
      <c r="Q716">
        <v>0</v>
      </c>
      <c r="R716">
        <v>0</v>
      </c>
      <c r="S716" t="s">
        <v>2265</v>
      </c>
      <c r="T716" t="s">
        <v>51</v>
      </c>
      <c r="U716" t="s">
        <v>39</v>
      </c>
      <c r="V716" t="s">
        <v>52</v>
      </c>
      <c r="W716" t="s">
        <v>52</v>
      </c>
      <c r="X716">
        <v>2023</v>
      </c>
      <c r="Y716" t="s">
        <v>153</v>
      </c>
      <c r="Z716" t="s">
        <v>54</v>
      </c>
    </row>
    <row r="717" spans="1:26">
      <c r="A717" t="s">
        <v>1615</v>
      </c>
      <c r="B717" t="s">
        <v>43</v>
      </c>
      <c r="C717" t="s">
        <v>164</v>
      </c>
      <c r="D717" t="s">
        <v>77</v>
      </c>
      <c r="E717" t="s">
        <v>168</v>
      </c>
      <c r="F717" t="s">
        <v>31</v>
      </c>
      <c r="G717" t="s">
        <v>32</v>
      </c>
      <c r="H717">
        <v>1.9</v>
      </c>
      <c r="I717">
        <v>28.3</v>
      </c>
      <c r="J717" t="s">
        <v>96</v>
      </c>
      <c r="K717" t="s">
        <v>504</v>
      </c>
      <c r="L717" t="s">
        <v>126</v>
      </c>
      <c r="M717" t="s">
        <v>1616</v>
      </c>
      <c r="N717" t="s">
        <v>61</v>
      </c>
      <c r="O717">
        <v>113</v>
      </c>
      <c r="P717" t="s">
        <v>2265</v>
      </c>
      <c r="Q717">
        <v>0</v>
      </c>
      <c r="R717">
        <v>0</v>
      </c>
      <c r="S717" t="s">
        <v>2265</v>
      </c>
      <c r="T717" t="s">
        <v>51</v>
      </c>
      <c r="U717" t="s">
        <v>39</v>
      </c>
      <c r="V717" t="s">
        <v>39</v>
      </c>
      <c r="W717" t="s">
        <v>52</v>
      </c>
      <c r="X717">
        <v>2024</v>
      </c>
      <c r="Y717" t="s">
        <v>211</v>
      </c>
      <c r="Z717" t="s">
        <v>41</v>
      </c>
    </row>
    <row r="718" spans="1:26">
      <c r="A718" t="s">
        <v>1617</v>
      </c>
      <c r="B718" t="s">
        <v>27</v>
      </c>
      <c r="C718" t="s">
        <v>44</v>
      </c>
      <c r="D718" t="s">
        <v>77</v>
      </c>
      <c r="E718" t="s">
        <v>168</v>
      </c>
      <c r="F718" t="s">
        <v>149</v>
      </c>
      <c r="G718" t="s">
        <v>58</v>
      </c>
      <c r="H718">
        <v>8.6999999999999993</v>
      </c>
      <c r="I718">
        <v>26.2</v>
      </c>
      <c r="J718" t="s">
        <v>33</v>
      </c>
      <c r="K718" t="s">
        <v>1096</v>
      </c>
      <c r="L718" t="s">
        <v>98</v>
      </c>
      <c r="M718" t="s">
        <v>176</v>
      </c>
      <c r="N718" t="s">
        <v>71</v>
      </c>
      <c r="O718">
        <v>150</v>
      </c>
      <c r="P718" t="s">
        <v>89</v>
      </c>
      <c r="Q718">
        <v>5125</v>
      </c>
      <c r="R718">
        <v>0</v>
      </c>
      <c r="S718" t="s">
        <v>152</v>
      </c>
      <c r="T718" t="s">
        <v>62</v>
      </c>
      <c r="U718" t="s">
        <v>39</v>
      </c>
      <c r="V718" t="s">
        <v>52</v>
      </c>
      <c r="W718" t="s">
        <v>52</v>
      </c>
      <c r="X718">
        <v>2022</v>
      </c>
      <c r="Y718" t="s">
        <v>91</v>
      </c>
      <c r="Z718" t="s">
        <v>64</v>
      </c>
    </row>
    <row r="719" spans="1:26">
      <c r="A719" t="s">
        <v>1618</v>
      </c>
      <c r="B719" t="s">
        <v>93</v>
      </c>
      <c r="C719" t="s">
        <v>102</v>
      </c>
      <c r="D719" t="s">
        <v>77</v>
      </c>
      <c r="E719" t="s">
        <v>78</v>
      </c>
      <c r="F719" t="s">
        <v>160</v>
      </c>
      <c r="G719" t="s">
        <v>58</v>
      </c>
      <c r="H719">
        <v>0.3</v>
      </c>
      <c r="I719">
        <v>33.200000000000003</v>
      </c>
      <c r="J719" t="s">
        <v>33</v>
      </c>
      <c r="K719" t="s">
        <v>1619</v>
      </c>
      <c r="L719" t="s">
        <v>48</v>
      </c>
      <c r="M719" t="s">
        <v>1620</v>
      </c>
      <c r="N719" t="s">
        <v>100</v>
      </c>
      <c r="O719">
        <v>124</v>
      </c>
      <c r="P719" t="s">
        <v>2265</v>
      </c>
      <c r="Q719">
        <v>0</v>
      </c>
      <c r="R719">
        <v>0</v>
      </c>
      <c r="S719" t="s">
        <v>2265</v>
      </c>
      <c r="T719" t="s">
        <v>51</v>
      </c>
      <c r="U719" t="s">
        <v>39</v>
      </c>
      <c r="V719" t="s">
        <v>52</v>
      </c>
      <c r="W719" t="s">
        <v>52</v>
      </c>
      <c r="X719">
        <v>2022</v>
      </c>
      <c r="Y719" t="s">
        <v>63</v>
      </c>
      <c r="Z719" t="s">
        <v>64</v>
      </c>
    </row>
    <row r="720" spans="1:26">
      <c r="A720" t="s">
        <v>1621</v>
      </c>
      <c r="B720" t="s">
        <v>116</v>
      </c>
      <c r="C720" t="s">
        <v>44</v>
      </c>
      <c r="D720" t="s">
        <v>122</v>
      </c>
      <c r="E720" t="s">
        <v>130</v>
      </c>
      <c r="F720" t="s">
        <v>95</v>
      </c>
      <c r="G720" t="s">
        <v>32</v>
      </c>
      <c r="H720">
        <v>8.9</v>
      </c>
      <c r="I720">
        <v>13</v>
      </c>
      <c r="J720" t="s">
        <v>20</v>
      </c>
      <c r="K720" t="s">
        <v>1622</v>
      </c>
      <c r="L720" t="s">
        <v>35</v>
      </c>
      <c r="M720" t="s">
        <v>1616</v>
      </c>
      <c r="N720" t="s">
        <v>71</v>
      </c>
      <c r="O720">
        <v>146</v>
      </c>
      <c r="P720" t="s">
        <v>72</v>
      </c>
      <c r="Q720">
        <v>2646</v>
      </c>
      <c r="R720">
        <v>0</v>
      </c>
      <c r="S720" t="s">
        <v>73</v>
      </c>
      <c r="T720" t="s">
        <v>38</v>
      </c>
      <c r="U720" t="s">
        <v>52</v>
      </c>
      <c r="V720" t="s">
        <v>52</v>
      </c>
      <c r="W720" t="s">
        <v>52</v>
      </c>
      <c r="X720">
        <v>2024</v>
      </c>
      <c r="Y720" t="s">
        <v>40</v>
      </c>
      <c r="Z720" t="s">
        <v>41</v>
      </c>
    </row>
    <row r="721" spans="1:26">
      <c r="A721" t="s">
        <v>1623</v>
      </c>
      <c r="B721" t="s">
        <v>116</v>
      </c>
      <c r="C721" t="s">
        <v>173</v>
      </c>
      <c r="D721" t="s">
        <v>77</v>
      </c>
      <c r="E721" t="s">
        <v>168</v>
      </c>
      <c r="F721" t="s">
        <v>109</v>
      </c>
      <c r="G721" t="s">
        <v>32</v>
      </c>
      <c r="H721">
        <v>8.3000000000000007</v>
      </c>
      <c r="I721">
        <v>16.2</v>
      </c>
      <c r="J721" t="s">
        <v>33</v>
      </c>
      <c r="K721" t="s">
        <v>444</v>
      </c>
      <c r="L721" t="s">
        <v>98</v>
      </c>
      <c r="M721" t="s">
        <v>1325</v>
      </c>
      <c r="N721" t="s">
        <v>37</v>
      </c>
      <c r="O721">
        <v>177</v>
      </c>
      <c r="P721" t="s">
        <v>2265</v>
      </c>
      <c r="Q721">
        <v>0</v>
      </c>
      <c r="R721">
        <v>0</v>
      </c>
      <c r="S721" t="s">
        <v>2265</v>
      </c>
      <c r="T721" t="s">
        <v>81</v>
      </c>
      <c r="U721" t="s">
        <v>39</v>
      </c>
      <c r="V721" t="s">
        <v>39</v>
      </c>
      <c r="W721" t="s">
        <v>52</v>
      </c>
      <c r="X721">
        <v>2023</v>
      </c>
      <c r="Y721" t="s">
        <v>106</v>
      </c>
      <c r="Z721" t="s">
        <v>83</v>
      </c>
    </row>
    <row r="722" spans="1:26">
      <c r="A722" t="s">
        <v>1624</v>
      </c>
      <c r="B722" t="s">
        <v>116</v>
      </c>
      <c r="C722" t="s">
        <v>67</v>
      </c>
      <c r="D722" t="s">
        <v>77</v>
      </c>
      <c r="E722" t="s">
        <v>363</v>
      </c>
      <c r="F722" t="s">
        <v>95</v>
      </c>
      <c r="G722" t="s">
        <v>58</v>
      </c>
      <c r="H722">
        <v>1.3</v>
      </c>
      <c r="I722">
        <v>30.9</v>
      </c>
      <c r="J722" t="s">
        <v>144</v>
      </c>
      <c r="K722" t="s">
        <v>69</v>
      </c>
      <c r="L722" t="s">
        <v>35</v>
      </c>
      <c r="M722" t="s">
        <v>1625</v>
      </c>
      <c r="N722" t="s">
        <v>50</v>
      </c>
      <c r="O722">
        <v>63</v>
      </c>
      <c r="P722" t="s">
        <v>2265</v>
      </c>
      <c r="Q722">
        <v>0</v>
      </c>
      <c r="R722">
        <v>1000</v>
      </c>
      <c r="S722" t="s">
        <v>2265</v>
      </c>
      <c r="T722" t="s">
        <v>136</v>
      </c>
      <c r="U722" t="s">
        <v>39</v>
      </c>
      <c r="V722" t="s">
        <v>52</v>
      </c>
      <c r="W722" t="s">
        <v>52</v>
      </c>
      <c r="X722">
        <v>2023</v>
      </c>
      <c r="Y722" t="s">
        <v>74</v>
      </c>
      <c r="Z722" t="s">
        <v>54</v>
      </c>
    </row>
    <row r="723" spans="1:26">
      <c r="A723" t="s">
        <v>1626</v>
      </c>
      <c r="B723" t="s">
        <v>116</v>
      </c>
      <c r="C723" t="s">
        <v>121</v>
      </c>
      <c r="D723" t="s">
        <v>29</v>
      </c>
      <c r="E723" t="s">
        <v>244</v>
      </c>
      <c r="F723" t="s">
        <v>124</v>
      </c>
      <c r="G723" t="s">
        <v>32</v>
      </c>
      <c r="H723">
        <v>6.9</v>
      </c>
      <c r="I723">
        <v>20.6</v>
      </c>
      <c r="J723" t="s">
        <v>33</v>
      </c>
      <c r="K723" t="s">
        <v>1627</v>
      </c>
      <c r="L723" t="s">
        <v>60</v>
      </c>
      <c r="M723" t="s">
        <v>1311</v>
      </c>
      <c r="N723" t="s">
        <v>50</v>
      </c>
      <c r="O723">
        <v>154</v>
      </c>
      <c r="P723" t="s">
        <v>2265</v>
      </c>
      <c r="Q723">
        <v>0</v>
      </c>
      <c r="R723">
        <v>500</v>
      </c>
      <c r="S723" t="s">
        <v>2265</v>
      </c>
      <c r="T723" t="s">
        <v>136</v>
      </c>
      <c r="U723" t="s">
        <v>39</v>
      </c>
      <c r="V723" t="s">
        <v>52</v>
      </c>
      <c r="W723" t="s">
        <v>52</v>
      </c>
      <c r="X723">
        <v>2023</v>
      </c>
      <c r="Y723" t="s">
        <v>312</v>
      </c>
      <c r="Z723" t="s">
        <v>83</v>
      </c>
    </row>
    <row r="724" spans="1:26">
      <c r="A724" t="s">
        <v>1628</v>
      </c>
      <c r="B724" t="s">
        <v>27</v>
      </c>
      <c r="C724" t="s">
        <v>102</v>
      </c>
      <c r="D724" t="s">
        <v>122</v>
      </c>
      <c r="E724" t="s">
        <v>202</v>
      </c>
      <c r="F724" t="s">
        <v>46</v>
      </c>
      <c r="G724" t="s">
        <v>32</v>
      </c>
      <c r="H724">
        <v>11.4</v>
      </c>
      <c r="I724">
        <v>10.8</v>
      </c>
      <c r="J724" t="s">
        <v>156</v>
      </c>
      <c r="K724" t="s">
        <v>497</v>
      </c>
      <c r="L724" t="s">
        <v>140</v>
      </c>
      <c r="M724" t="s">
        <v>127</v>
      </c>
      <c r="N724" t="s">
        <v>61</v>
      </c>
      <c r="O724">
        <v>132</v>
      </c>
      <c r="P724" t="s">
        <v>2265</v>
      </c>
      <c r="Q724">
        <v>0</v>
      </c>
      <c r="R724">
        <v>0</v>
      </c>
      <c r="S724" t="s">
        <v>2265</v>
      </c>
      <c r="T724" t="s">
        <v>62</v>
      </c>
      <c r="U724" t="s">
        <v>39</v>
      </c>
      <c r="V724" t="s">
        <v>52</v>
      </c>
      <c r="W724" t="s">
        <v>52</v>
      </c>
      <c r="X724">
        <v>2024</v>
      </c>
      <c r="Y724" t="s">
        <v>114</v>
      </c>
      <c r="Z724" t="s">
        <v>41</v>
      </c>
    </row>
    <row r="725" spans="1:26">
      <c r="A725" t="s">
        <v>1629</v>
      </c>
      <c r="B725" t="s">
        <v>116</v>
      </c>
      <c r="C725" t="s">
        <v>44</v>
      </c>
      <c r="D725" t="s">
        <v>29</v>
      </c>
      <c r="E725" t="s">
        <v>195</v>
      </c>
      <c r="F725" t="s">
        <v>160</v>
      </c>
      <c r="G725" t="s">
        <v>58</v>
      </c>
      <c r="H725">
        <v>5.7</v>
      </c>
      <c r="I725">
        <v>6.1</v>
      </c>
      <c r="J725" t="s">
        <v>96</v>
      </c>
      <c r="K725" t="s">
        <v>1600</v>
      </c>
      <c r="L725" t="s">
        <v>126</v>
      </c>
      <c r="M725" t="s">
        <v>679</v>
      </c>
      <c r="N725" t="s">
        <v>71</v>
      </c>
      <c r="O725">
        <v>125</v>
      </c>
      <c r="P725" t="s">
        <v>72</v>
      </c>
      <c r="Q725">
        <v>2807</v>
      </c>
      <c r="R725">
        <v>1000</v>
      </c>
      <c r="S725" t="s">
        <v>113</v>
      </c>
      <c r="T725" t="s">
        <v>81</v>
      </c>
      <c r="U725" t="s">
        <v>39</v>
      </c>
      <c r="V725" t="s">
        <v>39</v>
      </c>
      <c r="W725" t="s">
        <v>52</v>
      </c>
      <c r="X725">
        <v>2023</v>
      </c>
      <c r="Y725" t="s">
        <v>106</v>
      </c>
      <c r="Z725" t="s">
        <v>83</v>
      </c>
    </row>
    <row r="726" spans="1:26">
      <c r="A726" t="s">
        <v>1630</v>
      </c>
      <c r="B726" t="s">
        <v>43</v>
      </c>
      <c r="C726" t="s">
        <v>164</v>
      </c>
      <c r="D726" t="s">
        <v>29</v>
      </c>
      <c r="E726" t="s">
        <v>244</v>
      </c>
      <c r="F726" t="s">
        <v>46</v>
      </c>
      <c r="G726" t="s">
        <v>58</v>
      </c>
      <c r="H726">
        <v>8.1999999999999993</v>
      </c>
      <c r="I726">
        <v>32.5</v>
      </c>
      <c r="J726" t="s">
        <v>33</v>
      </c>
      <c r="K726" t="s">
        <v>1039</v>
      </c>
      <c r="L726" t="s">
        <v>126</v>
      </c>
      <c r="M726" t="s">
        <v>918</v>
      </c>
      <c r="N726" t="s">
        <v>50</v>
      </c>
      <c r="O726">
        <v>82</v>
      </c>
      <c r="P726" t="s">
        <v>2265</v>
      </c>
      <c r="Q726">
        <v>0</v>
      </c>
      <c r="R726">
        <v>0</v>
      </c>
      <c r="S726" t="s">
        <v>2265</v>
      </c>
      <c r="T726" t="s">
        <v>81</v>
      </c>
      <c r="U726" t="s">
        <v>39</v>
      </c>
      <c r="V726" t="s">
        <v>52</v>
      </c>
      <c r="W726" t="s">
        <v>52</v>
      </c>
      <c r="X726">
        <v>2023</v>
      </c>
      <c r="Y726" t="s">
        <v>114</v>
      </c>
      <c r="Z726" t="s">
        <v>41</v>
      </c>
    </row>
    <row r="727" spans="1:26">
      <c r="A727" t="s">
        <v>1631</v>
      </c>
      <c r="B727" t="s">
        <v>93</v>
      </c>
      <c r="C727" t="s">
        <v>121</v>
      </c>
      <c r="D727" t="s">
        <v>122</v>
      </c>
      <c r="E727" t="s">
        <v>202</v>
      </c>
      <c r="F727" t="s">
        <v>160</v>
      </c>
      <c r="G727" t="s">
        <v>32</v>
      </c>
      <c r="H727">
        <v>9.4</v>
      </c>
      <c r="I727">
        <v>9.8000000000000007</v>
      </c>
      <c r="J727" t="s">
        <v>33</v>
      </c>
      <c r="K727" t="s">
        <v>432</v>
      </c>
      <c r="L727" t="s">
        <v>60</v>
      </c>
      <c r="M727" t="s">
        <v>127</v>
      </c>
      <c r="N727" t="s">
        <v>100</v>
      </c>
      <c r="O727">
        <v>168</v>
      </c>
      <c r="P727" t="s">
        <v>2265</v>
      </c>
      <c r="Q727">
        <v>0</v>
      </c>
      <c r="R727">
        <v>0</v>
      </c>
      <c r="S727" t="s">
        <v>2265</v>
      </c>
      <c r="T727" t="s">
        <v>51</v>
      </c>
      <c r="U727" t="s">
        <v>39</v>
      </c>
      <c r="V727" t="s">
        <v>52</v>
      </c>
      <c r="W727" t="s">
        <v>52</v>
      </c>
      <c r="X727">
        <v>2024</v>
      </c>
      <c r="Y727" t="s">
        <v>211</v>
      </c>
      <c r="Z727" t="s">
        <v>41</v>
      </c>
    </row>
    <row r="728" spans="1:26">
      <c r="A728" t="s">
        <v>1632</v>
      </c>
      <c r="B728" t="s">
        <v>108</v>
      </c>
      <c r="C728" t="s">
        <v>76</v>
      </c>
      <c r="D728" t="s">
        <v>77</v>
      </c>
      <c r="E728" t="s">
        <v>168</v>
      </c>
      <c r="F728" t="s">
        <v>57</v>
      </c>
      <c r="G728" t="s">
        <v>32</v>
      </c>
      <c r="H728">
        <v>9.1999999999999993</v>
      </c>
      <c r="I728">
        <v>0.7</v>
      </c>
      <c r="J728" t="s">
        <v>156</v>
      </c>
      <c r="K728" t="s">
        <v>1147</v>
      </c>
      <c r="L728" t="s">
        <v>48</v>
      </c>
      <c r="M728" t="s">
        <v>484</v>
      </c>
      <c r="N728" t="s">
        <v>100</v>
      </c>
      <c r="O728">
        <v>145</v>
      </c>
      <c r="P728" t="s">
        <v>2265</v>
      </c>
      <c r="Q728">
        <v>0</v>
      </c>
      <c r="R728">
        <v>0</v>
      </c>
      <c r="S728" t="s">
        <v>2265</v>
      </c>
      <c r="T728" t="s">
        <v>136</v>
      </c>
      <c r="U728" t="s">
        <v>39</v>
      </c>
      <c r="V728" t="s">
        <v>39</v>
      </c>
      <c r="W728" t="s">
        <v>52</v>
      </c>
      <c r="X728">
        <v>2024</v>
      </c>
      <c r="Y728" t="s">
        <v>53</v>
      </c>
      <c r="Z728" t="s">
        <v>54</v>
      </c>
    </row>
    <row r="729" spans="1:26">
      <c r="A729" t="s">
        <v>1633</v>
      </c>
      <c r="B729" t="s">
        <v>27</v>
      </c>
      <c r="C729" t="s">
        <v>102</v>
      </c>
      <c r="D729" t="s">
        <v>77</v>
      </c>
      <c r="E729" t="s">
        <v>168</v>
      </c>
      <c r="F729" t="s">
        <v>124</v>
      </c>
      <c r="G729" t="s">
        <v>32</v>
      </c>
      <c r="H729">
        <v>9.5</v>
      </c>
      <c r="I729">
        <v>11.7</v>
      </c>
      <c r="J729" t="s">
        <v>96</v>
      </c>
      <c r="K729" t="s">
        <v>1634</v>
      </c>
      <c r="L729" t="s">
        <v>60</v>
      </c>
      <c r="M729" t="s">
        <v>1111</v>
      </c>
      <c r="N729" t="s">
        <v>71</v>
      </c>
      <c r="O729">
        <v>96</v>
      </c>
      <c r="P729" t="s">
        <v>230</v>
      </c>
      <c r="Q729">
        <v>5636</v>
      </c>
      <c r="R729">
        <v>500</v>
      </c>
      <c r="S729" t="s">
        <v>73</v>
      </c>
      <c r="T729" t="s">
        <v>81</v>
      </c>
      <c r="U729" t="s">
        <v>39</v>
      </c>
      <c r="V729" t="s">
        <v>52</v>
      </c>
      <c r="W729" t="s">
        <v>52</v>
      </c>
      <c r="X729">
        <v>2023</v>
      </c>
      <c r="Y729" t="s">
        <v>211</v>
      </c>
      <c r="Z729" t="s">
        <v>41</v>
      </c>
    </row>
    <row r="730" spans="1:26">
      <c r="A730" t="s">
        <v>1635</v>
      </c>
      <c r="B730" t="s">
        <v>108</v>
      </c>
      <c r="C730" t="s">
        <v>102</v>
      </c>
      <c r="D730" t="s">
        <v>77</v>
      </c>
      <c r="E730" t="s">
        <v>78</v>
      </c>
      <c r="F730" t="s">
        <v>160</v>
      </c>
      <c r="G730" t="s">
        <v>32</v>
      </c>
      <c r="H730">
        <v>8.3000000000000007</v>
      </c>
      <c r="I730">
        <v>31.9</v>
      </c>
      <c r="J730" t="s">
        <v>33</v>
      </c>
      <c r="K730" t="s">
        <v>1294</v>
      </c>
      <c r="L730" t="s">
        <v>35</v>
      </c>
      <c r="M730" t="s">
        <v>430</v>
      </c>
      <c r="N730" t="s">
        <v>100</v>
      </c>
      <c r="O730">
        <v>169</v>
      </c>
      <c r="P730" t="s">
        <v>2265</v>
      </c>
      <c r="Q730">
        <v>0</v>
      </c>
      <c r="R730">
        <v>0</v>
      </c>
      <c r="S730" t="s">
        <v>2265</v>
      </c>
      <c r="T730" t="s">
        <v>38</v>
      </c>
      <c r="U730" t="s">
        <v>39</v>
      </c>
      <c r="V730" t="s">
        <v>52</v>
      </c>
      <c r="W730" t="s">
        <v>52</v>
      </c>
      <c r="X730">
        <v>2022</v>
      </c>
      <c r="Y730" t="s">
        <v>74</v>
      </c>
      <c r="Z730" t="s">
        <v>54</v>
      </c>
    </row>
    <row r="731" spans="1:26">
      <c r="A731" t="s">
        <v>1636</v>
      </c>
      <c r="B731" t="s">
        <v>43</v>
      </c>
      <c r="C731" t="s">
        <v>164</v>
      </c>
      <c r="D731" t="s">
        <v>77</v>
      </c>
      <c r="E731" t="s">
        <v>168</v>
      </c>
      <c r="F731" t="s">
        <v>31</v>
      </c>
      <c r="G731" t="s">
        <v>32</v>
      </c>
      <c r="H731">
        <v>11.7</v>
      </c>
      <c r="I731">
        <v>25.8</v>
      </c>
      <c r="J731" t="s">
        <v>20</v>
      </c>
      <c r="K731" t="s">
        <v>1129</v>
      </c>
      <c r="L731" t="s">
        <v>48</v>
      </c>
      <c r="M731" t="s">
        <v>672</v>
      </c>
      <c r="N731" t="s">
        <v>71</v>
      </c>
      <c r="O731">
        <v>121</v>
      </c>
      <c r="P731" t="s">
        <v>105</v>
      </c>
      <c r="Q731">
        <v>3606</v>
      </c>
      <c r="R731">
        <v>0</v>
      </c>
      <c r="S731" t="s">
        <v>73</v>
      </c>
      <c r="T731" t="s">
        <v>136</v>
      </c>
      <c r="U731" t="s">
        <v>39</v>
      </c>
      <c r="V731" t="s">
        <v>52</v>
      </c>
      <c r="W731" t="s">
        <v>52</v>
      </c>
      <c r="X731">
        <v>2022</v>
      </c>
      <c r="Y731" t="s">
        <v>211</v>
      </c>
      <c r="Z731" t="s">
        <v>41</v>
      </c>
    </row>
    <row r="732" spans="1:26">
      <c r="A732" t="s">
        <v>1637</v>
      </c>
      <c r="B732" t="s">
        <v>66</v>
      </c>
      <c r="C732" t="s">
        <v>67</v>
      </c>
      <c r="D732" t="s">
        <v>29</v>
      </c>
      <c r="E732" t="s">
        <v>244</v>
      </c>
      <c r="F732" t="s">
        <v>46</v>
      </c>
      <c r="G732" t="s">
        <v>32</v>
      </c>
      <c r="H732">
        <v>9.3000000000000007</v>
      </c>
      <c r="I732">
        <v>30.5</v>
      </c>
      <c r="J732" t="s">
        <v>156</v>
      </c>
      <c r="K732" t="s">
        <v>793</v>
      </c>
      <c r="L732" t="s">
        <v>48</v>
      </c>
      <c r="M732" t="s">
        <v>299</v>
      </c>
      <c r="N732" t="s">
        <v>71</v>
      </c>
      <c r="O732">
        <v>177</v>
      </c>
      <c r="P732" t="s">
        <v>89</v>
      </c>
      <c r="Q732">
        <v>2075</v>
      </c>
      <c r="R732">
        <v>5000</v>
      </c>
      <c r="S732" t="s">
        <v>152</v>
      </c>
      <c r="T732" t="s">
        <v>136</v>
      </c>
      <c r="U732" t="s">
        <v>39</v>
      </c>
      <c r="V732" t="s">
        <v>52</v>
      </c>
      <c r="W732" t="s">
        <v>52</v>
      </c>
      <c r="X732">
        <v>2023</v>
      </c>
      <c r="Y732" t="s">
        <v>211</v>
      </c>
      <c r="Z732" t="s">
        <v>41</v>
      </c>
    </row>
    <row r="733" spans="1:26">
      <c r="A733" t="s">
        <v>1638</v>
      </c>
      <c r="B733" t="s">
        <v>108</v>
      </c>
      <c r="C733" t="s">
        <v>76</v>
      </c>
      <c r="D733" t="s">
        <v>122</v>
      </c>
      <c r="E733" t="s">
        <v>148</v>
      </c>
      <c r="F733" t="s">
        <v>109</v>
      </c>
      <c r="G733" t="s">
        <v>58</v>
      </c>
      <c r="H733">
        <v>7.7</v>
      </c>
      <c r="I733">
        <v>15.2</v>
      </c>
      <c r="J733" t="s">
        <v>20</v>
      </c>
      <c r="K733" t="s">
        <v>1319</v>
      </c>
      <c r="L733" t="s">
        <v>60</v>
      </c>
      <c r="M733" t="s">
        <v>793</v>
      </c>
      <c r="N733" t="s">
        <v>71</v>
      </c>
      <c r="O733">
        <v>66</v>
      </c>
      <c r="P733" t="s">
        <v>230</v>
      </c>
      <c r="Q733">
        <v>1074</v>
      </c>
      <c r="R733">
        <v>0</v>
      </c>
      <c r="S733" t="s">
        <v>90</v>
      </c>
      <c r="T733" t="s">
        <v>38</v>
      </c>
      <c r="U733" t="s">
        <v>39</v>
      </c>
      <c r="V733" t="s">
        <v>52</v>
      </c>
      <c r="W733" t="s">
        <v>52</v>
      </c>
      <c r="X733">
        <v>2023</v>
      </c>
      <c r="Y733" t="s">
        <v>153</v>
      </c>
      <c r="Z733" t="s">
        <v>54</v>
      </c>
    </row>
    <row r="734" spans="1:26">
      <c r="A734" t="s">
        <v>1639</v>
      </c>
      <c r="B734" t="s">
        <v>116</v>
      </c>
      <c r="C734" t="s">
        <v>164</v>
      </c>
      <c r="D734" t="s">
        <v>29</v>
      </c>
      <c r="E734" t="s">
        <v>244</v>
      </c>
      <c r="F734" t="s">
        <v>109</v>
      </c>
      <c r="G734" t="s">
        <v>58</v>
      </c>
      <c r="H734">
        <v>6.8</v>
      </c>
      <c r="I734">
        <v>34.1</v>
      </c>
      <c r="J734" t="s">
        <v>20</v>
      </c>
      <c r="K734" t="s">
        <v>1349</v>
      </c>
      <c r="L734" t="s">
        <v>126</v>
      </c>
      <c r="M734" t="s">
        <v>264</v>
      </c>
      <c r="N734" t="s">
        <v>71</v>
      </c>
      <c r="O734">
        <v>163</v>
      </c>
      <c r="P734" t="s">
        <v>105</v>
      </c>
      <c r="Q734">
        <v>4508</v>
      </c>
      <c r="R734">
        <v>0</v>
      </c>
      <c r="S734" t="s">
        <v>113</v>
      </c>
      <c r="T734" t="s">
        <v>38</v>
      </c>
      <c r="U734" t="s">
        <v>52</v>
      </c>
      <c r="V734" t="s">
        <v>52</v>
      </c>
      <c r="W734" t="s">
        <v>52</v>
      </c>
      <c r="X734">
        <v>2023</v>
      </c>
      <c r="Y734" t="s">
        <v>128</v>
      </c>
      <c r="Z734" t="s">
        <v>64</v>
      </c>
    </row>
    <row r="735" spans="1:26">
      <c r="A735" t="s">
        <v>1640</v>
      </c>
      <c r="B735" t="s">
        <v>66</v>
      </c>
      <c r="C735" t="s">
        <v>44</v>
      </c>
      <c r="D735" t="s">
        <v>77</v>
      </c>
      <c r="E735" t="s">
        <v>216</v>
      </c>
      <c r="F735" t="s">
        <v>238</v>
      </c>
      <c r="G735" t="s">
        <v>32</v>
      </c>
      <c r="H735">
        <v>5.5</v>
      </c>
      <c r="I735">
        <v>27.4</v>
      </c>
      <c r="J735" t="s">
        <v>20</v>
      </c>
      <c r="K735" t="s">
        <v>510</v>
      </c>
      <c r="L735" t="s">
        <v>60</v>
      </c>
      <c r="M735" t="s">
        <v>809</v>
      </c>
      <c r="N735" t="s">
        <v>71</v>
      </c>
      <c r="O735">
        <v>19</v>
      </c>
      <c r="P735" t="s">
        <v>230</v>
      </c>
      <c r="Q735">
        <v>7712</v>
      </c>
      <c r="R735">
        <v>0</v>
      </c>
      <c r="S735" t="s">
        <v>90</v>
      </c>
      <c r="T735" t="s">
        <v>38</v>
      </c>
      <c r="U735" t="s">
        <v>39</v>
      </c>
      <c r="V735" t="s">
        <v>39</v>
      </c>
      <c r="W735" t="s">
        <v>52</v>
      </c>
      <c r="X735">
        <v>2023</v>
      </c>
      <c r="Y735" t="s">
        <v>128</v>
      </c>
      <c r="Z735" t="s">
        <v>64</v>
      </c>
    </row>
    <row r="736" spans="1:26">
      <c r="A736" t="s">
        <v>1641</v>
      </c>
      <c r="B736" t="s">
        <v>43</v>
      </c>
      <c r="C736" t="s">
        <v>67</v>
      </c>
      <c r="D736" t="s">
        <v>85</v>
      </c>
      <c r="E736" t="s">
        <v>208</v>
      </c>
      <c r="F736" t="s">
        <v>31</v>
      </c>
      <c r="G736" t="s">
        <v>58</v>
      </c>
      <c r="H736">
        <v>6.4</v>
      </c>
      <c r="I736">
        <v>23</v>
      </c>
      <c r="J736" t="s">
        <v>33</v>
      </c>
      <c r="K736" t="s">
        <v>1319</v>
      </c>
      <c r="L736" t="s">
        <v>48</v>
      </c>
      <c r="M736" t="s">
        <v>962</v>
      </c>
      <c r="N736" t="s">
        <v>171</v>
      </c>
      <c r="O736">
        <v>58</v>
      </c>
      <c r="P736" t="s">
        <v>2265</v>
      </c>
      <c r="Q736">
        <v>0</v>
      </c>
      <c r="R736">
        <v>0</v>
      </c>
      <c r="S736" t="s">
        <v>2265</v>
      </c>
      <c r="T736" t="s">
        <v>81</v>
      </c>
      <c r="U736" t="s">
        <v>39</v>
      </c>
      <c r="V736" t="s">
        <v>39</v>
      </c>
      <c r="W736" t="s">
        <v>39</v>
      </c>
      <c r="X736">
        <v>2023</v>
      </c>
      <c r="Y736" t="s">
        <v>153</v>
      </c>
      <c r="Z736" t="s">
        <v>54</v>
      </c>
    </row>
    <row r="737" spans="1:26">
      <c r="A737" t="s">
        <v>1642</v>
      </c>
      <c r="B737" t="s">
        <v>93</v>
      </c>
      <c r="C737" t="s">
        <v>102</v>
      </c>
      <c r="D737" t="s">
        <v>77</v>
      </c>
      <c r="E737" t="s">
        <v>220</v>
      </c>
      <c r="F737" t="s">
        <v>124</v>
      </c>
      <c r="G737" t="s">
        <v>58</v>
      </c>
      <c r="H737">
        <v>11.5</v>
      </c>
      <c r="I737">
        <v>11.8</v>
      </c>
      <c r="J737" t="s">
        <v>33</v>
      </c>
      <c r="K737" t="s">
        <v>350</v>
      </c>
      <c r="L737" t="s">
        <v>48</v>
      </c>
      <c r="M737" t="s">
        <v>1368</v>
      </c>
      <c r="N737" t="s">
        <v>171</v>
      </c>
      <c r="O737">
        <v>139</v>
      </c>
      <c r="P737" t="s">
        <v>2265</v>
      </c>
      <c r="Q737">
        <v>0</v>
      </c>
      <c r="R737">
        <v>0</v>
      </c>
      <c r="S737" t="s">
        <v>2265</v>
      </c>
      <c r="T737" t="s">
        <v>136</v>
      </c>
      <c r="U737" t="s">
        <v>39</v>
      </c>
      <c r="V737" t="s">
        <v>39</v>
      </c>
      <c r="W737" t="s">
        <v>52</v>
      </c>
      <c r="X737">
        <v>2022</v>
      </c>
      <c r="Y737" t="s">
        <v>114</v>
      </c>
      <c r="Z737" t="s">
        <v>41</v>
      </c>
    </row>
    <row r="738" spans="1:26">
      <c r="A738" t="s">
        <v>1643</v>
      </c>
      <c r="B738" t="s">
        <v>66</v>
      </c>
      <c r="C738" t="s">
        <v>102</v>
      </c>
      <c r="D738" t="s">
        <v>122</v>
      </c>
      <c r="E738" t="s">
        <v>123</v>
      </c>
      <c r="F738" t="s">
        <v>57</v>
      </c>
      <c r="G738" t="s">
        <v>58</v>
      </c>
      <c r="H738">
        <v>5.4</v>
      </c>
      <c r="I738">
        <v>26.2</v>
      </c>
      <c r="J738" t="s">
        <v>144</v>
      </c>
      <c r="K738" t="s">
        <v>338</v>
      </c>
      <c r="L738" t="s">
        <v>126</v>
      </c>
      <c r="M738" t="s">
        <v>1156</v>
      </c>
      <c r="N738" t="s">
        <v>71</v>
      </c>
      <c r="O738">
        <v>113</v>
      </c>
      <c r="P738" t="s">
        <v>112</v>
      </c>
      <c r="Q738">
        <v>2036</v>
      </c>
      <c r="R738">
        <v>0</v>
      </c>
      <c r="S738" t="s">
        <v>113</v>
      </c>
      <c r="T738" t="s">
        <v>81</v>
      </c>
      <c r="U738" t="s">
        <v>52</v>
      </c>
      <c r="V738" t="s">
        <v>52</v>
      </c>
      <c r="W738" t="s">
        <v>39</v>
      </c>
      <c r="X738">
        <v>2022</v>
      </c>
      <c r="Y738" t="s">
        <v>91</v>
      </c>
      <c r="Z738" t="s">
        <v>64</v>
      </c>
    </row>
    <row r="739" spans="1:26">
      <c r="A739" t="s">
        <v>1644</v>
      </c>
      <c r="B739" t="s">
        <v>66</v>
      </c>
      <c r="C739" t="s">
        <v>67</v>
      </c>
      <c r="D739" t="s">
        <v>29</v>
      </c>
      <c r="E739" t="s">
        <v>45</v>
      </c>
      <c r="F739" t="s">
        <v>46</v>
      </c>
      <c r="G739" t="s">
        <v>32</v>
      </c>
      <c r="H739">
        <v>2.6</v>
      </c>
      <c r="I739">
        <v>33</v>
      </c>
      <c r="J739" t="s">
        <v>33</v>
      </c>
      <c r="K739" t="s">
        <v>1334</v>
      </c>
      <c r="L739" t="s">
        <v>48</v>
      </c>
      <c r="M739" t="s">
        <v>127</v>
      </c>
      <c r="N739" t="s">
        <v>71</v>
      </c>
      <c r="O739">
        <v>149</v>
      </c>
      <c r="P739" t="s">
        <v>230</v>
      </c>
      <c r="Q739">
        <v>2167</v>
      </c>
      <c r="R739">
        <v>5000</v>
      </c>
      <c r="S739" t="s">
        <v>152</v>
      </c>
      <c r="T739" t="s">
        <v>136</v>
      </c>
      <c r="U739" t="s">
        <v>39</v>
      </c>
      <c r="V739" t="s">
        <v>52</v>
      </c>
      <c r="W739" t="s">
        <v>39</v>
      </c>
      <c r="X739">
        <v>2024</v>
      </c>
      <c r="Y739" t="s">
        <v>128</v>
      </c>
      <c r="Z739" t="s">
        <v>64</v>
      </c>
    </row>
    <row r="740" spans="1:26">
      <c r="A740" t="s">
        <v>1645</v>
      </c>
      <c r="B740" t="s">
        <v>93</v>
      </c>
      <c r="C740" t="s">
        <v>67</v>
      </c>
      <c r="D740" t="s">
        <v>77</v>
      </c>
      <c r="E740" t="s">
        <v>220</v>
      </c>
      <c r="F740" t="s">
        <v>160</v>
      </c>
      <c r="G740" t="s">
        <v>58</v>
      </c>
      <c r="H740">
        <v>4.9000000000000004</v>
      </c>
      <c r="I740">
        <v>30.1</v>
      </c>
      <c r="J740" t="s">
        <v>144</v>
      </c>
      <c r="K740" t="s">
        <v>1608</v>
      </c>
      <c r="L740" t="s">
        <v>98</v>
      </c>
      <c r="M740" t="s">
        <v>1646</v>
      </c>
      <c r="N740" t="s">
        <v>100</v>
      </c>
      <c r="O740">
        <v>98</v>
      </c>
      <c r="P740" t="s">
        <v>2265</v>
      </c>
      <c r="Q740">
        <v>0</v>
      </c>
      <c r="R740">
        <v>0</v>
      </c>
      <c r="S740" t="s">
        <v>2265</v>
      </c>
      <c r="T740" t="s">
        <v>51</v>
      </c>
      <c r="U740" t="s">
        <v>39</v>
      </c>
      <c r="V740" t="s">
        <v>52</v>
      </c>
      <c r="W740" t="s">
        <v>39</v>
      </c>
      <c r="X740">
        <v>2022</v>
      </c>
      <c r="Y740" t="s">
        <v>106</v>
      </c>
      <c r="Z740" t="s">
        <v>83</v>
      </c>
    </row>
    <row r="741" spans="1:26">
      <c r="A741" t="s">
        <v>1647</v>
      </c>
      <c r="B741" t="s">
        <v>43</v>
      </c>
      <c r="C741" t="s">
        <v>76</v>
      </c>
      <c r="D741" t="s">
        <v>85</v>
      </c>
      <c r="E741" t="s">
        <v>86</v>
      </c>
      <c r="F741" t="s">
        <v>68</v>
      </c>
      <c r="G741" t="s">
        <v>58</v>
      </c>
      <c r="H741">
        <v>0.6</v>
      </c>
      <c r="I741">
        <v>29.7</v>
      </c>
      <c r="J741" t="s">
        <v>33</v>
      </c>
      <c r="K741" t="s">
        <v>1339</v>
      </c>
      <c r="L741" t="s">
        <v>98</v>
      </c>
      <c r="M741" t="s">
        <v>923</v>
      </c>
      <c r="N741" t="s">
        <v>171</v>
      </c>
      <c r="O741">
        <v>71</v>
      </c>
      <c r="P741" t="s">
        <v>2265</v>
      </c>
      <c r="Q741">
        <v>0</v>
      </c>
      <c r="R741">
        <v>0</v>
      </c>
      <c r="S741" t="s">
        <v>2265</v>
      </c>
      <c r="T741" t="s">
        <v>136</v>
      </c>
      <c r="U741" t="s">
        <v>39</v>
      </c>
      <c r="V741" t="s">
        <v>39</v>
      </c>
      <c r="W741" t="s">
        <v>52</v>
      </c>
      <c r="X741">
        <v>2022</v>
      </c>
      <c r="Y741" t="s">
        <v>82</v>
      </c>
      <c r="Z741" t="s">
        <v>83</v>
      </c>
    </row>
    <row r="742" spans="1:26">
      <c r="A742" t="s">
        <v>1648</v>
      </c>
      <c r="B742" t="s">
        <v>43</v>
      </c>
      <c r="C742" t="s">
        <v>164</v>
      </c>
      <c r="D742" t="s">
        <v>29</v>
      </c>
      <c r="E742" t="s">
        <v>56</v>
      </c>
      <c r="F742" t="s">
        <v>46</v>
      </c>
      <c r="G742" t="s">
        <v>58</v>
      </c>
      <c r="H742">
        <v>2.2000000000000002</v>
      </c>
      <c r="I742">
        <v>32.799999999999997</v>
      </c>
      <c r="J742" t="s">
        <v>96</v>
      </c>
      <c r="K742" t="s">
        <v>598</v>
      </c>
      <c r="L742" t="s">
        <v>48</v>
      </c>
      <c r="M742" t="s">
        <v>1484</v>
      </c>
      <c r="N742" t="s">
        <v>100</v>
      </c>
      <c r="O742">
        <v>41</v>
      </c>
      <c r="P742" t="s">
        <v>2265</v>
      </c>
      <c r="Q742">
        <v>0</v>
      </c>
      <c r="R742">
        <v>0</v>
      </c>
      <c r="S742" t="s">
        <v>2265</v>
      </c>
      <c r="T742" t="s">
        <v>38</v>
      </c>
      <c r="U742" t="s">
        <v>52</v>
      </c>
      <c r="V742" t="s">
        <v>39</v>
      </c>
      <c r="W742" t="s">
        <v>52</v>
      </c>
      <c r="X742">
        <v>2024</v>
      </c>
      <c r="Y742" t="s">
        <v>74</v>
      </c>
      <c r="Z742" t="s">
        <v>54</v>
      </c>
    </row>
    <row r="743" spans="1:26">
      <c r="A743" t="s">
        <v>1649</v>
      </c>
      <c r="B743" t="s">
        <v>116</v>
      </c>
      <c r="C743" t="s">
        <v>121</v>
      </c>
      <c r="D743" t="s">
        <v>85</v>
      </c>
      <c r="E743" t="s">
        <v>402</v>
      </c>
      <c r="F743" t="s">
        <v>238</v>
      </c>
      <c r="G743" t="s">
        <v>58</v>
      </c>
      <c r="H743">
        <v>0.4</v>
      </c>
      <c r="I743">
        <v>1.4</v>
      </c>
      <c r="J743" t="s">
        <v>144</v>
      </c>
      <c r="K743" t="s">
        <v>150</v>
      </c>
      <c r="L743" t="s">
        <v>35</v>
      </c>
      <c r="M743" t="s">
        <v>1650</v>
      </c>
      <c r="N743" t="s">
        <v>171</v>
      </c>
      <c r="O743">
        <v>160</v>
      </c>
      <c r="P743" t="s">
        <v>2265</v>
      </c>
      <c r="Q743">
        <v>0</v>
      </c>
      <c r="R743">
        <v>0</v>
      </c>
      <c r="S743" t="s">
        <v>2265</v>
      </c>
      <c r="T743" t="s">
        <v>62</v>
      </c>
      <c r="U743" t="s">
        <v>52</v>
      </c>
      <c r="V743" t="s">
        <v>52</v>
      </c>
      <c r="W743" t="s">
        <v>52</v>
      </c>
      <c r="X743">
        <v>2023</v>
      </c>
      <c r="Y743" t="s">
        <v>153</v>
      </c>
      <c r="Z743" t="s">
        <v>54</v>
      </c>
    </row>
    <row r="744" spans="1:26">
      <c r="A744" t="s">
        <v>1651</v>
      </c>
      <c r="B744" t="s">
        <v>108</v>
      </c>
      <c r="C744" t="s">
        <v>121</v>
      </c>
      <c r="D744" t="s">
        <v>77</v>
      </c>
      <c r="E744" t="s">
        <v>143</v>
      </c>
      <c r="F744" t="s">
        <v>57</v>
      </c>
      <c r="G744" t="s">
        <v>32</v>
      </c>
      <c r="H744">
        <v>5.0999999999999996</v>
      </c>
      <c r="I744">
        <v>2.8</v>
      </c>
      <c r="J744" t="s">
        <v>33</v>
      </c>
      <c r="K744" t="s">
        <v>884</v>
      </c>
      <c r="L744" t="s">
        <v>140</v>
      </c>
      <c r="M744" t="s">
        <v>1652</v>
      </c>
      <c r="N744" t="s">
        <v>37</v>
      </c>
      <c r="O744">
        <v>90</v>
      </c>
      <c r="P744" t="s">
        <v>2265</v>
      </c>
      <c r="Q744">
        <v>0</v>
      </c>
      <c r="R744">
        <v>0</v>
      </c>
      <c r="S744" t="s">
        <v>2265</v>
      </c>
      <c r="T744" t="s">
        <v>38</v>
      </c>
      <c r="U744" t="s">
        <v>39</v>
      </c>
      <c r="V744" t="s">
        <v>52</v>
      </c>
      <c r="W744" t="s">
        <v>52</v>
      </c>
      <c r="X744">
        <v>2022</v>
      </c>
      <c r="Y744" t="s">
        <v>106</v>
      </c>
      <c r="Z744" t="s">
        <v>83</v>
      </c>
    </row>
    <row r="745" spans="1:26">
      <c r="A745" t="s">
        <v>1653</v>
      </c>
      <c r="B745" t="s">
        <v>116</v>
      </c>
      <c r="C745" t="s">
        <v>121</v>
      </c>
      <c r="D745" t="s">
        <v>29</v>
      </c>
      <c r="E745" t="s">
        <v>45</v>
      </c>
      <c r="F745" t="s">
        <v>149</v>
      </c>
      <c r="G745" t="s">
        <v>58</v>
      </c>
      <c r="H745">
        <v>11.5</v>
      </c>
      <c r="I745">
        <v>23.6</v>
      </c>
      <c r="J745" t="s">
        <v>33</v>
      </c>
      <c r="K745" t="s">
        <v>1520</v>
      </c>
      <c r="L745" t="s">
        <v>48</v>
      </c>
      <c r="M745" t="s">
        <v>286</v>
      </c>
      <c r="N745" t="s">
        <v>171</v>
      </c>
      <c r="O745">
        <v>169</v>
      </c>
      <c r="P745" t="s">
        <v>2265</v>
      </c>
      <c r="Q745">
        <v>0</v>
      </c>
      <c r="R745">
        <v>0</v>
      </c>
      <c r="S745" t="s">
        <v>2265</v>
      </c>
      <c r="T745" t="s">
        <v>62</v>
      </c>
      <c r="U745" t="s">
        <v>39</v>
      </c>
      <c r="V745" t="s">
        <v>39</v>
      </c>
      <c r="W745" t="s">
        <v>52</v>
      </c>
      <c r="X745">
        <v>2023</v>
      </c>
      <c r="Y745" t="s">
        <v>91</v>
      </c>
      <c r="Z745" t="s">
        <v>64</v>
      </c>
    </row>
    <row r="746" spans="1:26">
      <c r="A746" t="s">
        <v>1654</v>
      </c>
      <c r="B746" t="s">
        <v>43</v>
      </c>
      <c r="C746" t="s">
        <v>173</v>
      </c>
      <c r="D746" t="s">
        <v>29</v>
      </c>
      <c r="E746" t="s">
        <v>94</v>
      </c>
      <c r="F746" t="s">
        <v>68</v>
      </c>
      <c r="G746" t="s">
        <v>32</v>
      </c>
      <c r="H746">
        <v>10.7</v>
      </c>
      <c r="I746">
        <v>4.0999999999999996</v>
      </c>
      <c r="J746" t="s">
        <v>33</v>
      </c>
      <c r="K746" t="s">
        <v>1655</v>
      </c>
      <c r="L746" t="s">
        <v>98</v>
      </c>
      <c r="M746" t="s">
        <v>1656</v>
      </c>
      <c r="N746" t="s">
        <v>61</v>
      </c>
      <c r="O746">
        <v>104</v>
      </c>
      <c r="P746" t="s">
        <v>2265</v>
      </c>
      <c r="Q746">
        <v>0</v>
      </c>
      <c r="R746">
        <v>0</v>
      </c>
      <c r="S746" t="s">
        <v>2265</v>
      </c>
      <c r="T746" t="s">
        <v>136</v>
      </c>
      <c r="U746" t="s">
        <v>39</v>
      </c>
      <c r="V746" t="s">
        <v>39</v>
      </c>
      <c r="W746" t="s">
        <v>52</v>
      </c>
      <c r="X746">
        <v>2022</v>
      </c>
      <c r="Y746" t="s">
        <v>40</v>
      </c>
      <c r="Z746" t="s">
        <v>41</v>
      </c>
    </row>
    <row r="747" spans="1:26">
      <c r="A747" t="s">
        <v>1657</v>
      </c>
      <c r="B747" t="s">
        <v>43</v>
      </c>
      <c r="C747" t="s">
        <v>76</v>
      </c>
      <c r="D747" t="s">
        <v>85</v>
      </c>
      <c r="E747" t="s">
        <v>402</v>
      </c>
      <c r="F747" t="s">
        <v>68</v>
      </c>
      <c r="G747" t="s">
        <v>58</v>
      </c>
      <c r="H747">
        <v>0.7</v>
      </c>
      <c r="I747">
        <v>7.3</v>
      </c>
      <c r="J747" t="s">
        <v>96</v>
      </c>
      <c r="K747" t="s">
        <v>236</v>
      </c>
      <c r="L747" t="s">
        <v>48</v>
      </c>
      <c r="M747" t="s">
        <v>624</v>
      </c>
      <c r="N747" t="s">
        <v>71</v>
      </c>
      <c r="O747">
        <v>149</v>
      </c>
      <c r="P747" t="s">
        <v>89</v>
      </c>
      <c r="Q747">
        <v>2077</v>
      </c>
      <c r="R747">
        <v>2000</v>
      </c>
      <c r="S747" t="s">
        <v>90</v>
      </c>
      <c r="T747" t="s">
        <v>51</v>
      </c>
      <c r="U747" t="s">
        <v>39</v>
      </c>
      <c r="V747" t="s">
        <v>52</v>
      </c>
      <c r="W747" t="s">
        <v>52</v>
      </c>
      <c r="X747">
        <v>2022</v>
      </c>
      <c r="Y747" t="s">
        <v>91</v>
      </c>
      <c r="Z747" t="s">
        <v>64</v>
      </c>
    </row>
    <row r="748" spans="1:26">
      <c r="A748" t="s">
        <v>1658</v>
      </c>
      <c r="B748" t="s">
        <v>27</v>
      </c>
      <c r="C748" t="s">
        <v>173</v>
      </c>
      <c r="D748" t="s">
        <v>77</v>
      </c>
      <c r="E748" t="s">
        <v>260</v>
      </c>
      <c r="F748" t="s">
        <v>109</v>
      </c>
      <c r="G748" t="s">
        <v>32</v>
      </c>
      <c r="H748">
        <v>5.5</v>
      </c>
      <c r="I748">
        <v>7.9</v>
      </c>
      <c r="J748" t="s">
        <v>33</v>
      </c>
      <c r="K748" t="s">
        <v>836</v>
      </c>
      <c r="L748" t="s">
        <v>98</v>
      </c>
      <c r="M748" t="s">
        <v>862</v>
      </c>
      <c r="N748" t="s">
        <v>100</v>
      </c>
      <c r="O748">
        <v>161</v>
      </c>
      <c r="P748" t="s">
        <v>2265</v>
      </c>
      <c r="Q748">
        <v>0</v>
      </c>
      <c r="R748">
        <v>0</v>
      </c>
      <c r="S748" t="s">
        <v>2265</v>
      </c>
      <c r="T748" t="s">
        <v>51</v>
      </c>
      <c r="U748" t="s">
        <v>39</v>
      </c>
      <c r="V748" t="s">
        <v>52</v>
      </c>
      <c r="W748" t="s">
        <v>52</v>
      </c>
      <c r="X748">
        <v>2023</v>
      </c>
      <c r="Y748" t="s">
        <v>106</v>
      </c>
      <c r="Z748" t="s">
        <v>83</v>
      </c>
    </row>
    <row r="749" spans="1:26">
      <c r="A749" t="s">
        <v>1659</v>
      </c>
      <c r="B749" t="s">
        <v>27</v>
      </c>
      <c r="C749" t="s">
        <v>173</v>
      </c>
      <c r="D749" t="s">
        <v>29</v>
      </c>
      <c r="E749" t="s">
        <v>56</v>
      </c>
      <c r="F749" t="s">
        <v>95</v>
      </c>
      <c r="G749" t="s">
        <v>32</v>
      </c>
      <c r="H749">
        <v>8</v>
      </c>
      <c r="I749">
        <v>12.3</v>
      </c>
      <c r="J749" t="s">
        <v>144</v>
      </c>
      <c r="K749" t="s">
        <v>849</v>
      </c>
      <c r="L749" t="s">
        <v>98</v>
      </c>
      <c r="M749" t="s">
        <v>127</v>
      </c>
      <c r="N749" t="s">
        <v>50</v>
      </c>
      <c r="O749">
        <v>141</v>
      </c>
      <c r="P749" t="s">
        <v>2265</v>
      </c>
      <c r="Q749">
        <v>0</v>
      </c>
      <c r="R749">
        <v>0</v>
      </c>
      <c r="S749" t="s">
        <v>2265</v>
      </c>
      <c r="T749" t="s">
        <v>38</v>
      </c>
      <c r="U749" t="s">
        <v>39</v>
      </c>
      <c r="V749" t="s">
        <v>39</v>
      </c>
      <c r="W749" t="s">
        <v>52</v>
      </c>
      <c r="X749">
        <v>2024</v>
      </c>
      <c r="Y749" t="s">
        <v>114</v>
      </c>
      <c r="Z749" t="s">
        <v>41</v>
      </c>
    </row>
    <row r="750" spans="1:26">
      <c r="A750" t="s">
        <v>1660</v>
      </c>
      <c r="B750" t="s">
        <v>108</v>
      </c>
      <c r="C750" t="s">
        <v>44</v>
      </c>
      <c r="D750" t="s">
        <v>77</v>
      </c>
      <c r="E750" t="s">
        <v>143</v>
      </c>
      <c r="F750" t="s">
        <v>109</v>
      </c>
      <c r="G750" t="s">
        <v>58</v>
      </c>
      <c r="H750">
        <v>1.6</v>
      </c>
      <c r="I750">
        <v>12.5</v>
      </c>
      <c r="J750" t="s">
        <v>96</v>
      </c>
      <c r="K750" t="s">
        <v>1661</v>
      </c>
      <c r="L750" t="s">
        <v>140</v>
      </c>
      <c r="M750" t="s">
        <v>1202</v>
      </c>
      <c r="N750" t="s">
        <v>61</v>
      </c>
      <c r="O750">
        <v>141</v>
      </c>
      <c r="P750" t="s">
        <v>2265</v>
      </c>
      <c r="Q750">
        <v>0</v>
      </c>
      <c r="R750">
        <v>0</v>
      </c>
      <c r="S750" t="s">
        <v>2265</v>
      </c>
      <c r="T750" t="s">
        <v>81</v>
      </c>
      <c r="U750" t="s">
        <v>52</v>
      </c>
      <c r="V750" t="s">
        <v>52</v>
      </c>
      <c r="W750" t="s">
        <v>52</v>
      </c>
      <c r="X750">
        <v>2022</v>
      </c>
      <c r="Y750" t="s">
        <v>114</v>
      </c>
      <c r="Z750" t="s">
        <v>41</v>
      </c>
    </row>
    <row r="751" spans="1:26">
      <c r="A751" t="s">
        <v>1662</v>
      </c>
      <c r="B751" t="s">
        <v>27</v>
      </c>
      <c r="C751" t="s">
        <v>76</v>
      </c>
      <c r="D751" t="s">
        <v>77</v>
      </c>
      <c r="E751" t="s">
        <v>363</v>
      </c>
      <c r="F751" t="s">
        <v>109</v>
      </c>
      <c r="G751" t="s">
        <v>32</v>
      </c>
      <c r="H751">
        <v>6.4</v>
      </c>
      <c r="I751">
        <v>27.4</v>
      </c>
      <c r="J751" t="s">
        <v>20</v>
      </c>
      <c r="K751" t="s">
        <v>1663</v>
      </c>
      <c r="L751" t="s">
        <v>48</v>
      </c>
      <c r="M751" t="s">
        <v>887</v>
      </c>
      <c r="N751" t="s">
        <v>171</v>
      </c>
      <c r="O751">
        <v>51</v>
      </c>
      <c r="P751" t="s">
        <v>2265</v>
      </c>
      <c r="Q751">
        <v>0</v>
      </c>
      <c r="R751">
        <v>0</v>
      </c>
      <c r="S751" t="s">
        <v>2265</v>
      </c>
      <c r="T751" t="s">
        <v>62</v>
      </c>
      <c r="U751" t="s">
        <v>39</v>
      </c>
      <c r="V751" t="s">
        <v>52</v>
      </c>
      <c r="W751" t="s">
        <v>52</v>
      </c>
      <c r="X751">
        <v>2022</v>
      </c>
      <c r="Y751" t="s">
        <v>82</v>
      </c>
      <c r="Z751" t="s">
        <v>83</v>
      </c>
    </row>
    <row r="752" spans="1:26">
      <c r="A752" t="s">
        <v>1664</v>
      </c>
      <c r="B752" t="s">
        <v>108</v>
      </c>
      <c r="C752" t="s">
        <v>102</v>
      </c>
      <c r="D752" t="s">
        <v>29</v>
      </c>
      <c r="E752" t="s">
        <v>94</v>
      </c>
      <c r="F752" t="s">
        <v>160</v>
      </c>
      <c r="G752" t="s">
        <v>58</v>
      </c>
      <c r="H752">
        <v>6.5</v>
      </c>
      <c r="I752">
        <v>33.5</v>
      </c>
      <c r="J752" t="s">
        <v>144</v>
      </c>
      <c r="K752" t="s">
        <v>553</v>
      </c>
      <c r="L752" t="s">
        <v>60</v>
      </c>
      <c r="M752" t="s">
        <v>1665</v>
      </c>
      <c r="N752" t="s">
        <v>37</v>
      </c>
      <c r="O752">
        <v>163</v>
      </c>
      <c r="P752" t="s">
        <v>2265</v>
      </c>
      <c r="Q752">
        <v>0</v>
      </c>
      <c r="R752">
        <v>0</v>
      </c>
      <c r="S752" t="s">
        <v>2265</v>
      </c>
      <c r="T752" t="s">
        <v>136</v>
      </c>
      <c r="U752" t="s">
        <v>52</v>
      </c>
      <c r="V752" t="s">
        <v>52</v>
      </c>
      <c r="W752" t="s">
        <v>52</v>
      </c>
      <c r="X752">
        <v>2022</v>
      </c>
      <c r="Y752" t="s">
        <v>63</v>
      </c>
      <c r="Z752" t="s">
        <v>64</v>
      </c>
    </row>
    <row r="753" spans="1:26">
      <c r="A753" t="s">
        <v>1666</v>
      </c>
      <c r="B753" t="s">
        <v>66</v>
      </c>
      <c r="C753" t="s">
        <v>28</v>
      </c>
      <c r="D753" t="s">
        <v>122</v>
      </c>
      <c r="E753" t="s">
        <v>148</v>
      </c>
      <c r="F753" t="s">
        <v>238</v>
      </c>
      <c r="G753" t="s">
        <v>32</v>
      </c>
      <c r="H753">
        <v>6.7</v>
      </c>
      <c r="I753">
        <v>11.3</v>
      </c>
      <c r="J753" t="s">
        <v>33</v>
      </c>
      <c r="K753" t="s">
        <v>482</v>
      </c>
      <c r="L753" t="s">
        <v>48</v>
      </c>
      <c r="M753" t="s">
        <v>1572</v>
      </c>
      <c r="N753" t="s">
        <v>71</v>
      </c>
      <c r="O753">
        <v>1</v>
      </c>
      <c r="P753" t="s">
        <v>112</v>
      </c>
      <c r="Q753">
        <v>1529</v>
      </c>
      <c r="R753">
        <v>2000</v>
      </c>
      <c r="S753" t="s">
        <v>113</v>
      </c>
      <c r="T753" t="s">
        <v>81</v>
      </c>
      <c r="U753" t="s">
        <v>52</v>
      </c>
      <c r="V753" t="s">
        <v>39</v>
      </c>
      <c r="W753" t="s">
        <v>52</v>
      </c>
      <c r="X753">
        <v>2023</v>
      </c>
      <c r="Y753" t="s">
        <v>114</v>
      </c>
      <c r="Z753" t="s">
        <v>41</v>
      </c>
    </row>
    <row r="754" spans="1:26">
      <c r="A754" t="s">
        <v>1667</v>
      </c>
      <c r="B754" t="s">
        <v>93</v>
      </c>
      <c r="C754" t="s">
        <v>164</v>
      </c>
      <c r="D754" t="s">
        <v>85</v>
      </c>
      <c r="E754" t="s">
        <v>138</v>
      </c>
      <c r="F754" t="s">
        <v>57</v>
      </c>
      <c r="G754" t="s">
        <v>58</v>
      </c>
      <c r="H754">
        <v>0.9</v>
      </c>
      <c r="I754">
        <v>33.700000000000003</v>
      </c>
      <c r="J754" t="s">
        <v>156</v>
      </c>
      <c r="K754" t="s">
        <v>1668</v>
      </c>
      <c r="L754" t="s">
        <v>98</v>
      </c>
      <c r="M754" t="s">
        <v>1669</v>
      </c>
      <c r="N754" t="s">
        <v>171</v>
      </c>
      <c r="O754">
        <v>64</v>
      </c>
      <c r="P754" t="s">
        <v>2265</v>
      </c>
      <c r="Q754">
        <v>0</v>
      </c>
      <c r="R754">
        <v>0</v>
      </c>
      <c r="S754" t="s">
        <v>2265</v>
      </c>
      <c r="T754" t="s">
        <v>62</v>
      </c>
      <c r="U754" t="s">
        <v>39</v>
      </c>
      <c r="V754" t="s">
        <v>39</v>
      </c>
      <c r="W754" t="s">
        <v>52</v>
      </c>
      <c r="X754">
        <v>2023</v>
      </c>
      <c r="Y754" t="s">
        <v>82</v>
      </c>
      <c r="Z754" t="s">
        <v>83</v>
      </c>
    </row>
    <row r="755" spans="1:26">
      <c r="A755" t="s">
        <v>1670</v>
      </c>
      <c r="B755" t="s">
        <v>27</v>
      </c>
      <c r="C755" t="s">
        <v>121</v>
      </c>
      <c r="D755" t="s">
        <v>77</v>
      </c>
      <c r="E755" t="s">
        <v>168</v>
      </c>
      <c r="F755" t="s">
        <v>124</v>
      </c>
      <c r="G755" t="s">
        <v>32</v>
      </c>
      <c r="H755">
        <v>6.3</v>
      </c>
      <c r="I755">
        <v>27.1</v>
      </c>
      <c r="J755" t="s">
        <v>33</v>
      </c>
      <c r="K755" t="s">
        <v>917</v>
      </c>
      <c r="L755" t="s">
        <v>35</v>
      </c>
      <c r="M755" t="s">
        <v>806</v>
      </c>
      <c r="N755" t="s">
        <v>71</v>
      </c>
      <c r="O755">
        <v>3</v>
      </c>
      <c r="P755" t="s">
        <v>105</v>
      </c>
      <c r="Q755">
        <v>7264</v>
      </c>
      <c r="R755">
        <v>0</v>
      </c>
      <c r="S755" t="s">
        <v>90</v>
      </c>
      <c r="T755" t="s">
        <v>81</v>
      </c>
      <c r="U755" t="s">
        <v>39</v>
      </c>
      <c r="V755" t="s">
        <v>52</v>
      </c>
      <c r="W755" t="s">
        <v>52</v>
      </c>
      <c r="X755">
        <v>2023</v>
      </c>
      <c r="Y755" t="s">
        <v>128</v>
      </c>
      <c r="Z755" t="s">
        <v>64</v>
      </c>
    </row>
    <row r="756" spans="1:26">
      <c r="A756" t="s">
        <v>1671</v>
      </c>
      <c r="B756" t="s">
        <v>66</v>
      </c>
      <c r="C756" t="s">
        <v>121</v>
      </c>
      <c r="D756" t="s">
        <v>29</v>
      </c>
      <c r="E756" t="s">
        <v>30</v>
      </c>
      <c r="F756" t="s">
        <v>160</v>
      </c>
      <c r="G756" t="s">
        <v>58</v>
      </c>
      <c r="H756">
        <v>5.2</v>
      </c>
      <c r="I756">
        <v>6.3</v>
      </c>
      <c r="J756" t="s">
        <v>20</v>
      </c>
      <c r="K756" t="s">
        <v>735</v>
      </c>
      <c r="L756" t="s">
        <v>35</v>
      </c>
      <c r="M756" t="s">
        <v>80</v>
      </c>
      <c r="N756" t="s">
        <v>71</v>
      </c>
      <c r="O756">
        <v>66</v>
      </c>
      <c r="P756" t="s">
        <v>230</v>
      </c>
      <c r="Q756">
        <v>4067</v>
      </c>
      <c r="R756">
        <v>500</v>
      </c>
      <c r="S756" t="s">
        <v>152</v>
      </c>
      <c r="T756" t="s">
        <v>81</v>
      </c>
      <c r="U756" t="s">
        <v>52</v>
      </c>
      <c r="V756" t="s">
        <v>52</v>
      </c>
      <c r="W756" t="s">
        <v>52</v>
      </c>
      <c r="X756">
        <v>2024</v>
      </c>
      <c r="Y756" t="s">
        <v>82</v>
      </c>
      <c r="Z756" t="s">
        <v>83</v>
      </c>
    </row>
    <row r="757" spans="1:26">
      <c r="A757" t="s">
        <v>1672</v>
      </c>
      <c r="B757" t="s">
        <v>93</v>
      </c>
      <c r="C757" t="s">
        <v>44</v>
      </c>
      <c r="D757" t="s">
        <v>85</v>
      </c>
      <c r="E757" t="s">
        <v>174</v>
      </c>
      <c r="F757" t="s">
        <v>160</v>
      </c>
      <c r="G757" t="s">
        <v>32</v>
      </c>
      <c r="H757">
        <v>10.9</v>
      </c>
      <c r="I757">
        <v>22.6</v>
      </c>
      <c r="J757" t="s">
        <v>33</v>
      </c>
      <c r="K757" t="s">
        <v>583</v>
      </c>
      <c r="L757" t="s">
        <v>35</v>
      </c>
      <c r="M757" t="s">
        <v>946</v>
      </c>
      <c r="N757" t="s">
        <v>61</v>
      </c>
      <c r="O757">
        <v>72</v>
      </c>
      <c r="P757" t="s">
        <v>2265</v>
      </c>
      <c r="Q757">
        <v>0</v>
      </c>
      <c r="R757">
        <v>0</v>
      </c>
      <c r="S757" t="s">
        <v>2265</v>
      </c>
      <c r="T757" t="s">
        <v>38</v>
      </c>
      <c r="U757" t="s">
        <v>52</v>
      </c>
      <c r="V757" t="s">
        <v>39</v>
      </c>
      <c r="W757" t="s">
        <v>52</v>
      </c>
      <c r="X757">
        <v>2022</v>
      </c>
      <c r="Y757" t="s">
        <v>211</v>
      </c>
      <c r="Z757" t="s">
        <v>41</v>
      </c>
    </row>
    <row r="758" spans="1:26">
      <c r="A758" t="s">
        <v>1673</v>
      </c>
      <c r="B758" t="s">
        <v>66</v>
      </c>
      <c r="C758" t="s">
        <v>44</v>
      </c>
      <c r="D758" t="s">
        <v>77</v>
      </c>
      <c r="E758" t="s">
        <v>94</v>
      </c>
      <c r="F758" t="s">
        <v>238</v>
      </c>
      <c r="G758" t="s">
        <v>58</v>
      </c>
      <c r="H758">
        <v>7.3</v>
      </c>
      <c r="I758">
        <v>30.5</v>
      </c>
      <c r="J758" t="s">
        <v>20</v>
      </c>
      <c r="K758" t="s">
        <v>842</v>
      </c>
      <c r="L758" t="s">
        <v>98</v>
      </c>
      <c r="M758" t="s">
        <v>1674</v>
      </c>
      <c r="N758" t="s">
        <v>50</v>
      </c>
      <c r="O758">
        <v>27</v>
      </c>
      <c r="P758" t="s">
        <v>2265</v>
      </c>
      <c r="Q758">
        <v>0</v>
      </c>
      <c r="R758">
        <v>1000</v>
      </c>
      <c r="S758" t="s">
        <v>2265</v>
      </c>
      <c r="T758" t="s">
        <v>38</v>
      </c>
      <c r="U758" t="s">
        <v>39</v>
      </c>
      <c r="V758" t="s">
        <v>39</v>
      </c>
      <c r="W758" t="s">
        <v>52</v>
      </c>
      <c r="X758">
        <v>2023</v>
      </c>
      <c r="Y758" t="s">
        <v>153</v>
      </c>
      <c r="Z758" t="s">
        <v>54</v>
      </c>
    </row>
    <row r="759" spans="1:26">
      <c r="A759" t="s">
        <v>1675</v>
      </c>
      <c r="B759" t="s">
        <v>27</v>
      </c>
      <c r="C759" t="s">
        <v>76</v>
      </c>
      <c r="D759" t="s">
        <v>122</v>
      </c>
      <c r="E759" t="s">
        <v>202</v>
      </c>
      <c r="F759" t="s">
        <v>57</v>
      </c>
      <c r="G759" t="s">
        <v>32</v>
      </c>
      <c r="H759">
        <v>9.5</v>
      </c>
      <c r="I759">
        <v>29.9</v>
      </c>
      <c r="J759" t="s">
        <v>156</v>
      </c>
      <c r="K759" t="s">
        <v>1676</v>
      </c>
      <c r="L759" t="s">
        <v>35</v>
      </c>
      <c r="M759" t="s">
        <v>461</v>
      </c>
      <c r="N759" t="s">
        <v>71</v>
      </c>
      <c r="O759">
        <v>101</v>
      </c>
      <c r="P759" t="s">
        <v>89</v>
      </c>
      <c r="Q759">
        <v>1922</v>
      </c>
      <c r="R759">
        <v>2000</v>
      </c>
      <c r="S759" t="s">
        <v>113</v>
      </c>
      <c r="T759" t="s">
        <v>38</v>
      </c>
      <c r="U759" t="s">
        <v>39</v>
      </c>
      <c r="V759" t="s">
        <v>39</v>
      </c>
      <c r="W759" t="s">
        <v>52</v>
      </c>
      <c r="X759">
        <v>2024</v>
      </c>
      <c r="Y759" t="s">
        <v>53</v>
      </c>
      <c r="Z759" t="s">
        <v>54</v>
      </c>
    </row>
    <row r="760" spans="1:26">
      <c r="A760" t="s">
        <v>1677</v>
      </c>
      <c r="B760" t="s">
        <v>43</v>
      </c>
      <c r="C760" t="s">
        <v>173</v>
      </c>
      <c r="D760" t="s">
        <v>85</v>
      </c>
      <c r="E760" t="s">
        <v>174</v>
      </c>
      <c r="F760" t="s">
        <v>149</v>
      </c>
      <c r="G760" t="s">
        <v>58</v>
      </c>
      <c r="H760">
        <v>9.8000000000000007</v>
      </c>
      <c r="I760">
        <v>12.4</v>
      </c>
      <c r="J760" t="s">
        <v>33</v>
      </c>
      <c r="K760" t="s">
        <v>279</v>
      </c>
      <c r="L760" t="s">
        <v>126</v>
      </c>
      <c r="M760" t="s">
        <v>1271</v>
      </c>
      <c r="N760" t="s">
        <v>171</v>
      </c>
      <c r="O760">
        <v>65</v>
      </c>
      <c r="P760" t="s">
        <v>2265</v>
      </c>
      <c r="Q760">
        <v>0</v>
      </c>
      <c r="R760">
        <v>0</v>
      </c>
      <c r="S760" t="s">
        <v>2265</v>
      </c>
      <c r="T760" t="s">
        <v>51</v>
      </c>
      <c r="U760" t="s">
        <v>39</v>
      </c>
      <c r="V760" t="s">
        <v>39</v>
      </c>
      <c r="W760" t="s">
        <v>52</v>
      </c>
      <c r="X760">
        <v>2024</v>
      </c>
      <c r="Y760" t="s">
        <v>40</v>
      </c>
      <c r="Z760" t="s">
        <v>41</v>
      </c>
    </row>
    <row r="761" spans="1:26">
      <c r="A761" t="s">
        <v>1678</v>
      </c>
      <c r="B761" t="s">
        <v>43</v>
      </c>
      <c r="C761" t="s">
        <v>67</v>
      </c>
      <c r="D761" t="s">
        <v>85</v>
      </c>
      <c r="E761" t="s">
        <v>402</v>
      </c>
      <c r="F761" t="s">
        <v>160</v>
      </c>
      <c r="G761" t="s">
        <v>58</v>
      </c>
      <c r="H761">
        <v>7.4</v>
      </c>
      <c r="I761">
        <v>26</v>
      </c>
      <c r="J761" t="s">
        <v>156</v>
      </c>
      <c r="K761" t="s">
        <v>1679</v>
      </c>
      <c r="L761" t="s">
        <v>35</v>
      </c>
      <c r="M761" t="s">
        <v>282</v>
      </c>
      <c r="N761" t="s">
        <v>71</v>
      </c>
      <c r="O761">
        <v>128</v>
      </c>
      <c r="P761" t="s">
        <v>112</v>
      </c>
      <c r="Q761">
        <v>1867</v>
      </c>
      <c r="R761">
        <v>0</v>
      </c>
      <c r="S761" t="s">
        <v>152</v>
      </c>
      <c r="T761" t="s">
        <v>62</v>
      </c>
      <c r="U761" t="s">
        <v>52</v>
      </c>
      <c r="V761" t="s">
        <v>52</v>
      </c>
      <c r="W761" t="s">
        <v>52</v>
      </c>
      <c r="X761">
        <v>2022</v>
      </c>
      <c r="Y761" t="s">
        <v>63</v>
      </c>
      <c r="Z761" t="s">
        <v>64</v>
      </c>
    </row>
    <row r="762" spans="1:26">
      <c r="A762" t="s">
        <v>1680</v>
      </c>
      <c r="B762" t="s">
        <v>93</v>
      </c>
      <c r="C762" t="s">
        <v>164</v>
      </c>
      <c r="D762" t="s">
        <v>85</v>
      </c>
      <c r="E762" t="s">
        <v>208</v>
      </c>
      <c r="F762" t="s">
        <v>68</v>
      </c>
      <c r="G762" t="s">
        <v>32</v>
      </c>
      <c r="H762">
        <v>4.0999999999999996</v>
      </c>
      <c r="I762">
        <v>15.6</v>
      </c>
      <c r="J762" t="s">
        <v>33</v>
      </c>
      <c r="K762" t="s">
        <v>961</v>
      </c>
      <c r="L762" t="s">
        <v>35</v>
      </c>
      <c r="M762" t="s">
        <v>1495</v>
      </c>
      <c r="N762" t="s">
        <v>171</v>
      </c>
      <c r="O762">
        <v>125</v>
      </c>
      <c r="P762" t="s">
        <v>2265</v>
      </c>
      <c r="Q762">
        <v>0</v>
      </c>
      <c r="R762">
        <v>0</v>
      </c>
      <c r="S762" t="s">
        <v>2265</v>
      </c>
      <c r="T762" t="s">
        <v>81</v>
      </c>
      <c r="U762" t="s">
        <v>39</v>
      </c>
      <c r="V762" t="s">
        <v>52</v>
      </c>
      <c r="W762" t="s">
        <v>52</v>
      </c>
      <c r="X762">
        <v>2023</v>
      </c>
      <c r="Y762" t="s">
        <v>153</v>
      </c>
      <c r="Z762" t="s">
        <v>54</v>
      </c>
    </row>
    <row r="763" spans="1:26">
      <c r="A763" t="s">
        <v>1681</v>
      </c>
      <c r="B763" t="s">
        <v>66</v>
      </c>
      <c r="C763" t="s">
        <v>44</v>
      </c>
      <c r="D763" t="s">
        <v>29</v>
      </c>
      <c r="E763" t="s">
        <v>244</v>
      </c>
      <c r="F763" t="s">
        <v>160</v>
      </c>
      <c r="G763" t="s">
        <v>58</v>
      </c>
      <c r="H763">
        <v>1.2</v>
      </c>
      <c r="I763">
        <v>21.1</v>
      </c>
      <c r="J763" t="s">
        <v>156</v>
      </c>
      <c r="K763" t="s">
        <v>355</v>
      </c>
      <c r="L763" t="s">
        <v>60</v>
      </c>
      <c r="M763" t="s">
        <v>69</v>
      </c>
      <c r="N763" t="s">
        <v>71</v>
      </c>
      <c r="O763">
        <v>102</v>
      </c>
      <c r="P763" t="s">
        <v>105</v>
      </c>
      <c r="Q763">
        <v>2313</v>
      </c>
      <c r="R763">
        <v>0</v>
      </c>
      <c r="S763" t="s">
        <v>152</v>
      </c>
      <c r="T763" t="s">
        <v>136</v>
      </c>
      <c r="U763" t="s">
        <v>39</v>
      </c>
      <c r="V763" t="s">
        <v>52</v>
      </c>
      <c r="W763" t="s">
        <v>39</v>
      </c>
      <c r="X763">
        <v>2022</v>
      </c>
      <c r="Y763" t="s">
        <v>63</v>
      </c>
      <c r="Z763" t="s">
        <v>64</v>
      </c>
    </row>
    <row r="764" spans="1:26">
      <c r="A764" t="s">
        <v>1682</v>
      </c>
      <c r="B764" t="s">
        <v>43</v>
      </c>
      <c r="C764" t="s">
        <v>173</v>
      </c>
      <c r="D764" t="s">
        <v>29</v>
      </c>
      <c r="E764" t="s">
        <v>244</v>
      </c>
      <c r="F764" t="s">
        <v>238</v>
      </c>
      <c r="G764" t="s">
        <v>32</v>
      </c>
      <c r="H764">
        <v>9.9</v>
      </c>
      <c r="I764">
        <v>9</v>
      </c>
      <c r="J764" t="s">
        <v>33</v>
      </c>
      <c r="K764" t="s">
        <v>512</v>
      </c>
      <c r="L764" t="s">
        <v>98</v>
      </c>
      <c r="M764" t="s">
        <v>1132</v>
      </c>
      <c r="N764" t="s">
        <v>37</v>
      </c>
      <c r="O764">
        <v>83</v>
      </c>
      <c r="P764" t="s">
        <v>2265</v>
      </c>
      <c r="Q764">
        <v>0</v>
      </c>
      <c r="R764">
        <v>1000</v>
      </c>
      <c r="S764" t="s">
        <v>2265</v>
      </c>
      <c r="T764" t="s">
        <v>81</v>
      </c>
      <c r="U764" t="s">
        <v>39</v>
      </c>
      <c r="V764" t="s">
        <v>39</v>
      </c>
      <c r="W764" t="s">
        <v>52</v>
      </c>
      <c r="X764">
        <v>2022</v>
      </c>
      <c r="Y764" t="s">
        <v>153</v>
      </c>
      <c r="Z764" t="s">
        <v>54</v>
      </c>
    </row>
    <row r="765" spans="1:26">
      <c r="A765" t="s">
        <v>1683</v>
      </c>
      <c r="B765" t="s">
        <v>108</v>
      </c>
      <c r="C765" t="s">
        <v>44</v>
      </c>
      <c r="D765" t="s">
        <v>77</v>
      </c>
      <c r="E765" t="s">
        <v>216</v>
      </c>
      <c r="F765" t="s">
        <v>109</v>
      </c>
      <c r="G765" t="s">
        <v>58</v>
      </c>
      <c r="H765">
        <v>10.3</v>
      </c>
      <c r="I765">
        <v>17.2</v>
      </c>
      <c r="J765" t="s">
        <v>144</v>
      </c>
      <c r="K765" t="s">
        <v>1361</v>
      </c>
      <c r="L765" t="s">
        <v>48</v>
      </c>
      <c r="M765" t="s">
        <v>820</v>
      </c>
      <c r="N765" t="s">
        <v>37</v>
      </c>
      <c r="O765">
        <v>76</v>
      </c>
      <c r="P765" t="s">
        <v>2265</v>
      </c>
      <c r="Q765">
        <v>0</v>
      </c>
      <c r="R765">
        <v>0</v>
      </c>
      <c r="S765" t="s">
        <v>2265</v>
      </c>
      <c r="T765" t="s">
        <v>62</v>
      </c>
      <c r="U765" t="s">
        <v>52</v>
      </c>
      <c r="V765" t="s">
        <v>52</v>
      </c>
      <c r="W765" t="s">
        <v>52</v>
      </c>
      <c r="X765">
        <v>2022</v>
      </c>
      <c r="Y765" t="s">
        <v>106</v>
      </c>
      <c r="Z765" t="s">
        <v>83</v>
      </c>
    </row>
    <row r="766" spans="1:26">
      <c r="A766" t="s">
        <v>1684</v>
      </c>
      <c r="B766" t="s">
        <v>43</v>
      </c>
      <c r="C766" t="s">
        <v>67</v>
      </c>
      <c r="D766" t="s">
        <v>29</v>
      </c>
      <c r="E766" t="s">
        <v>94</v>
      </c>
      <c r="F766" t="s">
        <v>109</v>
      </c>
      <c r="G766" t="s">
        <v>32</v>
      </c>
      <c r="H766">
        <v>4.5</v>
      </c>
      <c r="I766">
        <v>31.6</v>
      </c>
      <c r="J766" t="s">
        <v>33</v>
      </c>
      <c r="K766" t="s">
        <v>1221</v>
      </c>
      <c r="L766" t="s">
        <v>98</v>
      </c>
      <c r="M766" t="s">
        <v>1685</v>
      </c>
      <c r="N766" t="s">
        <v>100</v>
      </c>
      <c r="O766">
        <v>68</v>
      </c>
      <c r="P766" t="s">
        <v>2265</v>
      </c>
      <c r="Q766">
        <v>0</v>
      </c>
      <c r="R766">
        <v>0</v>
      </c>
      <c r="S766" t="s">
        <v>2265</v>
      </c>
      <c r="T766" t="s">
        <v>81</v>
      </c>
      <c r="U766" t="s">
        <v>39</v>
      </c>
      <c r="V766" t="s">
        <v>52</v>
      </c>
      <c r="W766" t="s">
        <v>52</v>
      </c>
      <c r="X766">
        <v>2024</v>
      </c>
      <c r="Y766" t="s">
        <v>106</v>
      </c>
      <c r="Z766" t="s">
        <v>83</v>
      </c>
    </row>
    <row r="767" spans="1:26">
      <c r="A767" t="s">
        <v>1686</v>
      </c>
      <c r="B767" t="s">
        <v>43</v>
      </c>
      <c r="C767" t="s">
        <v>67</v>
      </c>
      <c r="D767" t="s">
        <v>29</v>
      </c>
      <c r="E767" t="s">
        <v>244</v>
      </c>
      <c r="F767" t="s">
        <v>109</v>
      </c>
      <c r="G767" t="s">
        <v>58</v>
      </c>
      <c r="H767">
        <v>1.3</v>
      </c>
      <c r="I767">
        <v>29</v>
      </c>
      <c r="J767" t="s">
        <v>144</v>
      </c>
      <c r="K767" t="s">
        <v>430</v>
      </c>
      <c r="L767" t="s">
        <v>60</v>
      </c>
      <c r="M767" t="s">
        <v>423</v>
      </c>
      <c r="N767" t="s">
        <v>50</v>
      </c>
      <c r="O767">
        <v>25</v>
      </c>
      <c r="P767" t="s">
        <v>2265</v>
      </c>
      <c r="Q767">
        <v>0</v>
      </c>
      <c r="R767">
        <v>500</v>
      </c>
      <c r="S767" t="s">
        <v>2265</v>
      </c>
      <c r="T767" t="s">
        <v>62</v>
      </c>
      <c r="U767" t="s">
        <v>39</v>
      </c>
      <c r="V767" t="s">
        <v>52</v>
      </c>
      <c r="W767" t="s">
        <v>52</v>
      </c>
      <c r="X767">
        <v>2022</v>
      </c>
      <c r="Y767" t="s">
        <v>114</v>
      </c>
      <c r="Z767" t="s">
        <v>41</v>
      </c>
    </row>
    <row r="768" spans="1:26">
      <c r="A768" t="s">
        <v>1687</v>
      </c>
      <c r="B768" t="s">
        <v>93</v>
      </c>
      <c r="C768" t="s">
        <v>121</v>
      </c>
      <c r="D768" t="s">
        <v>77</v>
      </c>
      <c r="E768" t="s">
        <v>94</v>
      </c>
      <c r="F768" t="s">
        <v>68</v>
      </c>
      <c r="G768" t="s">
        <v>58</v>
      </c>
      <c r="H768">
        <v>6.8</v>
      </c>
      <c r="I768">
        <v>2.5</v>
      </c>
      <c r="J768" t="s">
        <v>156</v>
      </c>
      <c r="K768" t="s">
        <v>1688</v>
      </c>
      <c r="L768" t="s">
        <v>60</v>
      </c>
      <c r="M768" t="s">
        <v>1529</v>
      </c>
      <c r="N768" t="s">
        <v>71</v>
      </c>
      <c r="O768">
        <v>44</v>
      </c>
      <c r="P768" t="s">
        <v>230</v>
      </c>
      <c r="Q768">
        <v>7587</v>
      </c>
      <c r="R768">
        <v>500</v>
      </c>
      <c r="S768" t="s">
        <v>152</v>
      </c>
      <c r="T768" t="s">
        <v>62</v>
      </c>
      <c r="U768" t="s">
        <v>39</v>
      </c>
      <c r="V768" t="s">
        <v>52</v>
      </c>
      <c r="W768" t="s">
        <v>39</v>
      </c>
      <c r="X768">
        <v>2022</v>
      </c>
      <c r="Y768" t="s">
        <v>53</v>
      </c>
      <c r="Z768" t="s">
        <v>54</v>
      </c>
    </row>
    <row r="769" spans="1:26">
      <c r="A769" t="s">
        <v>1689</v>
      </c>
      <c r="B769" t="s">
        <v>27</v>
      </c>
      <c r="C769" t="s">
        <v>173</v>
      </c>
      <c r="D769" t="s">
        <v>77</v>
      </c>
      <c r="E769" t="s">
        <v>78</v>
      </c>
      <c r="F769" t="s">
        <v>46</v>
      </c>
      <c r="G769" t="s">
        <v>58</v>
      </c>
      <c r="H769">
        <v>2.7</v>
      </c>
      <c r="I769">
        <v>16.100000000000001</v>
      </c>
      <c r="J769" t="s">
        <v>20</v>
      </c>
      <c r="K769" t="s">
        <v>515</v>
      </c>
      <c r="L769" t="s">
        <v>140</v>
      </c>
      <c r="M769" t="s">
        <v>232</v>
      </c>
      <c r="N769" t="s">
        <v>100</v>
      </c>
      <c r="O769">
        <v>35</v>
      </c>
      <c r="P769" t="s">
        <v>2265</v>
      </c>
      <c r="Q769">
        <v>0</v>
      </c>
      <c r="R769">
        <v>0</v>
      </c>
      <c r="S769" t="s">
        <v>2265</v>
      </c>
      <c r="T769" t="s">
        <v>136</v>
      </c>
      <c r="U769" t="s">
        <v>39</v>
      </c>
      <c r="V769" t="s">
        <v>52</v>
      </c>
      <c r="W769" t="s">
        <v>52</v>
      </c>
      <c r="X769">
        <v>2024</v>
      </c>
      <c r="Y769" t="s">
        <v>153</v>
      </c>
      <c r="Z769" t="s">
        <v>54</v>
      </c>
    </row>
    <row r="770" spans="1:26">
      <c r="A770" t="s">
        <v>1690</v>
      </c>
      <c r="B770" t="s">
        <v>43</v>
      </c>
      <c r="C770" t="s">
        <v>102</v>
      </c>
      <c r="D770" t="s">
        <v>77</v>
      </c>
      <c r="E770" t="s">
        <v>220</v>
      </c>
      <c r="F770" t="s">
        <v>124</v>
      </c>
      <c r="G770" t="s">
        <v>58</v>
      </c>
      <c r="H770">
        <v>0.9</v>
      </c>
      <c r="I770">
        <v>14.8</v>
      </c>
      <c r="J770" t="s">
        <v>96</v>
      </c>
      <c r="K770" t="s">
        <v>1162</v>
      </c>
      <c r="L770" t="s">
        <v>48</v>
      </c>
      <c r="M770" t="s">
        <v>1691</v>
      </c>
      <c r="N770" t="s">
        <v>71</v>
      </c>
      <c r="O770">
        <v>151</v>
      </c>
      <c r="P770" t="s">
        <v>230</v>
      </c>
      <c r="Q770">
        <v>3581</v>
      </c>
      <c r="R770">
        <v>1000</v>
      </c>
      <c r="S770" t="s">
        <v>90</v>
      </c>
      <c r="T770" t="s">
        <v>38</v>
      </c>
      <c r="U770" t="s">
        <v>39</v>
      </c>
      <c r="V770" t="s">
        <v>39</v>
      </c>
      <c r="W770" t="s">
        <v>39</v>
      </c>
      <c r="X770">
        <v>2024</v>
      </c>
      <c r="Y770" t="s">
        <v>106</v>
      </c>
      <c r="Z770" t="s">
        <v>83</v>
      </c>
    </row>
    <row r="771" spans="1:26">
      <c r="A771" t="s">
        <v>1692</v>
      </c>
      <c r="B771" t="s">
        <v>93</v>
      </c>
      <c r="C771" t="s">
        <v>164</v>
      </c>
      <c r="D771" t="s">
        <v>85</v>
      </c>
      <c r="E771" t="s">
        <v>138</v>
      </c>
      <c r="F771" t="s">
        <v>95</v>
      </c>
      <c r="G771" t="s">
        <v>32</v>
      </c>
      <c r="H771">
        <v>8.4</v>
      </c>
      <c r="I771">
        <v>5.3</v>
      </c>
      <c r="J771" t="s">
        <v>33</v>
      </c>
      <c r="K771" t="s">
        <v>1109</v>
      </c>
      <c r="L771" t="s">
        <v>48</v>
      </c>
      <c r="M771" t="s">
        <v>1693</v>
      </c>
      <c r="N771" t="s">
        <v>100</v>
      </c>
      <c r="O771">
        <v>105</v>
      </c>
      <c r="P771" t="s">
        <v>2265</v>
      </c>
      <c r="Q771">
        <v>0</v>
      </c>
      <c r="R771">
        <v>0</v>
      </c>
      <c r="S771" t="s">
        <v>2265</v>
      </c>
      <c r="T771" t="s">
        <v>136</v>
      </c>
      <c r="U771" t="s">
        <v>39</v>
      </c>
      <c r="V771" t="s">
        <v>52</v>
      </c>
      <c r="W771" t="s">
        <v>39</v>
      </c>
      <c r="X771">
        <v>2024</v>
      </c>
      <c r="Y771" t="s">
        <v>312</v>
      </c>
      <c r="Z771" t="s">
        <v>83</v>
      </c>
    </row>
    <row r="772" spans="1:26">
      <c r="A772" t="s">
        <v>1694</v>
      </c>
      <c r="B772" t="s">
        <v>93</v>
      </c>
      <c r="C772" t="s">
        <v>121</v>
      </c>
      <c r="D772" t="s">
        <v>77</v>
      </c>
      <c r="E772" t="s">
        <v>168</v>
      </c>
      <c r="F772" t="s">
        <v>95</v>
      </c>
      <c r="G772" t="s">
        <v>32</v>
      </c>
      <c r="H772">
        <v>11.8</v>
      </c>
      <c r="I772">
        <v>22.3</v>
      </c>
      <c r="J772" t="s">
        <v>33</v>
      </c>
      <c r="K772" t="s">
        <v>1695</v>
      </c>
      <c r="L772" t="s">
        <v>140</v>
      </c>
      <c r="M772" t="s">
        <v>1257</v>
      </c>
      <c r="N772" t="s">
        <v>37</v>
      </c>
      <c r="O772">
        <v>52</v>
      </c>
      <c r="P772" t="s">
        <v>2265</v>
      </c>
      <c r="Q772">
        <v>0</v>
      </c>
      <c r="R772">
        <v>500</v>
      </c>
      <c r="S772" t="s">
        <v>2265</v>
      </c>
      <c r="T772" t="s">
        <v>38</v>
      </c>
      <c r="U772" t="s">
        <v>39</v>
      </c>
      <c r="V772" t="s">
        <v>52</v>
      </c>
      <c r="W772" t="s">
        <v>52</v>
      </c>
      <c r="X772">
        <v>2024</v>
      </c>
      <c r="Y772" t="s">
        <v>74</v>
      </c>
      <c r="Z772" t="s">
        <v>54</v>
      </c>
    </row>
    <row r="773" spans="1:26">
      <c r="A773" t="s">
        <v>1696</v>
      </c>
      <c r="B773" t="s">
        <v>27</v>
      </c>
      <c r="C773" t="s">
        <v>67</v>
      </c>
      <c r="D773" t="s">
        <v>29</v>
      </c>
      <c r="E773" t="s">
        <v>45</v>
      </c>
      <c r="F773" t="s">
        <v>95</v>
      </c>
      <c r="G773" t="s">
        <v>58</v>
      </c>
      <c r="H773">
        <v>4.7</v>
      </c>
      <c r="I773">
        <v>1.5</v>
      </c>
      <c r="J773" t="s">
        <v>33</v>
      </c>
      <c r="K773" t="s">
        <v>1278</v>
      </c>
      <c r="L773" t="s">
        <v>98</v>
      </c>
      <c r="M773" t="s">
        <v>145</v>
      </c>
      <c r="N773" t="s">
        <v>71</v>
      </c>
      <c r="O773">
        <v>136</v>
      </c>
      <c r="P773" t="s">
        <v>105</v>
      </c>
      <c r="Q773">
        <v>1519</v>
      </c>
      <c r="R773">
        <v>0</v>
      </c>
      <c r="S773" t="s">
        <v>90</v>
      </c>
      <c r="T773" t="s">
        <v>81</v>
      </c>
      <c r="U773" t="s">
        <v>39</v>
      </c>
      <c r="V773" t="s">
        <v>52</v>
      </c>
      <c r="W773" t="s">
        <v>39</v>
      </c>
      <c r="X773">
        <v>2022</v>
      </c>
      <c r="Y773" t="s">
        <v>106</v>
      </c>
      <c r="Z773" t="s">
        <v>83</v>
      </c>
    </row>
    <row r="774" spans="1:26">
      <c r="A774" t="s">
        <v>1697</v>
      </c>
      <c r="B774" t="s">
        <v>27</v>
      </c>
      <c r="C774" t="s">
        <v>76</v>
      </c>
      <c r="D774" t="s">
        <v>77</v>
      </c>
      <c r="E774" t="s">
        <v>260</v>
      </c>
      <c r="F774" t="s">
        <v>109</v>
      </c>
      <c r="G774" t="s">
        <v>58</v>
      </c>
      <c r="H774">
        <v>9.8000000000000007</v>
      </c>
      <c r="I774">
        <v>15.9</v>
      </c>
      <c r="J774" t="s">
        <v>96</v>
      </c>
      <c r="K774" t="s">
        <v>1698</v>
      </c>
      <c r="L774" t="s">
        <v>60</v>
      </c>
      <c r="M774" t="s">
        <v>881</v>
      </c>
      <c r="N774" t="s">
        <v>71</v>
      </c>
      <c r="O774">
        <v>113</v>
      </c>
      <c r="P774" t="s">
        <v>72</v>
      </c>
      <c r="Q774">
        <v>7156</v>
      </c>
      <c r="R774">
        <v>0</v>
      </c>
      <c r="S774" t="s">
        <v>73</v>
      </c>
      <c r="T774" t="s">
        <v>51</v>
      </c>
      <c r="U774" t="s">
        <v>39</v>
      </c>
      <c r="V774" t="s">
        <v>52</v>
      </c>
      <c r="W774" t="s">
        <v>52</v>
      </c>
      <c r="X774">
        <v>2022</v>
      </c>
      <c r="Y774" t="s">
        <v>63</v>
      </c>
      <c r="Z774" t="s">
        <v>64</v>
      </c>
    </row>
    <row r="775" spans="1:26">
      <c r="A775" t="s">
        <v>1699</v>
      </c>
      <c r="B775" t="s">
        <v>27</v>
      </c>
      <c r="C775" t="s">
        <v>44</v>
      </c>
      <c r="D775" t="s">
        <v>29</v>
      </c>
      <c r="E775" t="s">
        <v>117</v>
      </c>
      <c r="F775" t="s">
        <v>149</v>
      </c>
      <c r="G775" t="s">
        <v>58</v>
      </c>
      <c r="H775">
        <v>11.3</v>
      </c>
      <c r="I775">
        <v>32.5</v>
      </c>
      <c r="J775" t="s">
        <v>156</v>
      </c>
      <c r="K775" t="s">
        <v>1285</v>
      </c>
      <c r="L775" t="s">
        <v>140</v>
      </c>
      <c r="M775" t="s">
        <v>1700</v>
      </c>
      <c r="N775" t="s">
        <v>71</v>
      </c>
      <c r="O775">
        <v>155</v>
      </c>
      <c r="P775" t="s">
        <v>230</v>
      </c>
      <c r="Q775">
        <v>4011</v>
      </c>
      <c r="R775">
        <v>0</v>
      </c>
      <c r="S775" t="s">
        <v>152</v>
      </c>
      <c r="T775" t="s">
        <v>81</v>
      </c>
      <c r="U775" t="s">
        <v>39</v>
      </c>
      <c r="V775" t="s">
        <v>39</v>
      </c>
      <c r="W775" t="s">
        <v>52</v>
      </c>
      <c r="X775">
        <v>2023</v>
      </c>
      <c r="Y775" t="s">
        <v>106</v>
      </c>
      <c r="Z775" t="s">
        <v>83</v>
      </c>
    </row>
    <row r="776" spans="1:26">
      <c r="A776" t="s">
        <v>1701</v>
      </c>
      <c r="B776" t="s">
        <v>108</v>
      </c>
      <c r="C776" t="s">
        <v>28</v>
      </c>
      <c r="D776" t="s">
        <v>77</v>
      </c>
      <c r="E776" t="s">
        <v>363</v>
      </c>
      <c r="F776" t="s">
        <v>109</v>
      </c>
      <c r="G776" t="s">
        <v>58</v>
      </c>
      <c r="H776">
        <v>0.8</v>
      </c>
      <c r="I776">
        <v>34.4</v>
      </c>
      <c r="J776" t="s">
        <v>156</v>
      </c>
      <c r="K776" t="s">
        <v>1702</v>
      </c>
      <c r="L776" t="s">
        <v>98</v>
      </c>
      <c r="M776" t="s">
        <v>664</v>
      </c>
      <c r="N776" t="s">
        <v>171</v>
      </c>
      <c r="O776">
        <v>11</v>
      </c>
      <c r="P776" t="s">
        <v>2265</v>
      </c>
      <c r="Q776">
        <v>0</v>
      </c>
      <c r="R776">
        <v>0</v>
      </c>
      <c r="S776" t="s">
        <v>2265</v>
      </c>
      <c r="T776" t="s">
        <v>51</v>
      </c>
      <c r="U776" t="s">
        <v>52</v>
      </c>
      <c r="V776" t="s">
        <v>52</v>
      </c>
      <c r="W776" t="s">
        <v>52</v>
      </c>
      <c r="X776">
        <v>2024</v>
      </c>
      <c r="Y776" t="s">
        <v>74</v>
      </c>
      <c r="Z776" t="s">
        <v>54</v>
      </c>
    </row>
    <row r="777" spans="1:26">
      <c r="A777" t="s">
        <v>1703</v>
      </c>
      <c r="B777" t="s">
        <v>108</v>
      </c>
      <c r="C777" t="s">
        <v>44</v>
      </c>
      <c r="D777" t="s">
        <v>29</v>
      </c>
      <c r="E777" t="s">
        <v>56</v>
      </c>
      <c r="F777" t="s">
        <v>95</v>
      </c>
      <c r="G777" t="s">
        <v>32</v>
      </c>
      <c r="H777">
        <v>11.3</v>
      </c>
      <c r="I777">
        <v>15.2</v>
      </c>
      <c r="J777" t="s">
        <v>33</v>
      </c>
      <c r="K777" t="s">
        <v>304</v>
      </c>
      <c r="L777" t="s">
        <v>126</v>
      </c>
      <c r="M777" t="s">
        <v>186</v>
      </c>
      <c r="N777" t="s">
        <v>37</v>
      </c>
      <c r="O777">
        <v>115</v>
      </c>
      <c r="P777" t="s">
        <v>2265</v>
      </c>
      <c r="Q777">
        <v>0</v>
      </c>
      <c r="R777">
        <v>500</v>
      </c>
      <c r="S777" t="s">
        <v>2265</v>
      </c>
      <c r="T777" t="s">
        <v>38</v>
      </c>
      <c r="U777" t="s">
        <v>39</v>
      </c>
      <c r="V777" t="s">
        <v>52</v>
      </c>
      <c r="W777" t="s">
        <v>52</v>
      </c>
      <c r="X777">
        <v>2022</v>
      </c>
      <c r="Y777" t="s">
        <v>91</v>
      </c>
      <c r="Z777" t="s">
        <v>64</v>
      </c>
    </row>
    <row r="778" spans="1:26">
      <c r="A778" t="s">
        <v>1704</v>
      </c>
      <c r="B778" t="s">
        <v>27</v>
      </c>
      <c r="C778" t="s">
        <v>76</v>
      </c>
      <c r="D778" t="s">
        <v>77</v>
      </c>
      <c r="E778" t="s">
        <v>94</v>
      </c>
      <c r="F778" t="s">
        <v>124</v>
      </c>
      <c r="G778" t="s">
        <v>58</v>
      </c>
      <c r="H778">
        <v>9.3000000000000007</v>
      </c>
      <c r="I778">
        <v>24.6</v>
      </c>
      <c r="J778" t="s">
        <v>33</v>
      </c>
      <c r="K778" t="s">
        <v>36</v>
      </c>
      <c r="L778" t="s">
        <v>140</v>
      </c>
      <c r="M778" t="s">
        <v>943</v>
      </c>
      <c r="N778" t="s">
        <v>61</v>
      </c>
      <c r="O778">
        <v>128</v>
      </c>
      <c r="P778" t="s">
        <v>2265</v>
      </c>
      <c r="Q778">
        <v>0</v>
      </c>
      <c r="R778">
        <v>0</v>
      </c>
      <c r="S778" t="s">
        <v>2265</v>
      </c>
      <c r="T778" t="s">
        <v>62</v>
      </c>
      <c r="U778" t="s">
        <v>39</v>
      </c>
      <c r="V778" t="s">
        <v>52</v>
      </c>
      <c r="W778" t="s">
        <v>52</v>
      </c>
      <c r="X778">
        <v>2023</v>
      </c>
      <c r="Y778" t="s">
        <v>114</v>
      </c>
      <c r="Z778" t="s">
        <v>41</v>
      </c>
    </row>
    <row r="779" spans="1:26">
      <c r="A779" t="s">
        <v>1705</v>
      </c>
      <c r="B779" t="s">
        <v>116</v>
      </c>
      <c r="C779" t="s">
        <v>44</v>
      </c>
      <c r="D779" t="s">
        <v>77</v>
      </c>
      <c r="E779" t="s">
        <v>220</v>
      </c>
      <c r="F779" t="s">
        <v>109</v>
      </c>
      <c r="G779" t="s">
        <v>58</v>
      </c>
      <c r="H779">
        <v>2.2999999999999998</v>
      </c>
      <c r="I779">
        <v>33.799999999999997</v>
      </c>
      <c r="J779" t="s">
        <v>20</v>
      </c>
      <c r="K779" t="s">
        <v>1706</v>
      </c>
      <c r="L779" t="s">
        <v>60</v>
      </c>
      <c r="M779" t="s">
        <v>326</v>
      </c>
      <c r="N779" t="s">
        <v>100</v>
      </c>
      <c r="O779">
        <v>78</v>
      </c>
      <c r="P779" t="s">
        <v>2265</v>
      </c>
      <c r="Q779">
        <v>0</v>
      </c>
      <c r="R779">
        <v>0</v>
      </c>
      <c r="S779" t="s">
        <v>2265</v>
      </c>
      <c r="T779" t="s">
        <v>38</v>
      </c>
      <c r="U779" t="s">
        <v>39</v>
      </c>
      <c r="V779" t="s">
        <v>39</v>
      </c>
      <c r="W779" t="s">
        <v>52</v>
      </c>
      <c r="X779">
        <v>2022</v>
      </c>
      <c r="Y779" t="s">
        <v>74</v>
      </c>
      <c r="Z779" t="s">
        <v>54</v>
      </c>
    </row>
    <row r="780" spans="1:26">
      <c r="A780" t="s">
        <v>1707</v>
      </c>
      <c r="B780" t="s">
        <v>116</v>
      </c>
      <c r="C780" t="s">
        <v>76</v>
      </c>
      <c r="D780" t="s">
        <v>77</v>
      </c>
      <c r="E780" t="s">
        <v>363</v>
      </c>
      <c r="F780" t="s">
        <v>57</v>
      </c>
      <c r="G780" t="s">
        <v>58</v>
      </c>
      <c r="H780">
        <v>2.6</v>
      </c>
      <c r="I780">
        <v>22.6</v>
      </c>
      <c r="J780" t="s">
        <v>156</v>
      </c>
      <c r="K780" t="s">
        <v>1708</v>
      </c>
      <c r="L780" t="s">
        <v>35</v>
      </c>
      <c r="M780" t="s">
        <v>1614</v>
      </c>
      <c r="N780" t="s">
        <v>37</v>
      </c>
      <c r="O780">
        <v>19</v>
      </c>
      <c r="P780" t="s">
        <v>2265</v>
      </c>
      <c r="Q780">
        <v>0</v>
      </c>
      <c r="R780">
        <v>1000</v>
      </c>
      <c r="S780" t="s">
        <v>2265</v>
      </c>
      <c r="T780" t="s">
        <v>51</v>
      </c>
      <c r="U780" t="s">
        <v>39</v>
      </c>
      <c r="V780" t="s">
        <v>39</v>
      </c>
      <c r="W780" t="s">
        <v>52</v>
      </c>
      <c r="X780">
        <v>2023</v>
      </c>
      <c r="Y780" t="s">
        <v>91</v>
      </c>
      <c r="Z780" t="s">
        <v>64</v>
      </c>
    </row>
    <row r="781" spans="1:26">
      <c r="A781" t="s">
        <v>1709</v>
      </c>
      <c r="B781" t="s">
        <v>43</v>
      </c>
      <c r="C781" t="s">
        <v>173</v>
      </c>
      <c r="D781" t="s">
        <v>77</v>
      </c>
      <c r="E781" t="s">
        <v>94</v>
      </c>
      <c r="F781" t="s">
        <v>57</v>
      </c>
      <c r="G781" t="s">
        <v>32</v>
      </c>
      <c r="H781">
        <v>0.6</v>
      </c>
      <c r="I781">
        <v>5.4</v>
      </c>
      <c r="J781" t="s">
        <v>33</v>
      </c>
      <c r="K781" t="s">
        <v>323</v>
      </c>
      <c r="L781" t="s">
        <v>98</v>
      </c>
      <c r="M781" t="s">
        <v>34</v>
      </c>
      <c r="N781" t="s">
        <v>100</v>
      </c>
      <c r="O781">
        <v>96</v>
      </c>
      <c r="P781" t="s">
        <v>2265</v>
      </c>
      <c r="Q781">
        <v>0</v>
      </c>
      <c r="R781">
        <v>0</v>
      </c>
      <c r="S781" t="s">
        <v>2265</v>
      </c>
      <c r="T781" t="s">
        <v>51</v>
      </c>
      <c r="U781" t="s">
        <v>52</v>
      </c>
      <c r="V781" t="s">
        <v>52</v>
      </c>
      <c r="W781" t="s">
        <v>39</v>
      </c>
      <c r="X781">
        <v>2023</v>
      </c>
      <c r="Y781" t="s">
        <v>74</v>
      </c>
      <c r="Z781" t="s">
        <v>54</v>
      </c>
    </row>
    <row r="782" spans="1:26">
      <c r="A782" t="s">
        <v>1710</v>
      </c>
      <c r="B782" t="s">
        <v>66</v>
      </c>
      <c r="C782" t="s">
        <v>44</v>
      </c>
      <c r="D782" t="s">
        <v>85</v>
      </c>
      <c r="E782" t="s">
        <v>86</v>
      </c>
      <c r="F782" t="s">
        <v>238</v>
      </c>
      <c r="G782" t="s">
        <v>32</v>
      </c>
      <c r="H782">
        <v>3.1</v>
      </c>
      <c r="I782">
        <v>0.9</v>
      </c>
      <c r="J782" t="s">
        <v>33</v>
      </c>
      <c r="K782" t="s">
        <v>795</v>
      </c>
      <c r="L782" t="s">
        <v>98</v>
      </c>
      <c r="M782" t="s">
        <v>1459</v>
      </c>
      <c r="N782" t="s">
        <v>37</v>
      </c>
      <c r="O782">
        <v>72</v>
      </c>
      <c r="P782" t="s">
        <v>2265</v>
      </c>
      <c r="Q782">
        <v>0</v>
      </c>
      <c r="R782">
        <v>1000</v>
      </c>
      <c r="S782" t="s">
        <v>2265</v>
      </c>
      <c r="T782" t="s">
        <v>81</v>
      </c>
      <c r="U782" t="s">
        <v>39</v>
      </c>
      <c r="V782" t="s">
        <v>52</v>
      </c>
      <c r="W782" t="s">
        <v>39</v>
      </c>
      <c r="X782">
        <v>2024</v>
      </c>
      <c r="Y782" t="s">
        <v>82</v>
      </c>
      <c r="Z782" t="s">
        <v>83</v>
      </c>
    </row>
    <row r="783" spans="1:26">
      <c r="A783" t="s">
        <v>1711</v>
      </c>
      <c r="B783" t="s">
        <v>66</v>
      </c>
      <c r="C783" t="s">
        <v>44</v>
      </c>
      <c r="D783" t="s">
        <v>29</v>
      </c>
      <c r="E783" t="s">
        <v>45</v>
      </c>
      <c r="F783" t="s">
        <v>160</v>
      </c>
      <c r="G783" t="s">
        <v>32</v>
      </c>
      <c r="H783">
        <v>2.1</v>
      </c>
      <c r="I783">
        <v>26</v>
      </c>
      <c r="J783" t="s">
        <v>33</v>
      </c>
      <c r="K783" t="s">
        <v>1271</v>
      </c>
      <c r="L783" t="s">
        <v>140</v>
      </c>
      <c r="M783" t="s">
        <v>407</v>
      </c>
      <c r="N783" t="s">
        <v>71</v>
      </c>
      <c r="O783">
        <v>18</v>
      </c>
      <c r="P783" t="s">
        <v>72</v>
      </c>
      <c r="Q783">
        <v>3699</v>
      </c>
      <c r="R783">
        <v>0</v>
      </c>
      <c r="S783" t="s">
        <v>73</v>
      </c>
      <c r="T783" t="s">
        <v>38</v>
      </c>
      <c r="U783" t="s">
        <v>52</v>
      </c>
      <c r="V783" t="s">
        <v>39</v>
      </c>
      <c r="W783" t="s">
        <v>39</v>
      </c>
      <c r="X783">
        <v>2024</v>
      </c>
      <c r="Y783" t="s">
        <v>114</v>
      </c>
      <c r="Z783" t="s">
        <v>41</v>
      </c>
    </row>
    <row r="784" spans="1:26">
      <c r="A784" t="s">
        <v>1712</v>
      </c>
      <c r="B784" t="s">
        <v>43</v>
      </c>
      <c r="C784" t="s">
        <v>76</v>
      </c>
      <c r="D784" t="s">
        <v>29</v>
      </c>
      <c r="E784" t="s">
        <v>195</v>
      </c>
      <c r="F784" t="s">
        <v>57</v>
      </c>
      <c r="G784" t="s">
        <v>58</v>
      </c>
      <c r="H784">
        <v>5.7</v>
      </c>
      <c r="I784">
        <v>4.3</v>
      </c>
      <c r="J784" t="s">
        <v>33</v>
      </c>
      <c r="K784" t="s">
        <v>1713</v>
      </c>
      <c r="L784" t="s">
        <v>98</v>
      </c>
      <c r="M784" t="s">
        <v>696</v>
      </c>
      <c r="N784" t="s">
        <v>71</v>
      </c>
      <c r="O784">
        <v>52</v>
      </c>
      <c r="P784" t="s">
        <v>230</v>
      </c>
      <c r="Q784">
        <v>3622</v>
      </c>
      <c r="R784">
        <v>0</v>
      </c>
      <c r="S784" t="s">
        <v>113</v>
      </c>
      <c r="T784" t="s">
        <v>136</v>
      </c>
      <c r="U784" t="s">
        <v>39</v>
      </c>
      <c r="V784" t="s">
        <v>52</v>
      </c>
      <c r="W784" t="s">
        <v>52</v>
      </c>
      <c r="X784">
        <v>2024</v>
      </c>
      <c r="Y784" t="s">
        <v>91</v>
      </c>
      <c r="Z784" t="s">
        <v>64</v>
      </c>
    </row>
    <row r="785" spans="1:26">
      <c r="A785" t="s">
        <v>1714</v>
      </c>
      <c r="B785" t="s">
        <v>43</v>
      </c>
      <c r="C785" t="s">
        <v>67</v>
      </c>
      <c r="D785" t="s">
        <v>77</v>
      </c>
      <c r="E785" t="s">
        <v>220</v>
      </c>
      <c r="F785" t="s">
        <v>160</v>
      </c>
      <c r="G785" t="s">
        <v>58</v>
      </c>
      <c r="H785">
        <v>0.6</v>
      </c>
      <c r="I785">
        <v>1</v>
      </c>
      <c r="J785" t="s">
        <v>33</v>
      </c>
      <c r="K785" t="s">
        <v>1333</v>
      </c>
      <c r="L785" t="s">
        <v>126</v>
      </c>
      <c r="M785" t="s">
        <v>1715</v>
      </c>
      <c r="N785" t="s">
        <v>37</v>
      </c>
      <c r="O785">
        <v>49</v>
      </c>
      <c r="P785" t="s">
        <v>2265</v>
      </c>
      <c r="Q785">
        <v>0</v>
      </c>
      <c r="R785">
        <v>500</v>
      </c>
      <c r="S785" t="s">
        <v>2265</v>
      </c>
      <c r="T785" t="s">
        <v>81</v>
      </c>
      <c r="U785" t="s">
        <v>39</v>
      </c>
      <c r="V785" t="s">
        <v>52</v>
      </c>
      <c r="W785" t="s">
        <v>52</v>
      </c>
      <c r="X785">
        <v>2024</v>
      </c>
      <c r="Y785" t="s">
        <v>91</v>
      </c>
      <c r="Z785" t="s">
        <v>64</v>
      </c>
    </row>
    <row r="786" spans="1:26">
      <c r="A786" t="s">
        <v>1716</v>
      </c>
      <c r="B786" t="s">
        <v>66</v>
      </c>
      <c r="C786" t="s">
        <v>121</v>
      </c>
      <c r="D786" t="s">
        <v>77</v>
      </c>
      <c r="E786" t="s">
        <v>168</v>
      </c>
      <c r="F786" t="s">
        <v>238</v>
      </c>
      <c r="G786" t="s">
        <v>32</v>
      </c>
      <c r="H786">
        <v>7.6</v>
      </c>
      <c r="I786">
        <v>12.1</v>
      </c>
      <c r="J786" t="s">
        <v>33</v>
      </c>
      <c r="K786" t="s">
        <v>426</v>
      </c>
      <c r="L786" t="s">
        <v>48</v>
      </c>
      <c r="M786" t="s">
        <v>125</v>
      </c>
      <c r="N786" t="s">
        <v>37</v>
      </c>
      <c r="O786">
        <v>17</v>
      </c>
      <c r="P786" t="s">
        <v>2265</v>
      </c>
      <c r="Q786">
        <v>0</v>
      </c>
      <c r="R786">
        <v>0</v>
      </c>
      <c r="S786" t="s">
        <v>2265</v>
      </c>
      <c r="T786" t="s">
        <v>62</v>
      </c>
      <c r="U786" t="s">
        <v>39</v>
      </c>
      <c r="V786" t="s">
        <v>52</v>
      </c>
      <c r="W786" t="s">
        <v>52</v>
      </c>
      <c r="X786">
        <v>2024</v>
      </c>
      <c r="Y786" t="s">
        <v>128</v>
      </c>
      <c r="Z786" t="s">
        <v>64</v>
      </c>
    </row>
    <row r="787" spans="1:26">
      <c r="A787" t="s">
        <v>1717</v>
      </c>
      <c r="B787" t="s">
        <v>43</v>
      </c>
      <c r="C787" t="s">
        <v>67</v>
      </c>
      <c r="D787" t="s">
        <v>77</v>
      </c>
      <c r="E787" t="s">
        <v>260</v>
      </c>
      <c r="F787" t="s">
        <v>46</v>
      </c>
      <c r="G787" t="s">
        <v>58</v>
      </c>
      <c r="H787">
        <v>6.5</v>
      </c>
      <c r="I787">
        <v>21.8</v>
      </c>
      <c r="J787" t="s">
        <v>33</v>
      </c>
      <c r="K787" t="s">
        <v>1718</v>
      </c>
      <c r="L787" t="s">
        <v>35</v>
      </c>
      <c r="M787" t="s">
        <v>1466</v>
      </c>
      <c r="N787" t="s">
        <v>71</v>
      </c>
      <c r="O787">
        <v>29</v>
      </c>
      <c r="P787" t="s">
        <v>89</v>
      </c>
      <c r="Q787">
        <v>6358</v>
      </c>
      <c r="R787">
        <v>1000</v>
      </c>
      <c r="S787" t="s">
        <v>73</v>
      </c>
      <c r="T787" t="s">
        <v>136</v>
      </c>
      <c r="U787" t="s">
        <v>39</v>
      </c>
      <c r="V787" t="s">
        <v>52</v>
      </c>
      <c r="W787" t="s">
        <v>39</v>
      </c>
      <c r="X787">
        <v>2022</v>
      </c>
      <c r="Y787" t="s">
        <v>74</v>
      </c>
      <c r="Z787" t="s">
        <v>54</v>
      </c>
    </row>
    <row r="788" spans="1:26">
      <c r="A788" t="s">
        <v>1719</v>
      </c>
      <c r="B788" t="s">
        <v>108</v>
      </c>
      <c r="C788" t="s">
        <v>44</v>
      </c>
      <c r="D788" t="s">
        <v>85</v>
      </c>
      <c r="E788" t="s">
        <v>138</v>
      </c>
      <c r="F788" t="s">
        <v>160</v>
      </c>
      <c r="G788" t="s">
        <v>32</v>
      </c>
      <c r="H788">
        <v>1</v>
      </c>
      <c r="I788">
        <v>22.9</v>
      </c>
      <c r="J788" t="s">
        <v>144</v>
      </c>
      <c r="K788" t="s">
        <v>605</v>
      </c>
      <c r="L788" t="s">
        <v>98</v>
      </c>
      <c r="M788" t="s">
        <v>1096</v>
      </c>
      <c r="N788" t="s">
        <v>71</v>
      </c>
      <c r="O788">
        <v>58</v>
      </c>
      <c r="P788" t="s">
        <v>89</v>
      </c>
      <c r="Q788">
        <v>2808</v>
      </c>
      <c r="R788">
        <v>1000</v>
      </c>
      <c r="S788" t="s">
        <v>90</v>
      </c>
      <c r="T788" t="s">
        <v>62</v>
      </c>
      <c r="U788" t="s">
        <v>39</v>
      </c>
      <c r="V788" t="s">
        <v>52</v>
      </c>
      <c r="W788" t="s">
        <v>52</v>
      </c>
      <c r="X788">
        <v>2022</v>
      </c>
      <c r="Y788" t="s">
        <v>114</v>
      </c>
      <c r="Z788" t="s">
        <v>41</v>
      </c>
    </row>
    <row r="789" spans="1:26">
      <c r="A789" t="s">
        <v>1720</v>
      </c>
      <c r="B789" t="s">
        <v>66</v>
      </c>
      <c r="C789" t="s">
        <v>164</v>
      </c>
      <c r="D789" t="s">
        <v>77</v>
      </c>
      <c r="E789" t="s">
        <v>216</v>
      </c>
      <c r="F789" t="s">
        <v>57</v>
      </c>
      <c r="G789" t="s">
        <v>32</v>
      </c>
      <c r="H789">
        <v>2.8</v>
      </c>
      <c r="I789">
        <v>10.4</v>
      </c>
      <c r="J789" t="s">
        <v>33</v>
      </c>
      <c r="K789" t="s">
        <v>1415</v>
      </c>
      <c r="L789" t="s">
        <v>60</v>
      </c>
      <c r="M789" t="s">
        <v>1261</v>
      </c>
      <c r="N789" t="s">
        <v>171</v>
      </c>
      <c r="O789">
        <v>138</v>
      </c>
      <c r="P789" t="s">
        <v>2265</v>
      </c>
      <c r="Q789">
        <v>0</v>
      </c>
      <c r="R789">
        <v>0</v>
      </c>
      <c r="S789" t="s">
        <v>2265</v>
      </c>
      <c r="T789" t="s">
        <v>38</v>
      </c>
      <c r="U789" t="s">
        <v>52</v>
      </c>
      <c r="V789" t="s">
        <v>52</v>
      </c>
      <c r="W789" t="s">
        <v>52</v>
      </c>
      <c r="X789">
        <v>2024</v>
      </c>
      <c r="Y789" t="s">
        <v>40</v>
      </c>
      <c r="Z789" t="s">
        <v>41</v>
      </c>
    </row>
    <row r="790" spans="1:26">
      <c r="A790" t="s">
        <v>1721</v>
      </c>
      <c r="B790" t="s">
        <v>43</v>
      </c>
      <c r="C790" t="s">
        <v>44</v>
      </c>
      <c r="D790" t="s">
        <v>77</v>
      </c>
      <c r="E790" t="s">
        <v>78</v>
      </c>
      <c r="F790" t="s">
        <v>57</v>
      </c>
      <c r="G790" t="s">
        <v>32</v>
      </c>
      <c r="H790">
        <v>1.6</v>
      </c>
      <c r="I790">
        <v>22.1</v>
      </c>
      <c r="J790" t="s">
        <v>144</v>
      </c>
      <c r="K790" t="s">
        <v>1722</v>
      </c>
      <c r="L790" t="s">
        <v>98</v>
      </c>
      <c r="M790" t="s">
        <v>1723</v>
      </c>
      <c r="N790" t="s">
        <v>37</v>
      </c>
      <c r="O790">
        <v>139</v>
      </c>
      <c r="P790" t="s">
        <v>2265</v>
      </c>
      <c r="Q790">
        <v>0</v>
      </c>
      <c r="R790">
        <v>1000</v>
      </c>
      <c r="S790" t="s">
        <v>2265</v>
      </c>
      <c r="T790" t="s">
        <v>136</v>
      </c>
      <c r="U790" t="s">
        <v>52</v>
      </c>
      <c r="V790" t="s">
        <v>52</v>
      </c>
      <c r="W790" t="s">
        <v>52</v>
      </c>
      <c r="X790">
        <v>2024</v>
      </c>
      <c r="Y790" t="s">
        <v>74</v>
      </c>
      <c r="Z790" t="s">
        <v>54</v>
      </c>
    </row>
    <row r="791" spans="1:26">
      <c r="A791" t="s">
        <v>1724</v>
      </c>
      <c r="B791" t="s">
        <v>43</v>
      </c>
      <c r="C791" t="s">
        <v>102</v>
      </c>
      <c r="D791" t="s">
        <v>122</v>
      </c>
      <c r="E791" t="s">
        <v>155</v>
      </c>
      <c r="F791" t="s">
        <v>124</v>
      </c>
      <c r="G791" t="s">
        <v>58</v>
      </c>
      <c r="H791">
        <v>1.7</v>
      </c>
      <c r="I791">
        <v>18.8</v>
      </c>
      <c r="J791" t="s">
        <v>96</v>
      </c>
      <c r="K791" t="s">
        <v>1495</v>
      </c>
      <c r="L791" t="s">
        <v>98</v>
      </c>
      <c r="M791" t="s">
        <v>664</v>
      </c>
      <c r="N791" t="s">
        <v>100</v>
      </c>
      <c r="O791">
        <v>171</v>
      </c>
      <c r="P791" t="s">
        <v>2265</v>
      </c>
      <c r="Q791">
        <v>0</v>
      </c>
      <c r="R791">
        <v>0</v>
      </c>
      <c r="S791" t="s">
        <v>2265</v>
      </c>
      <c r="T791" t="s">
        <v>62</v>
      </c>
      <c r="U791" t="s">
        <v>39</v>
      </c>
      <c r="V791" t="s">
        <v>52</v>
      </c>
      <c r="W791" t="s">
        <v>52</v>
      </c>
      <c r="X791">
        <v>2023</v>
      </c>
      <c r="Y791" t="s">
        <v>91</v>
      </c>
      <c r="Z791" t="s">
        <v>64</v>
      </c>
    </row>
    <row r="792" spans="1:26">
      <c r="A792" t="s">
        <v>1725</v>
      </c>
      <c r="B792" t="s">
        <v>27</v>
      </c>
      <c r="C792" t="s">
        <v>44</v>
      </c>
      <c r="D792" t="s">
        <v>122</v>
      </c>
      <c r="E792" t="s">
        <v>155</v>
      </c>
      <c r="F792" t="s">
        <v>238</v>
      </c>
      <c r="G792" t="s">
        <v>58</v>
      </c>
      <c r="H792">
        <v>6.6</v>
      </c>
      <c r="I792">
        <v>16.100000000000001</v>
      </c>
      <c r="J792" t="s">
        <v>33</v>
      </c>
      <c r="K792" t="s">
        <v>570</v>
      </c>
      <c r="L792" t="s">
        <v>60</v>
      </c>
      <c r="M792" t="s">
        <v>587</v>
      </c>
      <c r="N792" t="s">
        <v>71</v>
      </c>
      <c r="O792">
        <v>101</v>
      </c>
      <c r="P792" t="s">
        <v>105</v>
      </c>
      <c r="Q792">
        <v>2426</v>
      </c>
      <c r="R792">
        <v>0</v>
      </c>
      <c r="S792" t="s">
        <v>113</v>
      </c>
      <c r="T792" t="s">
        <v>136</v>
      </c>
      <c r="U792" t="s">
        <v>52</v>
      </c>
      <c r="V792" t="s">
        <v>39</v>
      </c>
      <c r="W792" t="s">
        <v>52</v>
      </c>
      <c r="X792">
        <v>2023</v>
      </c>
      <c r="Y792" t="s">
        <v>312</v>
      </c>
      <c r="Z792" t="s">
        <v>83</v>
      </c>
    </row>
    <row r="793" spans="1:26">
      <c r="A793" t="s">
        <v>1726</v>
      </c>
      <c r="B793" t="s">
        <v>66</v>
      </c>
      <c r="C793" t="s">
        <v>44</v>
      </c>
      <c r="D793" t="s">
        <v>77</v>
      </c>
      <c r="E793" t="s">
        <v>363</v>
      </c>
      <c r="F793" t="s">
        <v>31</v>
      </c>
      <c r="G793" t="s">
        <v>58</v>
      </c>
      <c r="H793">
        <v>8.1999999999999993</v>
      </c>
      <c r="I793">
        <v>27</v>
      </c>
      <c r="J793" t="s">
        <v>33</v>
      </c>
      <c r="K793" t="s">
        <v>1442</v>
      </c>
      <c r="L793" t="s">
        <v>126</v>
      </c>
      <c r="M793" t="s">
        <v>478</v>
      </c>
      <c r="N793" t="s">
        <v>71</v>
      </c>
      <c r="O793">
        <v>146</v>
      </c>
      <c r="P793" t="s">
        <v>72</v>
      </c>
      <c r="Q793">
        <v>5239</v>
      </c>
      <c r="R793">
        <v>2000</v>
      </c>
      <c r="S793" t="s">
        <v>90</v>
      </c>
      <c r="T793" t="s">
        <v>81</v>
      </c>
      <c r="U793" t="s">
        <v>39</v>
      </c>
      <c r="V793" t="s">
        <v>52</v>
      </c>
      <c r="W793" t="s">
        <v>52</v>
      </c>
      <c r="X793">
        <v>2024</v>
      </c>
      <c r="Y793" t="s">
        <v>312</v>
      </c>
      <c r="Z793" t="s">
        <v>83</v>
      </c>
    </row>
    <row r="794" spans="1:26">
      <c r="A794" t="s">
        <v>1727</v>
      </c>
      <c r="B794" t="s">
        <v>93</v>
      </c>
      <c r="C794" t="s">
        <v>28</v>
      </c>
      <c r="D794" t="s">
        <v>77</v>
      </c>
      <c r="E794" t="s">
        <v>220</v>
      </c>
      <c r="F794" t="s">
        <v>46</v>
      </c>
      <c r="G794" t="s">
        <v>32</v>
      </c>
      <c r="H794">
        <v>11.1</v>
      </c>
      <c r="I794">
        <v>30.5</v>
      </c>
      <c r="J794" t="s">
        <v>33</v>
      </c>
      <c r="K794" t="s">
        <v>327</v>
      </c>
      <c r="L794" t="s">
        <v>98</v>
      </c>
      <c r="M794" t="s">
        <v>583</v>
      </c>
      <c r="N794" t="s">
        <v>71</v>
      </c>
      <c r="O794">
        <v>17</v>
      </c>
      <c r="P794" t="s">
        <v>89</v>
      </c>
      <c r="Q794">
        <v>3175</v>
      </c>
      <c r="R794">
        <v>0</v>
      </c>
      <c r="S794" t="s">
        <v>113</v>
      </c>
      <c r="T794" t="s">
        <v>51</v>
      </c>
      <c r="U794" t="s">
        <v>39</v>
      </c>
      <c r="V794" t="s">
        <v>52</v>
      </c>
      <c r="W794" t="s">
        <v>52</v>
      </c>
      <c r="X794">
        <v>2022</v>
      </c>
      <c r="Y794" t="s">
        <v>40</v>
      </c>
      <c r="Z794" t="s">
        <v>41</v>
      </c>
    </row>
    <row r="795" spans="1:26">
      <c r="A795" t="s">
        <v>1728</v>
      </c>
      <c r="B795" t="s">
        <v>43</v>
      </c>
      <c r="C795" t="s">
        <v>164</v>
      </c>
      <c r="D795" t="s">
        <v>77</v>
      </c>
      <c r="E795" t="s">
        <v>78</v>
      </c>
      <c r="F795" t="s">
        <v>57</v>
      </c>
      <c r="G795" t="s">
        <v>58</v>
      </c>
      <c r="H795">
        <v>1.3</v>
      </c>
      <c r="I795">
        <v>19.899999999999999</v>
      </c>
      <c r="J795" t="s">
        <v>20</v>
      </c>
      <c r="K795" t="s">
        <v>434</v>
      </c>
      <c r="L795" t="s">
        <v>140</v>
      </c>
      <c r="M795" t="s">
        <v>1001</v>
      </c>
      <c r="N795" t="s">
        <v>71</v>
      </c>
      <c r="O795">
        <v>87</v>
      </c>
      <c r="P795" t="s">
        <v>112</v>
      </c>
      <c r="Q795">
        <v>5373</v>
      </c>
      <c r="R795">
        <v>0</v>
      </c>
      <c r="S795" t="s">
        <v>113</v>
      </c>
      <c r="T795" t="s">
        <v>62</v>
      </c>
      <c r="U795" t="s">
        <v>52</v>
      </c>
      <c r="V795" t="s">
        <v>52</v>
      </c>
      <c r="W795" t="s">
        <v>52</v>
      </c>
      <c r="X795">
        <v>2024</v>
      </c>
      <c r="Y795" t="s">
        <v>211</v>
      </c>
      <c r="Z795" t="s">
        <v>41</v>
      </c>
    </row>
    <row r="796" spans="1:26">
      <c r="A796" t="s">
        <v>1729</v>
      </c>
      <c r="B796" t="s">
        <v>108</v>
      </c>
      <c r="C796" t="s">
        <v>164</v>
      </c>
      <c r="D796" t="s">
        <v>77</v>
      </c>
      <c r="E796" t="s">
        <v>143</v>
      </c>
      <c r="F796" t="s">
        <v>238</v>
      </c>
      <c r="G796" t="s">
        <v>32</v>
      </c>
      <c r="H796">
        <v>10.6</v>
      </c>
      <c r="I796">
        <v>16.8</v>
      </c>
      <c r="J796" t="s">
        <v>144</v>
      </c>
      <c r="K796" t="s">
        <v>1137</v>
      </c>
      <c r="L796" t="s">
        <v>140</v>
      </c>
      <c r="M796" t="s">
        <v>413</v>
      </c>
      <c r="N796" t="s">
        <v>71</v>
      </c>
      <c r="O796">
        <v>114</v>
      </c>
      <c r="P796" t="s">
        <v>105</v>
      </c>
      <c r="Q796">
        <v>3322</v>
      </c>
      <c r="R796">
        <v>0</v>
      </c>
      <c r="S796" t="s">
        <v>113</v>
      </c>
      <c r="T796" t="s">
        <v>136</v>
      </c>
      <c r="U796" t="s">
        <v>39</v>
      </c>
      <c r="V796" t="s">
        <v>52</v>
      </c>
      <c r="W796" t="s">
        <v>52</v>
      </c>
      <c r="X796">
        <v>2022</v>
      </c>
      <c r="Y796" t="s">
        <v>91</v>
      </c>
      <c r="Z796" t="s">
        <v>64</v>
      </c>
    </row>
    <row r="797" spans="1:26">
      <c r="A797" t="s">
        <v>1730</v>
      </c>
      <c r="B797" t="s">
        <v>43</v>
      </c>
      <c r="C797" t="s">
        <v>28</v>
      </c>
      <c r="D797" t="s">
        <v>122</v>
      </c>
      <c r="E797" t="s">
        <v>123</v>
      </c>
      <c r="F797" t="s">
        <v>124</v>
      </c>
      <c r="G797" t="s">
        <v>32</v>
      </c>
      <c r="H797">
        <v>3.7</v>
      </c>
      <c r="I797">
        <v>14.1</v>
      </c>
      <c r="J797" t="s">
        <v>33</v>
      </c>
      <c r="K797" t="s">
        <v>170</v>
      </c>
      <c r="L797" t="s">
        <v>98</v>
      </c>
      <c r="M797" t="s">
        <v>1731</v>
      </c>
      <c r="N797" t="s">
        <v>71</v>
      </c>
      <c r="O797">
        <v>18</v>
      </c>
      <c r="P797" t="s">
        <v>230</v>
      </c>
      <c r="Q797">
        <v>1052</v>
      </c>
      <c r="R797">
        <v>1000</v>
      </c>
      <c r="S797" t="s">
        <v>152</v>
      </c>
      <c r="T797" t="s">
        <v>62</v>
      </c>
      <c r="U797" t="s">
        <v>52</v>
      </c>
      <c r="V797" t="s">
        <v>39</v>
      </c>
      <c r="W797" t="s">
        <v>52</v>
      </c>
      <c r="X797">
        <v>2024</v>
      </c>
      <c r="Y797" t="s">
        <v>106</v>
      </c>
      <c r="Z797" t="s">
        <v>83</v>
      </c>
    </row>
    <row r="798" spans="1:26">
      <c r="A798" t="s">
        <v>1732</v>
      </c>
      <c r="B798" t="s">
        <v>116</v>
      </c>
      <c r="C798" t="s">
        <v>121</v>
      </c>
      <c r="D798" t="s">
        <v>77</v>
      </c>
      <c r="E798" t="s">
        <v>260</v>
      </c>
      <c r="F798" t="s">
        <v>46</v>
      </c>
      <c r="G798" t="s">
        <v>58</v>
      </c>
      <c r="H798">
        <v>11.8</v>
      </c>
      <c r="I798">
        <v>31.7</v>
      </c>
      <c r="J798" t="s">
        <v>33</v>
      </c>
      <c r="K798" t="s">
        <v>673</v>
      </c>
      <c r="L798" t="s">
        <v>98</v>
      </c>
      <c r="M798" t="s">
        <v>1733</v>
      </c>
      <c r="N798" t="s">
        <v>61</v>
      </c>
      <c r="O798">
        <v>50</v>
      </c>
      <c r="P798" t="s">
        <v>2265</v>
      </c>
      <c r="Q798">
        <v>0</v>
      </c>
      <c r="R798">
        <v>0</v>
      </c>
      <c r="S798" t="s">
        <v>2265</v>
      </c>
      <c r="T798" t="s">
        <v>81</v>
      </c>
      <c r="U798" t="s">
        <v>39</v>
      </c>
      <c r="V798" t="s">
        <v>52</v>
      </c>
      <c r="W798" t="s">
        <v>52</v>
      </c>
      <c r="X798">
        <v>2023</v>
      </c>
      <c r="Y798" t="s">
        <v>153</v>
      </c>
      <c r="Z798" t="s">
        <v>54</v>
      </c>
    </row>
    <row r="799" spans="1:26">
      <c r="A799" t="s">
        <v>1734</v>
      </c>
      <c r="B799" t="s">
        <v>27</v>
      </c>
      <c r="C799" t="s">
        <v>76</v>
      </c>
      <c r="D799" t="s">
        <v>85</v>
      </c>
      <c r="E799" t="s">
        <v>402</v>
      </c>
      <c r="F799" t="s">
        <v>31</v>
      </c>
      <c r="G799" t="s">
        <v>58</v>
      </c>
      <c r="H799">
        <v>4.0999999999999996</v>
      </c>
      <c r="I799">
        <v>1.6</v>
      </c>
      <c r="J799" t="s">
        <v>33</v>
      </c>
      <c r="K799" t="s">
        <v>1735</v>
      </c>
      <c r="L799" t="s">
        <v>126</v>
      </c>
      <c r="M799" t="s">
        <v>602</v>
      </c>
      <c r="N799" t="s">
        <v>50</v>
      </c>
      <c r="O799">
        <v>70</v>
      </c>
      <c r="P799" t="s">
        <v>2265</v>
      </c>
      <c r="Q799">
        <v>0</v>
      </c>
      <c r="R799">
        <v>0</v>
      </c>
      <c r="S799" t="s">
        <v>2265</v>
      </c>
      <c r="T799" t="s">
        <v>81</v>
      </c>
      <c r="U799" t="s">
        <v>52</v>
      </c>
      <c r="V799" t="s">
        <v>52</v>
      </c>
      <c r="W799" t="s">
        <v>52</v>
      </c>
      <c r="X799">
        <v>2022</v>
      </c>
      <c r="Y799" t="s">
        <v>312</v>
      </c>
      <c r="Z799" t="s">
        <v>83</v>
      </c>
    </row>
    <row r="800" spans="1:26">
      <c r="A800" t="s">
        <v>1736</v>
      </c>
      <c r="B800" t="s">
        <v>108</v>
      </c>
      <c r="C800" t="s">
        <v>44</v>
      </c>
      <c r="D800" t="s">
        <v>77</v>
      </c>
      <c r="E800" t="s">
        <v>168</v>
      </c>
      <c r="F800" t="s">
        <v>46</v>
      </c>
      <c r="G800" t="s">
        <v>58</v>
      </c>
      <c r="H800">
        <v>9.6999999999999993</v>
      </c>
      <c r="I800">
        <v>30</v>
      </c>
      <c r="J800" t="s">
        <v>33</v>
      </c>
      <c r="K800" t="s">
        <v>1573</v>
      </c>
      <c r="L800" t="s">
        <v>98</v>
      </c>
      <c r="M800" t="s">
        <v>1737</v>
      </c>
      <c r="N800" t="s">
        <v>171</v>
      </c>
      <c r="O800">
        <v>86</v>
      </c>
      <c r="P800" t="s">
        <v>2265</v>
      </c>
      <c r="Q800">
        <v>0</v>
      </c>
      <c r="R800">
        <v>0</v>
      </c>
      <c r="S800" t="s">
        <v>2265</v>
      </c>
      <c r="T800" t="s">
        <v>51</v>
      </c>
      <c r="U800" t="s">
        <v>39</v>
      </c>
      <c r="V800" t="s">
        <v>52</v>
      </c>
      <c r="W800" t="s">
        <v>52</v>
      </c>
      <c r="X800">
        <v>2024</v>
      </c>
      <c r="Y800" t="s">
        <v>82</v>
      </c>
      <c r="Z800" t="s">
        <v>83</v>
      </c>
    </row>
    <row r="801" spans="1:26">
      <c r="A801" t="s">
        <v>1738</v>
      </c>
      <c r="B801" t="s">
        <v>116</v>
      </c>
      <c r="C801" t="s">
        <v>76</v>
      </c>
      <c r="D801" t="s">
        <v>29</v>
      </c>
      <c r="E801" t="s">
        <v>30</v>
      </c>
      <c r="F801" t="s">
        <v>68</v>
      </c>
      <c r="G801" t="s">
        <v>58</v>
      </c>
      <c r="H801">
        <v>11</v>
      </c>
      <c r="I801">
        <v>30.2</v>
      </c>
      <c r="J801" t="s">
        <v>33</v>
      </c>
      <c r="K801" t="s">
        <v>199</v>
      </c>
      <c r="L801" t="s">
        <v>35</v>
      </c>
      <c r="M801" t="s">
        <v>1168</v>
      </c>
      <c r="N801" t="s">
        <v>71</v>
      </c>
      <c r="O801">
        <v>172</v>
      </c>
      <c r="P801" t="s">
        <v>89</v>
      </c>
      <c r="Q801">
        <v>4799</v>
      </c>
      <c r="R801">
        <v>2000</v>
      </c>
      <c r="S801" t="s">
        <v>152</v>
      </c>
      <c r="T801" t="s">
        <v>38</v>
      </c>
      <c r="U801" t="s">
        <v>39</v>
      </c>
      <c r="V801" t="s">
        <v>52</v>
      </c>
      <c r="W801" t="s">
        <v>52</v>
      </c>
      <c r="X801">
        <v>2024</v>
      </c>
      <c r="Y801" t="s">
        <v>40</v>
      </c>
      <c r="Z801" t="s">
        <v>41</v>
      </c>
    </row>
    <row r="802" spans="1:26">
      <c r="A802" t="s">
        <v>1739</v>
      </c>
      <c r="B802" t="s">
        <v>116</v>
      </c>
      <c r="C802" t="s">
        <v>164</v>
      </c>
      <c r="D802" t="s">
        <v>29</v>
      </c>
      <c r="E802" t="s">
        <v>195</v>
      </c>
      <c r="F802" t="s">
        <v>31</v>
      </c>
      <c r="G802" t="s">
        <v>32</v>
      </c>
      <c r="H802">
        <v>4.2</v>
      </c>
      <c r="I802">
        <v>31.9</v>
      </c>
      <c r="J802" t="s">
        <v>156</v>
      </c>
      <c r="K802" t="s">
        <v>1740</v>
      </c>
      <c r="L802" t="s">
        <v>60</v>
      </c>
      <c r="M802" t="s">
        <v>381</v>
      </c>
      <c r="N802" t="s">
        <v>71</v>
      </c>
      <c r="O802">
        <v>3</v>
      </c>
      <c r="P802" t="s">
        <v>230</v>
      </c>
      <c r="Q802">
        <v>4516</v>
      </c>
      <c r="R802">
        <v>5000</v>
      </c>
      <c r="S802" t="s">
        <v>73</v>
      </c>
      <c r="T802" t="s">
        <v>38</v>
      </c>
      <c r="U802" t="s">
        <v>39</v>
      </c>
      <c r="V802" t="s">
        <v>39</v>
      </c>
      <c r="W802" t="s">
        <v>39</v>
      </c>
      <c r="X802">
        <v>2022</v>
      </c>
      <c r="Y802" t="s">
        <v>153</v>
      </c>
      <c r="Z802" t="s">
        <v>54</v>
      </c>
    </row>
    <row r="803" spans="1:26">
      <c r="A803" t="s">
        <v>1741</v>
      </c>
      <c r="B803" t="s">
        <v>116</v>
      </c>
      <c r="C803" t="s">
        <v>28</v>
      </c>
      <c r="D803" t="s">
        <v>77</v>
      </c>
      <c r="E803" t="s">
        <v>143</v>
      </c>
      <c r="F803" t="s">
        <v>57</v>
      </c>
      <c r="G803" t="s">
        <v>32</v>
      </c>
      <c r="H803">
        <v>9.5</v>
      </c>
      <c r="I803">
        <v>8.5</v>
      </c>
      <c r="J803" t="s">
        <v>156</v>
      </c>
      <c r="K803" t="s">
        <v>1742</v>
      </c>
      <c r="L803" t="s">
        <v>140</v>
      </c>
      <c r="M803" t="s">
        <v>956</v>
      </c>
      <c r="N803" t="s">
        <v>100</v>
      </c>
      <c r="O803">
        <v>1</v>
      </c>
      <c r="P803" t="s">
        <v>2265</v>
      </c>
      <c r="Q803">
        <v>0</v>
      </c>
      <c r="R803">
        <v>0</v>
      </c>
      <c r="S803" t="s">
        <v>2265</v>
      </c>
      <c r="T803" t="s">
        <v>81</v>
      </c>
      <c r="U803" t="s">
        <v>52</v>
      </c>
      <c r="V803" t="s">
        <v>39</v>
      </c>
      <c r="W803" t="s">
        <v>52</v>
      </c>
      <c r="X803">
        <v>2022</v>
      </c>
      <c r="Y803" t="s">
        <v>40</v>
      </c>
      <c r="Z803" t="s">
        <v>41</v>
      </c>
    </row>
    <row r="804" spans="1:26">
      <c r="A804" t="s">
        <v>1743</v>
      </c>
      <c r="B804" t="s">
        <v>43</v>
      </c>
      <c r="C804" t="s">
        <v>173</v>
      </c>
      <c r="D804" t="s">
        <v>77</v>
      </c>
      <c r="E804" t="s">
        <v>216</v>
      </c>
      <c r="F804" t="s">
        <v>68</v>
      </c>
      <c r="G804" t="s">
        <v>58</v>
      </c>
      <c r="H804">
        <v>6.1</v>
      </c>
      <c r="I804">
        <v>3.2</v>
      </c>
      <c r="J804" t="s">
        <v>156</v>
      </c>
      <c r="K804" t="s">
        <v>999</v>
      </c>
      <c r="L804" t="s">
        <v>35</v>
      </c>
      <c r="M804" t="s">
        <v>778</v>
      </c>
      <c r="N804" t="s">
        <v>71</v>
      </c>
      <c r="O804">
        <v>74</v>
      </c>
      <c r="P804" t="s">
        <v>230</v>
      </c>
      <c r="Q804">
        <v>6625</v>
      </c>
      <c r="R804">
        <v>0</v>
      </c>
      <c r="S804" t="s">
        <v>113</v>
      </c>
      <c r="T804" t="s">
        <v>81</v>
      </c>
      <c r="U804" t="s">
        <v>39</v>
      </c>
      <c r="V804" t="s">
        <v>39</v>
      </c>
      <c r="W804" t="s">
        <v>52</v>
      </c>
      <c r="X804">
        <v>2024</v>
      </c>
      <c r="Y804" t="s">
        <v>211</v>
      </c>
      <c r="Z804" t="s">
        <v>41</v>
      </c>
    </row>
    <row r="805" spans="1:26">
      <c r="A805" t="s">
        <v>1744</v>
      </c>
      <c r="B805" t="s">
        <v>108</v>
      </c>
      <c r="C805" t="s">
        <v>173</v>
      </c>
      <c r="D805" t="s">
        <v>85</v>
      </c>
      <c r="E805" t="s">
        <v>138</v>
      </c>
      <c r="F805" t="s">
        <v>46</v>
      </c>
      <c r="G805" t="s">
        <v>58</v>
      </c>
      <c r="H805">
        <v>6.1</v>
      </c>
      <c r="I805">
        <v>10.3</v>
      </c>
      <c r="J805" t="s">
        <v>20</v>
      </c>
      <c r="K805" t="s">
        <v>1241</v>
      </c>
      <c r="L805" t="s">
        <v>35</v>
      </c>
      <c r="M805" t="s">
        <v>1407</v>
      </c>
      <c r="N805" t="s">
        <v>100</v>
      </c>
      <c r="O805">
        <v>154</v>
      </c>
      <c r="P805" t="s">
        <v>2265</v>
      </c>
      <c r="Q805">
        <v>0</v>
      </c>
      <c r="R805">
        <v>0</v>
      </c>
      <c r="S805" t="s">
        <v>2265</v>
      </c>
      <c r="T805" t="s">
        <v>51</v>
      </c>
      <c r="U805" t="s">
        <v>39</v>
      </c>
      <c r="V805" t="s">
        <v>39</v>
      </c>
      <c r="W805" t="s">
        <v>39</v>
      </c>
      <c r="X805">
        <v>2023</v>
      </c>
      <c r="Y805" t="s">
        <v>211</v>
      </c>
      <c r="Z805" t="s">
        <v>41</v>
      </c>
    </row>
    <row r="806" spans="1:26">
      <c r="A806" t="s">
        <v>1745</v>
      </c>
      <c r="B806" t="s">
        <v>108</v>
      </c>
      <c r="C806" t="s">
        <v>76</v>
      </c>
      <c r="D806" t="s">
        <v>77</v>
      </c>
      <c r="E806" t="s">
        <v>143</v>
      </c>
      <c r="F806" t="s">
        <v>95</v>
      </c>
      <c r="G806" t="s">
        <v>32</v>
      </c>
      <c r="H806">
        <v>8.1</v>
      </c>
      <c r="I806">
        <v>31.5</v>
      </c>
      <c r="J806" t="s">
        <v>20</v>
      </c>
      <c r="K806" t="s">
        <v>406</v>
      </c>
      <c r="L806" t="s">
        <v>60</v>
      </c>
      <c r="M806" t="s">
        <v>127</v>
      </c>
      <c r="N806" t="s">
        <v>71</v>
      </c>
      <c r="O806">
        <v>89</v>
      </c>
      <c r="P806" t="s">
        <v>105</v>
      </c>
      <c r="Q806">
        <v>6523</v>
      </c>
      <c r="R806">
        <v>0</v>
      </c>
      <c r="S806" t="s">
        <v>73</v>
      </c>
      <c r="T806" t="s">
        <v>62</v>
      </c>
      <c r="U806" t="s">
        <v>39</v>
      </c>
      <c r="V806" t="s">
        <v>52</v>
      </c>
      <c r="W806" t="s">
        <v>52</v>
      </c>
      <c r="X806">
        <v>2024</v>
      </c>
      <c r="Y806" t="s">
        <v>91</v>
      </c>
      <c r="Z806" t="s">
        <v>64</v>
      </c>
    </row>
    <row r="807" spans="1:26">
      <c r="A807" t="s">
        <v>1746</v>
      </c>
      <c r="B807" t="s">
        <v>66</v>
      </c>
      <c r="C807" t="s">
        <v>102</v>
      </c>
      <c r="D807" t="s">
        <v>77</v>
      </c>
      <c r="E807" t="s">
        <v>260</v>
      </c>
      <c r="F807" t="s">
        <v>124</v>
      </c>
      <c r="G807" t="s">
        <v>58</v>
      </c>
      <c r="H807">
        <v>9.1999999999999993</v>
      </c>
      <c r="I807">
        <v>11.3</v>
      </c>
      <c r="J807" t="s">
        <v>33</v>
      </c>
      <c r="K807" t="s">
        <v>1234</v>
      </c>
      <c r="L807" t="s">
        <v>98</v>
      </c>
      <c r="M807" t="s">
        <v>190</v>
      </c>
      <c r="N807" t="s">
        <v>50</v>
      </c>
      <c r="O807">
        <v>95</v>
      </c>
      <c r="P807" t="s">
        <v>2265</v>
      </c>
      <c r="Q807">
        <v>0</v>
      </c>
      <c r="R807">
        <v>500</v>
      </c>
      <c r="S807" t="s">
        <v>2265</v>
      </c>
      <c r="T807" t="s">
        <v>51</v>
      </c>
      <c r="U807" t="s">
        <v>52</v>
      </c>
      <c r="V807" t="s">
        <v>52</v>
      </c>
      <c r="W807" t="s">
        <v>52</v>
      </c>
      <c r="X807">
        <v>2024</v>
      </c>
      <c r="Y807" t="s">
        <v>114</v>
      </c>
      <c r="Z807" t="s">
        <v>41</v>
      </c>
    </row>
    <row r="808" spans="1:26">
      <c r="A808" t="s">
        <v>1747</v>
      </c>
      <c r="B808" t="s">
        <v>108</v>
      </c>
      <c r="C808" t="s">
        <v>76</v>
      </c>
      <c r="D808" t="s">
        <v>122</v>
      </c>
      <c r="E808" t="s">
        <v>130</v>
      </c>
      <c r="F808" t="s">
        <v>68</v>
      </c>
      <c r="G808" t="s">
        <v>32</v>
      </c>
      <c r="H808">
        <v>1.8</v>
      </c>
      <c r="I808">
        <v>26.4</v>
      </c>
      <c r="J808" t="s">
        <v>144</v>
      </c>
      <c r="K808" t="s">
        <v>675</v>
      </c>
      <c r="L808" t="s">
        <v>98</v>
      </c>
      <c r="M808" t="s">
        <v>1261</v>
      </c>
      <c r="N808" t="s">
        <v>50</v>
      </c>
      <c r="O808">
        <v>119</v>
      </c>
      <c r="P808" t="s">
        <v>2265</v>
      </c>
      <c r="Q808">
        <v>0</v>
      </c>
      <c r="R808">
        <v>0</v>
      </c>
      <c r="S808" t="s">
        <v>2265</v>
      </c>
      <c r="T808" t="s">
        <v>81</v>
      </c>
      <c r="U808" t="s">
        <v>52</v>
      </c>
      <c r="V808" t="s">
        <v>52</v>
      </c>
      <c r="W808" t="s">
        <v>39</v>
      </c>
      <c r="X808">
        <v>2024</v>
      </c>
      <c r="Y808" t="s">
        <v>211</v>
      </c>
      <c r="Z808" t="s">
        <v>41</v>
      </c>
    </row>
    <row r="809" spans="1:26">
      <c r="A809" t="s">
        <v>1748</v>
      </c>
      <c r="B809" t="s">
        <v>93</v>
      </c>
      <c r="C809" t="s">
        <v>67</v>
      </c>
      <c r="D809" t="s">
        <v>85</v>
      </c>
      <c r="E809" t="s">
        <v>208</v>
      </c>
      <c r="F809" t="s">
        <v>124</v>
      </c>
      <c r="G809" t="s">
        <v>58</v>
      </c>
      <c r="H809">
        <v>0.3</v>
      </c>
      <c r="I809">
        <v>16.8</v>
      </c>
      <c r="J809" t="s">
        <v>144</v>
      </c>
      <c r="K809" t="s">
        <v>687</v>
      </c>
      <c r="L809" t="s">
        <v>126</v>
      </c>
      <c r="M809" t="s">
        <v>585</v>
      </c>
      <c r="N809" t="s">
        <v>71</v>
      </c>
      <c r="O809">
        <v>152</v>
      </c>
      <c r="P809" t="s">
        <v>89</v>
      </c>
      <c r="Q809">
        <v>1388</v>
      </c>
      <c r="R809">
        <v>0</v>
      </c>
      <c r="S809" t="s">
        <v>152</v>
      </c>
      <c r="T809" t="s">
        <v>62</v>
      </c>
      <c r="U809" t="s">
        <v>39</v>
      </c>
      <c r="V809" t="s">
        <v>39</v>
      </c>
      <c r="W809" t="s">
        <v>52</v>
      </c>
      <c r="X809">
        <v>2022</v>
      </c>
      <c r="Y809" t="s">
        <v>128</v>
      </c>
      <c r="Z809" t="s">
        <v>64</v>
      </c>
    </row>
    <row r="810" spans="1:26">
      <c r="A810" t="s">
        <v>1749</v>
      </c>
      <c r="B810" t="s">
        <v>116</v>
      </c>
      <c r="C810" t="s">
        <v>67</v>
      </c>
      <c r="D810" t="s">
        <v>77</v>
      </c>
      <c r="E810" t="s">
        <v>78</v>
      </c>
      <c r="F810" t="s">
        <v>149</v>
      </c>
      <c r="G810" t="s">
        <v>32</v>
      </c>
      <c r="H810">
        <v>0.8</v>
      </c>
      <c r="I810">
        <v>33.700000000000003</v>
      </c>
      <c r="J810" t="s">
        <v>33</v>
      </c>
      <c r="K810" t="s">
        <v>1750</v>
      </c>
      <c r="L810" t="s">
        <v>48</v>
      </c>
      <c r="M810" t="s">
        <v>849</v>
      </c>
      <c r="N810" t="s">
        <v>71</v>
      </c>
      <c r="O810">
        <v>112</v>
      </c>
      <c r="P810" t="s">
        <v>105</v>
      </c>
      <c r="Q810">
        <v>6992</v>
      </c>
      <c r="R810">
        <v>2000</v>
      </c>
      <c r="S810" t="s">
        <v>90</v>
      </c>
      <c r="T810" t="s">
        <v>81</v>
      </c>
      <c r="U810" t="s">
        <v>52</v>
      </c>
      <c r="V810" t="s">
        <v>52</v>
      </c>
      <c r="W810" t="s">
        <v>39</v>
      </c>
      <c r="X810">
        <v>2024</v>
      </c>
      <c r="Y810" t="s">
        <v>153</v>
      </c>
      <c r="Z810" t="s">
        <v>54</v>
      </c>
    </row>
    <row r="811" spans="1:26">
      <c r="A811" t="s">
        <v>1751</v>
      </c>
      <c r="B811" t="s">
        <v>116</v>
      </c>
      <c r="C811" t="s">
        <v>164</v>
      </c>
      <c r="D811" t="s">
        <v>29</v>
      </c>
      <c r="E811" t="s">
        <v>94</v>
      </c>
      <c r="F811" t="s">
        <v>109</v>
      </c>
      <c r="G811" t="s">
        <v>32</v>
      </c>
      <c r="H811">
        <v>8.1999999999999993</v>
      </c>
      <c r="I811">
        <v>15.3</v>
      </c>
      <c r="J811" t="s">
        <v>33</v>
      </c>
      <c r="K811" t="s">
        <v>1215</v>
      </c>
      <c r="L811" t="s">
        <v>98</v>
      </c>
      <c r="M811" t="s">
        <v>523</v>
      </c>
      <c r="N811" t="s">
        <v>61</v>
      </c>
      <c r="O811">
        <v>87</v>
      </c>
      <c r="P811" t="s">
        <v>2265</v>
      </c>
      <c r="Q811">
        <v>0</v>
      </c>
      <c r="R811">
        <v>0</v>
      </c>
      <c r="S811" t="s">
        <v>2265</v>
      </c>
      <c r="T811" t="s">
        <v>51</v>
      </c>
      <c r="U811" t="s">
        <v>39</v>
      </c>
      <c r="V811" t="s">
        <v>52</v>
      </c>
      <c r="W811" t="s">
        <v>52</v>
      </c>
      <c r="X811">
        <v>2022</v>
      </c>
      <c r="Y811" t="s">
        <v>128</v>
      </c>
      <c r="Z811" t="s">
        <v>64</v>
      </c>
    </row>
    <row r="812" spans="1:26">
      <c r="A812" t="s">
        <v>1752</v>
      </c>
      <c r="B812" t="s">
        <v>66</v>
      </c>
      <c r="C812" t="s">
        <v>102</v>
      </c>
      <c r="D812" t="s">
        <v>29</v>
      </c>
      <c r="E812" t="s">
        <v>30</v>
      </c>
      <c r="F812" t="s">
        <v>46</v>
      </c>
      <c r="G812" t="s">
        <v>32</v>
      </c>
      <c r="H812">
        <v>3</v>
      </c>
      <c r="I812">
        <v>33.1</v>
      </c>
      <c r="J812" t="s">
        <v>96</v>
      </c>
      <c r="K812" t="s">
        <v>1753</v>
      </c>
      <c r="L812" t="s">
        <v>60</v>
      </c>
      <c r="M812" t="s">
        <v>1373</v>
      </c>
      <c r="N812" t="s">
        <v>100</v>
      </c>
      <c r="O812">
        <v>95</v>
      </c>
      <c r="P812" t="s">
        <v>2265</v>
      </c>
      <c r="Q812">
        <v>0</v>
      </c>
      <c r="R812">
        <v>0</v>
      </c>
      <c r="S812" t="s">
        <v>2265</v>
      </c>
      <c r="T812" t="s">
        <v>62</v>
      </c>
      <c r="U812" t="s">
        <v>39</v>
      </c>
      <c r="V812" t="s">
        <v>52</v>
      </c>
      <c r="W812" t="s">
        <v>52</v>
      </c>
      <c r="X812">
        <v>2024</v>
      </c>
      <c r="Y812" t="s">
        <v>40</v>
      </c>
      <c r="Z812" t="s">
        <v>41</v>
      </c>
    </row>
    <row r="813" spans="1:26">
      <c r="A813" t="s">
        <v>1754</v>
      </c>
      <c r="B813" t="s">
        <v>27</v>
      </c>
      <c r="C813" t="s">
        <v>121</v>
      </c>
      <c r="D813" t="s">
        <v>77</v>
      </c>
      <c r="E813" t="s">
        <v>216</v>
      </c>
      <c r="F813" t="s">
        <v>238</v>
      </c>
      <c r="G813" t="s">
        <v>32</v>
      </c>
      <c r="H813">
        <v>9.8000000000000007</v>
      </c>
      <c r="I813">
        <v>9.1</v>
      </c>
      <c r="J813" t="s">
        <v>20</v>
      </c>
      <c r="K813" t="s">
        <v>320</v>
      </c>
      <c r="L813" t="s">
        <v>35</v>
      </c>
      <c r="M813" t="s">
        <v>1755</v>
      </c>
      <c r="N813" t="s">
        <v>37</v>
      </c>
      <c r="O813">
        <v>162</v>
      </c>
      <c r="P813" t="s">
        <v>2265</v>
      </c>
      <c r="Q813">
        <v>0</v>
      </c>
      <c r="R813">
        <v>0</v>
      </c>
      <c r="S813" t="s">
        <v>2265</v>
      </c>
      <c r="T813" t="s">
        <v>136</v>
      </c>
      <c r="U813" t="s">
        <v>39</v>
      </c>
      <c r="V813" t="s">
        <v>52</v>
      </c>
      <c r="W813" t="s">
        <v>52</v>
      </c>
      <c r="X813">
        <v>2023</v>
      </c>
      <c r="Y813" t="s">
        <v>91</v>
      </c>
      <c r="Z813" t="s">
        <v>64</v>
      </c>
    </row>
    <row r="814" spans="1:26">
      <c r="A814" t="s">
        <v>1756</v>
      </c>
      <c r="B814" t="s">
        <v>43</v>
      </c>
      <c r="C814" t="s">
        <v>173</v>
      </c>
      <c r="D814" t="s">
        <v>29</v>
      </c>
      <c r="E814" t="s">
        <v>244</v>
      </c>
      <c r="F814" t="s">
        <v>68</v>
      </c>
      <c r="G814" t="s">
        <v>32</v>
      </c>
      <c r="H814">
        <v>0.9</v>
      </c>
      <c r="I814">
        <v>13.9</v>
      </c>
      <c r="J814" t="s">
        <v>96</v>
      </c>
      <c r="K814" t="s">
        <v>1104</v>
      </c>
      <c r="L814" t="s">
        <v>35</v>
      </c>
      <c r="M814" t="s">
        <v>127</v>
      </c>
      <c r="N814" t="s">
        <v>61</v>
      </c>
      <c r="O814">
        <v>119</v>
      </c>
      <c r="P814" t="s">
        <v>2265</v>
      </c>
      <c r="Q814">
        <v>0</v>
      </c>
      <c r="R814">
        <v>0</v>
      </c>
      <c r="S814" t="s">
        <v>2265</v>
      </c>
      <c r="T814" t="s">
        <v>136</v>
      </c>
      <c r="U814" t="s">
        <v>39</v>
      </c>
      <c r="V814" t="s">
        <v>39</v>
      </c>
      <c r="W814" t="s">
        <v>39</v>
      </c>
      <c r="X814">
        <v>2024</v>
      </c>
      <c r="Y814" t="s">
        <v>91</v>
      </c>
      <c r="Z814" t="s">
        <v>64</v>
      </c>
    </row>
    <row r="815" spans="1:26">
      <c r="A815" t="s">
        <v>1757</v>
      </c>
      <c r="B815" t="s">
        <v>27</v>
      </c>
      <c r="C815" t="s">
        <v>102</v>
      </c>
      <c r="D815" t="s">
        <v>122</v>
      </c>
      <c r="E815" t="s">
        <v>155</v>
      </c>
      <c r="F815" t="s">
        <v>124</v>
      </c>
      <c r="G815" t="s">
        <v>58</v>
      </c>
      <c r="H815">
        <v>5.9</v>
      </c>
      <c r="I815">
        <v>11.3</v>
      </c>
      <c r="J815" t="s">
        <v>33</v>
      </c>
      <c r="K815" t="s">
        <v>200</v>
      </c>
      <c r="L815" t="s">
        <v>98</v>
      </c>
      <c r="M815" t="s">
        <v>127</v>
      </c>
      <c r="N815" t="s">
        <v>71</v>
      </c>
      <c r="O815">
        <v>144</v>
      </c>
      <c r="P815" t="s">
        <v>230</v>
      </c>
      <c r="Q815">
        <v>1617</v>
      </c>
      <c r="R815">
        <v>0</v>
      </c>
      <c r="S815" t="s">
        <v>113</v>
      </c>
      <c r="T815" t="s">
        <v>62</v>
      </c>
      <c r="U815" t="s">
        <v>39</v>
      </c>
      <c r="V815" t="s">
        <v>39</v>
      </c>
      <c r="W815" t="s">
        <v>52</v>
      </c>
      <c r="X815">
        <v>2024</v>
      </c>
      <c r="Y815" t="s">
        <v>114</v>
      </c>
      <c r="Z815" t="s">
        <v>41</v>
      </c>
    </row>
    <row r="816" spans="1:26">
      <c r="A816" t="s">
        <v>1758</v>
      </c>
      <c r="B816" t="s">
        <v>66</v>
      </c>
      <c r="C816" t="s">
        <v>44</v>
      </c>
      <c r="D816" t="s">
        <v>85</v>
      </c>
      <c r="E816" t="s">
        <v>174</v>
      </c>
      <c r="F816" t="s">
        <v>95</v>
      </c>
      <c r="G816" t="s">
        <v>32</v>
      </c>
      <c r="H816">
        <v>3.6</v>
      </c>
      <c r="I816">
        <v>1.5</v>
      </c>
      <c r="J816" t="s">
        <v>144</v>
      </c>
      <c r="K816" t="s">
        <v>754</v>
      </c>
      <c r="L816" t="s">
        <v>48</v>
      </c>
      <c r="M816" t="s">
        <v>214</v>
      </c>
      <c r="N816" t="s">
        <v>37</v>
      </c>
      <c r="O816">
        <v>67</v>
      </c>
      <c r="P816" t="s">
        <v>2265</v>
      </c>
      <c r="Q816">
        <v>0</v>
      </c>
      <c r="R816">
        <v>0</v>
      </c>
      <c r="S816" t="s">
        <v>2265</v>
      </c>
      <c r="T816" t="s">
        <v>136</v>
      </c>
      <c r="U816" t="s">
        <v>52</v>
      </c>
      <c r="V816" t="s">
        <v>52</v>
      </c>
      <c r="W816" t="s">
        <v>52</v>
      </c>
      <c r="X816">
        <v>2023</v>
      </c>
      <c r="Y816" t="s">
        <v>114</v>
      </c>
      <c r="Z816" t="s">
        <v>41</v>
      </c>
    </row>
    <row r="817" spans="1:26">
      <c r="A817" t="s">
        <v>1759</v>
      </c>
      <c r="B817" t="s">
        <v>27</v>
      </c>
      <c r="C817" t="s">
        <v>121</v>
      </c>
      <c r="D817" t="s">
        <v>77</v>
      </c>
      <c r="E817" t="s">
        <v>78</v>
      </c>
      <c r="F817" t="s">
        <v>160</v>
      </c>
      <c r="G817" t="s">
        <v>58</v>
      </c>
      <c r="H817">
        <v>5.5</v>
      </c>
      <c r="I817">
        <v>7.3</v>
      </c>
      <c r="J817" t="s">
        <v>20</v>
      </c>
      <c r="K817" t="s">
        <v>1164</v>
      </c>
      <c r="L817" t="s">
        <v>48</v>
      </c>
      <c r="M817" t="s">
        <v>301</v>
      </c>
      <c r="N817" t="s">
        <v>61</v>
      </c>
      <c r="O817">
        <v>28</v>
      </c>
      <c r="P817" t="s">
        <v>2265</v>
      </c>
      <c r="Q817">
        <v>0</v>
      </c>
      <c r="R817">
        <v>0</v>
      </c>
      <c r="S817" t="s">
        <v>2265</v>
      </c>
      <c r="T817" t="s">
        <v>51</v>
      </c>
      <c r="U817" t="s">
        <v>39</v>
      </c>
      <c r="V817" t="s">
        <v>39</v>
      </c>
      <c r="W817" t="s">
        <v>39</v>
      </c>
      <c r="X817">
        <v>2023</v>
      </c>
      <c r="Y817" t="s">
        <v>91</v>
      </c>
      <c r="Z817" t="s">
        <v>64</v>
      </c>
    </row>
    <row r="818" spans="1:26">
      <c r="A818" t="s">
        <v>1760</v>
      </c>
      <c r="B818" t="s">
        <v>66</v>
      </c>
      <c r="C818" t="s">
        <v>44</v>
      </c>
      <c r="D818" t="s">
        <v>122</v>
      </c>
      <c r="E818" t="s">
        <v>202</v>
      </c>
      <c r="F818" t="s">
        <v>46</v>
      </c>
      <c r="G818" t="s">
        <v>32</v>
      </c>
      <c r="H818">
        <v>8.6999999999999993</v>
      </c>
      <c r="I818">
        <v>19.5</v>
      </c>
      <c r="J818" t="s">
        <v>33</v>
      </c>
      <c r="K818" t="s">
        <v>435</v>
      </c>
      <c r="L818" t="s">
        <v>60</v>
      </c>
      <c r="M818" t="s">
        <v>383</v>
      </c>
      <c r="N818" t="s">
        <v>71</v>
      </c>
      <c r="O818">
        <v>95</v>
      </c>
      <c r="P818" t="s">
        <v>105</v>
      </c>
      <c r="Q818">
        <v>1791</v>
      </c>
      <c r="R818">
        <v>5000</v>
      </c>
      <c r="S818" t="s">
        <v>73</v>
      </c>
      <c r="T818" t="s">
        <v>51</v>
      </c>
      <c r="U818" t="s">
        <v>39</v>
      </c>
      <c r="V818" t="s">
        <v>52</v>
      </c>
      <c r="W818" t="s">
        <v>39</v>
      </c>
      <c r="X818">
        <v>2024</v>
      </c>
      <c r="Y818" t="s">
        <v>114</v>
      </c>
      <c r="Z818" t="s">
        <v>41</v>
      </c>
    </row>
    <row r="819" spans="1:26">
      <c r="A819" t="s">
        <v>1761</v>
      </c>
      <c r="B819" t="s">
        <v>66</v>
      </c>
      <c r="C819" t="s">
        <v>102</v>
      </c>
      <c r="D819" t="s">
        <v>29</v>
      </c>
      <c r="E819" t="s">
        <v>30</v>
      </c>
      <c r="F819" t="s">
        <v>95</v>
      </c>
      <c r="G819" t="s">
        <v>32</v>
      </c>
      <c r="H819">
        <v>1.9</v>
      </c>
      <c r="I819">
        <v>18.5</v>
      </c>
      <c r="J819" t="s">
        <v>33</v>
      </c>
      <c r="K819" t="s">
        <v>577</v>
      </c>
      <c r="L819" t="s">
        <v>60</v>
      </c>
      <c r="M819" t="s">
        <v>373</v>
      </c>
      <c r="N819" t="s">
        <v>71</v>
      </c>
      <c r="O819">
        <v>128</v>
      </c>
      <c r="P819" t="s">
        <v>230</v>
      </c>
      <c r="Q819">
        <v>1778</v>
      </c>
      <c r="R819">
        <v>0</v>
      </c>
      <c r="S819" t="s">
        <v>90</v>
      </c>
      <c r="T819" t="s">
        <v>51</v>
      </c>
      <c r="U819" t="s">
        <v>39</v>
      </c>
      <c r="V819" t="s">
        <v>52</v>
      </c>
      <c r="W819" t="s">
        <v>52</v>
      </c>
      <c r="X819">
        <v>2022</v>
      </c>
      <c r="Y819" t="s">
        <v>114</v>
      </c>
      <c r="Z819" t="s">
        <v>41</v>
      </c>
    </row>
    <row r="820" spans="1:26">
      <c r="A820" t="s">
        <v>1762</v>
      </c>
      <c r="B820" t="s">
        <v>116</v>
      </c>
      <c r="C820" t="s">
        <v>102</v>
      </c>
      <c r="D820" t="s">
        <v>29</v>
      </c>
      <c r="E820" t="s">
        <v>30</v>
      </c>
      <c r="F820" t="s">
        <v>149</v>
      </c>
      <c r="G820" t="s">
        <v>58</v>
      </c>
      <c r="H820">
        <v>8.4</v>
      </c>
      <c r="I820">
        <v>19.399999999999999</v>
      </c>
      <c r="J820" t="s">
        <v>33</v>
      </c>
      <c r="K820" t="s">
        <v>1113</v>
      </c>
      <c r="L820" t="s">
        <v>60</v>
      </c>
      <c r="M820" t="s">
        <v>127</v>
      </c>
      <c r="N820" t="s">
        <v>100</v>
      </c>
      <c r="O820">
        <v>107</v>
      </c>
      <c r="P820" t="s">
        <v>2265</v>
      </c>
      <c r="Q820">
        <v>0</v>
      </c>
      <c r="R820">
        <v>0</v>
      </c>
      <c r="S820" t="s">
        <v>2265</v>
      </c>
      <c r="T820" t="s">
        <v>81</v>
      </c>
      <c r="U820" t="s">
        <v>39</v>
      </c>
      <c r="V820" t="s">
        <v>39</v>
      </c>
      <c r="W820" t="s">
        <v>39</v>
      </c>
      <c r="X820">
        <v>2024</v>
      </c>
      <c r="Y820" t="s">
        <v>63</v>
      </c>
      <c r="Z820" t="s">
        <v>64</v>
      </c>
    </row>
    <row r="821" spans="1:26">
      <c r="A821" t="s">
        <v>1763</v>
      </c>
      <c r="B821" t="s">
        <v>43</v>
      </c>
      <c r="C821" t="s">
        <v>67</v>
      </c>
      <c r="D821" t="s">
        <v>77</v>
      </c>
      <c r="E821" t="s">
        <v>363</v>
      </c>
      <c r="F821" t="s">
        <v>46</v>
      </c>
      <c r="G821" t="s">
        <v>32</v>
      </c>
      <c r="H821">
        <v>2.9</v>
      </c>
      <c r="I821">
        <v>5.8</v>
      </c>
      <c r="J821" t="s">
        <v>96</v>
      </c>
      <c r="K821" t="s">
        <v>676</v>
      </c>
      <c r="L821" t="s">
        <v>98</v>
      </c>
      <c r="M821" t="s">
        <v>1764</v>
      </c>
      <c r="N821" t="s">
        <v>71</v>
      </c>
      <c r="O821">
        <v>11</v>
      </c>
      <c r="P821" t="s">
        <v>112</v>
      </c>
      <c r="Q821">
        <v>4794</v>
      </c>
      <c r="R821">
        <v>5000</v>
      </c>
      <c r="S821" t="s">
        <v>73</v>
      </c>
      <c r="T821" t="s">
        <v>62</v>
      </c>
      <c r="U821" t="s">
        <v>39</v>
      </c>
      <c r="V821" t="s">
        <v>52</v>
      </c>
      <c r="W821" t="s">
        <v>39</v>
      </c>
      <c r="X821">
        <v>2024</v>
      </c>
      <c r="Y821" t="s">
        <v>114</v>
      </c>
      <c r="Z821" t="s">
        <v>41</v>
      </c>
    </row>
    <row r="822" spans="1:26">
      <c r="A822" t="s">
        <v>1765</v>
      </c>
      <c r="B822" t="s">
        <v>116</v>
      </c>
      <c r="C822" t="s">
        <v>67</v>
      </c>
      <c r="D822" t="s">
        <v>85</v>
      </c>
      <c r="E822" t="s">
        <v>138</v>
      </c>
      <c r="F822" t="s">
        <v>95</v>
      </c>
      <c r="G822" t="s">
        <v>32</v>
      </c>
      <c r="H822">
        <v>2.6</v>
      </c>
      <c r="I822">
        <v>20.6</v>
      </c>
      <c r="J822" t="s">
        <v>20</v>
      </c>
      <c r="K822" t="s">
        <v>145</v>
      </c>
      <c r="L822" t="s">
        <v>48</v>
      </c>
      <c r="M822" t="s">
        <v>739</v>
      </c>
      <c r="N822" t="s">
        <v>37</v>
      </c>
      <c r="O822">
        <v>11</v>
      </c>
      <c r="P822" t="s">
        <v>2265</v>
      </c>
      <c r="Q822">
        <v>0</v>
      </c>
      <c r="R822">
        <v>0</v>
      </c>
      <c r="S822" t="s">
        <v>2265</v>
      </c>
      <c r="T822" t="s">
        <v>136</v>
      </c>
      <c r="U822" t="s">
        <v>39</v>
      </c>
      <c r="V822" t="s">
        <v>39</v>
      </c>
      <c r="W822" t="s">
        <v>39</v>
      </c>
      <c r="X822">
        <v>2022</v>
      </c>
      <c r="Y822" t="s">
        <v>53</v>
      </c>
      <c r="Z822" t="s">
        <v>54</v>
      </c>
    </row>
    <row r="823" spans="1:26">
      <c r="A823" t="s">
        <v>1766</v>
      </c>
      <c r="B823" t="s">
        <v>43</v>
      </c>
      <c r="C823" t="s">
        <v>173</v>
      </c>
      <c r="D823" t="s">
        <v>77</v>
      </c>
      <c r="E823" t="s">
        <v>168</v>
      </c>
      <c r="F823" t="s">
        <v>46</v>
      </c>
      <c r="G823" t="s">
        <v>58</v>
      </c>
      <c r="H823">
        <v>6.2</v>
      </c>
      <c r="I823">
        <v>6</v>
      </c>
      <c r="J823" t="s">
        <v>33</v>
      </c>
      <c r="K823" t="s">
        <v>842</v>
      </c>
      <c r="L823" t="s">
        <v>60</v>
      </c>
      <c r="M823" t="s">
        <v>630</v>
      </c>
      <c r="N823" t="s">
        <v>171</v>
      </c>
      <c r="O823">
        <v>143</v>
      </c>
      <c r="P823" t="s">
        <v>2265</v>
      </c>
      <c r="Q823">
        <v>0</v>
      </c>
      <c r="R823">
        <v>0</v>
      </c>
      <c r="S823" t="s">
        <v>2265</v>
      </c>
      <c r="T823" t="s">
        <v>136</v>
      </c>
      <c r="U823" t="s">
        <v>39</v>
      </c>
      <c r="V823" t="s">
        <v>52</v>
      </c>
      <c r="W823" t="s">
        <v>52</v>
      </c>
      <c r="X823">
        <v>2023</v>
      </c>
      <c r="Y823" t="s">
        <v>153</v>
      </c>
      <c r="Z823" t="s">
        <v>54</v>
      </c>
    </row>
    <row r="824" spans="1:26">
      <c r="A824" t="s">
        <v>1767</v>
      </c>
      <c r="B824" t="s">
        <v>108</v>
      </c>
      <c r="C824" t="s">
        <v>28</v>
      </c>
      <c r="D824" t="s">
        <v>77</v>
      </c>
      <c r="E824" t="s">
        <v>220</v>
      </c>
      <c r="F824" t="s">
        <v>124</v>
      </c>
      <c r="G824" t="s">
        <v>58</v>
      </c>
      <c r="H824">
        <v>2.5</v>
      </c>
      <c r="I824">
        <v>4.4000000000000004</v>
      </c>
      <c r="J824" t="s">
        <v>96</v>
      </c>
      <c r="K824" t="s">
        <v>1768</v>
      </c>
      <c r="L824" t="s">
        <v>140</v>
      </c>
      <c r="M824" t="s">
        <v>537</v>
      </c>
      <c r="N824" t="s">
        <v>100</v>
      </c>
      <c r="O824">
        <v>155</v>
      </c>
      <c r="P824" t="s">
        <v>2265</v>
      </c>
      <c r="Q824">
        <v>0</v>
      </c>
      <c r="R824">
        <v>0</v>
      </c>
      <c r="S824" t="s">
        <v>2265</v>
      </c>
      <c r="T824" t="s">
        <v>51</v>
      </c>
      <c r="U824" t="s">
        <v>39</v>
      </c>
      <c r="V824" t="s">
        <v>52</v>
      </c>
      <c r="W824" t="s">
        <v>52</v>
      </c>
      <c r="X824">
        <v>2024</v>
      </c>
      <c r="Y824" t="s">
        <v>40</v>
      </c>
      <c r="Z824" t="s">
        <v>41</v>
      </c>
    </row>
    <row r="825" spans="1:26">
      <c r="A825" t="s">
        <v>1769</v>
      </c>
      <c r="B825" t="s">
        <v>116</v>
      </c>
      <c r="C825" t="s">
        <v>102</v>
      </c>
      <c r="D825" t="s">
        <v>122</v>
      </c>
      <c r="E825" t="s">
        <v>130</v>
      </c>
      <c r="F825" t="s">
        <v>68</v>
      </c>
      <c r="G825" t="s">
        <v>32</v>
      </c>
      <c r="H825">
        <v>2.7</v>
      </c>
      <c r="I825">
        <v>1.3</v>
      </c>
      <c r="J825" t="s">
        <v>33</v>
      </c>
      <c r="K825" t="s">
        <v>865</v>
      </c>
      <c r="L825" t="s">
        <v>126</v>
      </c>
      <c r="M825" t="s">
        <v>304</v>
      </c>
      <c r="N825" t="s">
        <v>37</v>
      </c>
      <c r="O825">
        <v>166</v>
      </c>
      <c r="P825" t="s">
        <v>2265</v>
      </c>
      <c r="Q825">
        <v>0</v>
      </c>
      <c r="R825">
        <v>500</v>
      </c>
      <c r="S825" t="s">
        <v>2265</v>
      </c>
      <c r="T825" t="s">
        <v>136</v>
      </c>
      <c r="U825" t="s">
        <v>39</v>
      </c>
      <c r="V825" t="s">
        <v>52</v>
      </c>
      <c r="W825" t="s">
        <v>52</v>
      </c>
      <c r="X825">
        <v>2022</v>
      </c>
      <c r="Y825" t="s">
        <v>74</v>
      </c>
      <c r="Z825" t="s">
        <v>54</v>
      </c>
    </row>
    <row r="826" spans="1:26">
      <c r="A826" t="s">
        <v>1770</v>
      </c>
      <c r="B826" t="s">
        <v>43</v>
      </c>
      <c r="C826" t="s">
        <v>28</v>
      </c>
      <c r="D826" t="s">
        <v>77</v>
      </c>
      <c r="E826" t="s">
        <v>216</v>
      </c>
      <c r="F826" t="s">
        <v>31</v>
      </c>
      <c r="G826" t="s">
        <v>58</v>
      </c>
      <c r="H826">
        <v>9.6</v>
      </c>
      <c r="I826">
        <v>23.5</v>
      </c>
      <c r="J826" t="s">
        <v>33</v>
      </c>
      <c r="K826" t="s">
        <v>709</v>
      </c>
      <c r="L826" t="s">
        <v>35</v>
      </c>
      <c r="M826" t="s">
        <v>127</v>
      </c>
      <c r="N826" t="s">
        <v>61</v>
      </c>
      <c r="O826">
        <v>123</v>
      </c>
      <c r="P826" t="s">
        <v>2265</v>
      </c>
      <c r="Q826">
        <v>0</v>
      </c>
      <c r="R826">
        <v>0</v>
      </c>
      <c r="S826" t="s">
        <v>2265</v>
      </c>
      <c r="T826" t="s">
        <v>62</v>
      </c>
      <c r="U826" t="s">
        <v>39</v>
      </c>
      <c r="V826" t="s">
        <v>39</v>
      </c>
      <c r="W826" t="s">
        <v>52</v>
      </c>
      <c r="X826">
        <v>2024</v>
      </c>
      <c r="Y826" t="s">
        <v>91</v>
      </c>
      <c r="Z826" t="s">
        <v>64</v>
      </c>
    </row>
    <row r="827" spans="1:26">
      <c r="A827" t="s">
        <v>1771</v>
      </c>
      <c r="B827" t="s">
        <v>108</v>
      </c>
      <c r="C827" t="s">
        <v>67</v>
      </c>
      <c r="D827" t="s">
        <v>77</v>
      </c>
      <c r="E827" t="s">
        <v>168</v>
      </c>
      <c r="F827" t="s">
        <v>95</v>
      </c>
      <c r="G827" t="s">
        <v>32</v>
      </c>
      <c r="H827">
        <v>4.5</v>
      </c>
      <c r="I827">
        <v>22.8</v>
      </c>
      <c r="J827" t="s">
        <v>144</v>
      </c>
      <c r="K827" t="s">
        <v>370</v>
      </c>
      <c r="L827" t="s">
        <v>98</v>
      </c>
      <c r="M827" t="s">
        <v>1772</v>
      </c>
      <c r="N827" t="s">
        <v>71</v>
      </c>
      <c r="O827">
        <v>98</v>
      </c>
      <c r="P827" t="s">
        <v>230</v>
      </c>
      <c r="Q827">
        <v>3796</v>
      </c>
      <c r="R827">
        <v>0</v>
      </c>
      <c r="S827" t="s">
        <v>152</v>
      </c>
      <c r="T827" t="s">
        <v>38</v>
      </c>
      <c r="U827" t="s">
        <v>39</v>
      </c>
      <c r="V827" t="s">
        <v>52</v>
      </c>
      <c r="W827" t="s">
        <v>52</v>
      </c>
      <c r="X827">
        <v>2024</v>
      </c>
      <c r="Y827" t="s">
        <v>153</v>
      </c>
      <c r="Z827" t="s">
        <v>54</v>
      </c>
    </row>
    <row r="828" spans="1:26">
      <c r="A828" t="s">
        <v>1773</v>
      </c>
      <c r="B828" t="s">
        <v>43</v>
      </c>
      <c r="C828" t="s">
        <v>121</v>
      </c>
      <c r="D828" t="s">
        <v>29</v>
      </c>
      <c r="E828" t="s">
        <v>117</v>
      </c>
      <c r="F828" t="s">
        <v>31</v>
      </c>
      <c r="G828" t="s">
        <v>32</v>
      </c>
      <c r="H828">
        <v>0.3</v>
      </c>
      <c r="I828">
        <v>3.5</v>
      </c>
      <c r="J828" t="s">
        <v>33</v>
      </c>
      <c r="K828" t="s">
        <v>1359</v>
      </c>
      <c r="L828" t="s">
        <v>35</v>
      </c>
      <c r="M828" t="s">
        <v>877</v>
      </c>
      <c r="N828" t="s">
        <v>71</v>
      </c>
      <c r="O828">
        <v>31</v>
      </c>
      <c r="P828" t="s">
        <v>105</v>
      </c>
      <c r="Q828">
        <v>3451</v>
      </c>
      <c r="R828">
        <v>0</v>
      </c>
      <c r="S828" t="s">
        <v>90</v>
      </c>
      <c r="T828" t="s">
        <v>38</v>
      </c>
      <c r="U828" t="s">
        <v>39</v>
      </c>
      <c r="V828" t="s">
        <v>39</v>
      </c>
      <c r="W828" t="s">
        <v>39</v>
      </c>
      <c r="X828">
        <v>2023</v>
      </c>
      <c r="Y828" t="s">
        <v>82</v>
      </c>
      <c r="Z828" t="s">
        <v>83</v>
      </c>
    </row>
    <row r="829" spans="1:26">
      <c r="A829" t="s">
        <v>1774</v>
      </c>
      <c r="B829" t="s">
        <v>116</v>
      </c>
      <c r="C829" t="s">
        <v>76</v>
      </c>
      <c r="D829" t="s">
        <v>85</v>
      </c>
      <c r="E829" t="s">
        <v>86</v>
      </c>
      <c r="F829" t="s">
        <v>95</v>
      </c>
      <c r="G829" t="s">
        <v>32</v>
      </c>
      <c r="H829">
        <v>10</v>
      </c>
      <c r="I829">
        <v>14.7</v>
      </c>
      <c r="J829" t="s">
        <v>156</v>
      </c>
      <c r="K829" t="s">
        <v>1775</v>
      </c>
      <c r="L829" t="s">
        <v>60</v>
      </c>
      <c r="M829" t="s">
        <v>1776</v>
      </c>
      <c r="N829" t="s">
        <v>50</v>
      </c>
      <c r="O829">
        <v>10</v>
      </c>
      <c r="P829" t="s">
        <v>2265</v>
      </c>
      <c r="Q829">
        <v>0</v>
      </c>
      <c r="R829">
        <v>1000</v>
      </c>
      <c r="S829" t="s">
        <v>2265</v>
      </c>
      <c r="T829" t="s">
        <v>136</v>
      </c>
      <c r="U829" t="s">
        <v>39</v>
      </c>
      <c r="V829" t="s">
        <v>52</v>
      </c>
      <c r="W829" t="s">
        <v>39</v>
      </c>
      <c r="X829">
        <v>2022</v>
      </c>
      <c r="Y829" t="s">
        <v>312</v>
      </c>
      <c r="Z829" t="s">
        <v>83</v>
      </c>
    </row>
    <row r="830" spans="1:26">
      <c r="A830" t="s">
        <v>1777</v>
      </c>
      <c r="B830" t="s">
        <v>27</v>
      </c>
      <c r="C830" t="s">
        <v>44</v>
      </c>
      <c r="D830" t="s">
        <v>29</v>
      </c>
      <c r="E830" t="s">
        <v>195</v>
      </c>
      <c r="F830" t="s">
        <v>109</v>
      </c>
      <c r="G830" t="s">
        <v>32</v>
      </c>
      <c r="H830">
        <v>12</v>
      </c>
      <c r="I830">
        <v>2</v>
      </c>
      <c r="J830" t="s">
        <v>96</v>
      </c>
      <c r="K830" t="s">
        <v>621</v>
      </c>
      <c r="L830" t="s">
        <v>48</v>
      </c>
      <c r="M830" t="s">
        <v>624</v>
      </c>
      <c r="N830" t="s">
        <v>50</v>
      </c>
      <c r="O830">
        <v>61</v>
      </c>
      <c r="P830" t="s">
        <v>2265</v>
      </c>
      <c r="Q830">
        <v>0</v>
      </c>
      <c r="R830">
        <v>0</v>
      </c>
      <c r="S830" t="s">
        <v>2265</v>
      </c>
      <c r="T830" t="s">
        <v>38</v>
      </c>
      <c r="U830" t="s">
        <v>39</v>
      </c>
      <c r="V830" t="s">
        <v>52</v>
      </c>
      <c r="W830" t="s">
        <v>39</v>
      </c>
      <c r="X830">
        <v>2023</v>
      </c>
      <c r="Y830" t="s">
        <v>106</v>
      </c>
      <c r="Z830" t="s">
        <v>83</v>
      </c>
    </row>
    <row r="831" spans="1:26">
      <c r="A831" t="s">
        <v>1778</v>
      </c>
      <c r="B831" t="s">
        <v>27</v>
      </c>
      <c r="C831" t="s">
        <v>164</v>
      </c>
      <c r="D831" t="s">
        <v>77</v>
      </c>
      <c r="E831" t="s">
        <v>260</v>
      </c>
      <c r="F831" t="s">
        <v>46</v>
      </c>
      <c r="G831" t="s">
        <v>32</v>
      </c>
      <c r="H831">
        <v>10.8</v>
      </c>
      <c r="I831">
        <v>25.6</v>
      </c>
      <c r="J831" t="s">
        <v>144</v>
      </c>
      <c r="K831" t="s">
        <v>1299</v>
      </c>
      <c r="L831" t="s">
        <v>48</v>
      </c>
      <c r="M831" t="s">
        <v>1064</v>
      </c>
      <c r="N831" t="s">
        <v>71</v>
      </c>
      <c r="O831">
        <v>121</v>
      </c>
      <c r="P831" t="s">
        <v>105</v>
      </c>
      <c r="Q831">
        <v>6057</v>
      </c>
      <c r="R831">
        <v>2000</v>
      </c>
      <c r="S831" t="s">
        <v>90</v>
      </c>
      <c r="T831" t="s">
        <v>51</v>
      </c>
      <c r="U831" t="s">
        <v>52</v>
      </c>
      <c r="V831" t="s">
        <v>52</v>
      </c>
      <c r="W831" t="s">
        <v>52</v>
      </c>
      <c r="X831">
        <v>2024</v>
      </c>
      <c r="Y831" t="s">
        <v>40</v>
      </c>
      <c r="Z831" t="s">
        <v>41</v>
      </c>
    </row>
    <row r="832" spans="1:26">
      <c r="A832" t="s">
        <v>1779</v>
      </c>
      <c r="B832" t="s">
        <v>43</v>
      </c>
      <c r="C832" t="s">
        <v>67</v>
      </c>
      <c r="D832" t="s">
        <v>77</v>
      </c>
      <c r="E832" t="s">
        <v>78</v>
      </c>
      <c r="F832" t="s">
        <v>46</v>
      </c>
      <c r="G832" t="s">
        <v>32</v>
      </c>
      <c r="H832">
        <v>1.1000000000000001</v>
      </c>
      <c r="I832">
        <v>9.1999999999999993</v>
      </c>
      <c r="J832" t="s">
        <v>144</v>
      </c>
      <c r="K832" t="s">
        <v>1464</v>
      </c>
      <c r="L832" t="s">
        <v>140</v>
      </c>
      <c r="M832" t="s">
        <v>502</v>
      </c>
      <c r="N832" t="s">
        <v>100</v>
      </c>
      <c r="O832">
        <v>93</v>
      </c>
      <c r="P832" t="s">
        <v>2265</v>
      </c>
      <c r="Q832">
        <v>0</v>
      </c>
      <c r="R832">
        <v>0</v>
      </c>
      <c r="S832" t="s">
        <v>2265</v>
      </c>
      <c r="T832" t="s">
        <v>81</v>
      </c>
      <c r="U832" t="s">
        <v>39</v>
      </c>
      <c r="V832" t="s">
        <v>52</v>
      </c>
      <c r="W832" t="s">
        <v>52</v>
      </c>
      <c r="X832">
        <v>2024</v>
      </c>
      <c r="Y832" t="s">
        <v>74</v>
      </c>
      <c r="Z832" t="s">
        <v>54</v>
      </c>
    </row>
    <row r="833" spans="1:26">
      <c r="A833" t="s">
        <v>1780</v>
      </c>
      <c r="B833" t="s">
        <v>108</v>
      </c>
      <c r="C833" t="s">
        <v>28</v>
      </c>
      <c r="D833" t="s">
        <v>77</v>
      </c>
      <c r="E833" t="s">
        <v>260</v>
      </c>
      <c r="F833" t="s">
        <v>109</v>
      </c>
      <c r="G833" t="s">
        <v>58</v>
      </c>
      <c r="H833">
        <v>8.3000000000000007</v>
      </c>
      <c r="I833">
        <v>3.3</v>
      </c>
      <c r="J833" t="s">
        <v>20</v>
      </c>
      <c r="K833" t="s">
        <v>1060</v>
      </c>
      <c r="L833" t="s">
        <v>35</v>
      </c>
      <c r="M833" t="s">
        <v>1781</v>
      </c>
      <c r="N833" t="s">
        <v>71</v>
      </c>
      <c r="O833">
        <v>147</v>
      </c>
      <c r="P833" t="s">
        <v>105</v>
      </c>
      <c r="Q833">
        <v>4686</v>
      </c>
      <c r="R833">
        <v>5000</v>
      </c>
      <c r="S833" t="s">
        <v>73</v>
      </c>
      <c r="T833" t="s">
        <v>51</v>
      </c>
      <c r="U833" t="s">
        <v>39</v>
      </c>
      <c r="V833" t="s">
        <v>52</v>
      </c>
      <c r="W833" t="s">
        <v>52</v>
      </c>
      <c r="X833">
        <v>2022</v>
      </c>
      <c r="Y833" t="s">
        <v>128</v>
      </c>
      <c r="Z833" t="s">
        <v>64</v>
      </c>
    </row>
    <row r="834" spans="1:26">
      <c r="A834" t="s">
        <v>1782</v>
      </c>
      <c r="B834" t="s">
        <v>66</v>
      </c>
      <c r="C834" t="s">
        <v>44</v>
      </c>
      <c r="D834" t="s">
        <v>122</v>
      </c>
      <c r="E834" t="s">
        <v>130</v>
      </c>
      <c r="F834" t="s">
        <v>124</v>
      </c>
      <c r="G834" t="s">
        <v>32</v>
      </c>
      <c r="H834">
        <v>6.6</v>
      </c>
      <c r="I834">
        <v>14.1</v>
      </c>
      <c r="J834" t="s">
        <v>156</v>
      </c>
      <c r="K834" t="s">
        <v>1783</v>
      </c>
      <c r="L834" t="s">
        <v>126</v>
      </c>
      <c r="M834" t="s">
        <v>157</v>
      </c>
      <c r="N834" t="s">
        <v>171</v>
      </c>
      <c r="O834">
        <v>84</v>
      </c>
      <c r="P834" t="s">
        <v>2265</v>
      </c>
      <c r="Q834">
        <v>0</v>
      </c>
      <c r="R834">
        <v>0</v>
      </c>
      <c r="S834" t="s">
        <v>2265</v>
      </c>
      <c r="T834" t="s">
        <v>38</v>
      </c>
      <c r="U834" t="s">
        <v>39</v>
      </c>
      <c r="V834" t="s">
        <v>52</v>
      </c>
      <c r="W834" t="s">
        <v>52</v>
      </c>
      <c r="X834">
        <v>2022</v>
      </c>
      <c r="Y834" t="s">
        <v>211</v>
      </c>
      <c r="Z834" t="s">
        <v>41</v>
      </c>
    </row>
    <row r="835" spans="1:26">
      <c r="A835" t="s">
        <v>1784</v>
      </c>
      <c r="B835" t="s">
        <v>93</v>
      </c>
      <c r="C835" t="s">
        <v>102</v>
      </c>
      <c r="D835" t="s">
        <v>77</v>
      </c>
      <c r="E835" t="s">
        <v>363</v>
      </c>
      <c r="F835" t="s">
        <v>57</v>
      </c>
      <c r="G835" t="s">
        <v>32</v>
      </c>
      <c r="H835">
        <v>11</v>
      </c>
      <c r="I835">
        <v>24.5</v>
      </c>
      <c r="J835" t="s">
        <v>96</v>
      </c>
      <c r="K835" t="s">
        <v>1785</v>
      </c>
      <c r="L835" t="s">
        <v>48</v>
      </c>
      <c r="M835" t="s">
        <v>924</v>
      </c>
      <c r="N835" t="s">
        <v>71</v>
      </c>
      <c r="O835">
        <v>130</v>
      </c>
      <c r="P835" t="s">
        <v>105</v>
      </c>
      <c r="Q835">
        <v>7056</v>
      </c>
      <c r="R835">
        <v>0</v>
      </c>
      <c r="S835" t="s">
        <v>73</v>
      </c>
      <c r="T835" t="s">
        <v>81</v>
      </c>
      <c r="U835" t="s">
        <v>39</v>
      </c>
      <c r="V835" t="s">
        <v>39</v>
      </c>
      <c r="W835" t="s">
        <v>39</v>
      </c>
      <c r="X835">
        <v>2022</v>
      </c>
      <c r="Y835" t="s">
        <v>106</v>
      </c>
      <c r="Z835" t="s">
        <v>83</v>
      </c>
    </row>
    <row r="836" spans="1:26">
      <c r="A836" t="s">
        <v>1786</v>
      </c>
      <c r="B836" t="s">
        <v>93</v>
      </c>
      <c r="C836" t="s">
        <v>44</v>
      </c>
      <c r="D836" t="s">
        <v>29</v>
      </c>
      <c r="E836" t="s">
        <v>30</v>
      </c>
      <c r="F836" t="s">
        <v>238</v>
      </c>
      <c r="G836" t="s">
        <v>32</v>
      </c>
      <c r="H836">
        <v>5.5</v>
      </c>
      <c r="I836">
        <v>4.5999999999999996</v>
      </c>
      <c r="J836" t="s">
        <v>33</v>
      </c>
      <c r="K836" t="s">
        <v>389</v>
      </c>
      <c r="L836" t="s">
        <v>126</v>
      </c>
      <c r="M836" t="s">
        <v>1787</v>
      </c>
      <c r="N836" t="s">
        <v>71</v>
      </c>
      <c r="O836">
        <v>48</v>
      </c>
      <c r="P836" t="s">
        <v>72</v>
      </c>
      <c r="Q836">
        <v>1774</v>
      </c>
      <c r="R836">
        <v>0</v>
      </c>
      <c r="S836" t="s">
        <v>113</v>
      </c>
      <c r="T836" t="s">
        <v>51</v>
      </c>
      <c r="U836" t="s">
        <v>52</v>
      </c>
      <c r="V836" t="s">
        <v>52</v>
      </c>
      <c r="W836" t="s">
        <v>52</v>
      </c>
      <c r="X836">
        <v>2023</v>
      </c>
      <c r="Y836" t="s">
        <v>312</v>
      </c>
      <c r="Z836" t="s">
        <v>83</v>
      </c>
    </row>
    <row r="837" spans="1:26">
      <c r="A837" t="s">
        <v>1788</v>
      </c>
      <c r="B837" t="s">
        <v>108</v>
      </c>
      <c r="C837" t="s">
        <v>44</v>
      </c>
      <c r="D837" t="s">
        <v>77</v>
      </c>
      <c r="E837" t="s">
        <v>220</v>
      </c>
      <c r="F837" t="s">
        <v>109</v>
      </c>
      <c r="G837" t="s">
        <v>58</v>
      </c>
      <c r="H837">
        <v>4.3</v>
      </c>
      <c r="I837">
        <v>9.3000000000000007</v>
      </c>
      <c r="J837" t="s">
        <v>144</v>
      </c>
      <c r="K837" t="s">
        <v>709</v>
      </c>
      <c r="L837" t="s">
        <v>98</v>
      </c>
      <c r="M837" t="s">
        <v>521</v>
      </c>
      <c r="N837" t="s">
        <v>50</v>
      </c>
      <c r="O837">
        <v>9</v>
      </c>
      <c r="P837" t="s">
        <v>2265</v>
      </c>
      <c r="Q837">
        <v>0</v>
      </c>
      <c r="R837">
        <v>500</v>
      </c>
      <c r="S837" t="s">
        <v>2265</v>
      </c>
      <c r="T837" t="s">
        <v>62</v>
      </c>
      <c r="U837" t="s">
        <v>39</v>
      </c>
      <c r="V837" t="s">
        <v>52</v>
      </c>
      <c r="W837" t="s">
        <v>52</v>
      </c>
      <c r="X837">
        <v>2024</v>
      </c>
      <c r="Y837" t="s">
        <v>91</v>
      </c>
      <c r="Z837" t="s">
        <v>64</v>
      </c>
    </row>
    <row r="838" spans="1:26">
      <c r="A838" t="s">
        <v>1789</v>
      </c>
      <c r="B838" t="s">
        <v>66</v>
      </c>
      <c r="C838" t="s">
        <v>28</v>
      </c>
      <c r="D838" t="s">
        <v>77</v>
      </c>
      <c r="E838" t="s">
        <v>94</v>
      </c>
      <c r="F838" t="s">
        <v>149</v>
      </c>
      <c r="G838" t="s">
        <v>32</v>
      </c>
      <c r="H838">
        <v>6.6</v>
      </c>
      <c r="I838">
        <v>3.4</v>
      </c>
      <c r="J838" t="s">
        <v>156</v>
      </c>
      <c r="K838" t="s">
        <v>1790</v>
      </c>
      <c r="L838" t="s">
        <v>60</v>
      </c>
      <c r="M838" t="s">
        <v>603</v>
      </c>
      <c r="N838" t="s">
        <v>71</v>
      </c>
      <c r="O838">
        <v>125</v>
      </c>
      <c r="P838" t="s">
        <v>89</v>
      </c>
      <c r="Q838">
        <v>6890</v>
      </c>
      <c r="R838">
        <v>0</v>
      </c>
      <c r="S838" t="s">
        <v>90</v>
      </c>
      <c r="T838" t="s">
        <v>38</v>
      </c>
      <c r="U838" t="s">
        <v>39</v>
      </c>
      <c r="V838" t="s">
        <v>52</v>
      </c>
      <c r="W838" t="s">
        <v>52</v>
      </c>
      <c r="X838">
        <v>2022</v>
      </c>
      <c r="Y838" t="s">
        <v>312</v>
      </c>
      <c r="Z838" t="s">
        <v>83</v>
      </c>
    </row>
    <row r="839" spans="1:26">
      <c r="A839" t="s">
        <v>1791</v>
      </c>
      <c r="B839" t="s">
        <v>27</v>
      </c>
      <c r="C839" t="s">
        <v>121</v>
      </c>
      <c r="D839" t="s">
        <v>77</v>
      </c>
      <c r="E839" t="s">
        <v>94</v>
      </c>
      <c r="F839" t="s">
        <v>95</v>
      </c>
      <c r="G839" t="s">
        <v>58</v>
      </c>
      <c r="H839">
        <v>8.1</v>
      </c>
      <c r="I839">
        <v>1.5</v>
      </c>
      <c r="J839" t="s">
        <v>144</v>
      </c>
      <c r="K839" t="s">
        <v>1655</v>
      </c>
      <c r="L839" t="s">
        <v>60</v>
      </c>
      <c r="M839" t="s">
        <v>1051</v>
      </c>
      <c r="N839" t="s">
        <v>71</v>
      </c>
      <c r="O839">
        <v>3</v>
      </c>
      <c r="P839" t="s">
        <v>105</v>
      </c>
      <c r="Q839">
        <v>7861</v>
      </c>
      <c r="R839">
        <v>5000</v>
      </c>
      <c r="S839" t="s">
        <v>90</v>
      </c>
      <c r="T839" t="s">
        <v>62</v>
      </c>
      <c r="U839" t="s">
        <v>39</v>
      </c>
      <c r="V839" t="s">
        <v>52</v>
      </c>
      <c r="W839" t="s">
        <v>39</v>
      </c>
      <c r="X839">
        <v>2022</v>
      </c>
      <c r="Y839" t="s">
        <v>40</v>
      </c>
      <c r="Z839" t="s">
        <v>41</v>
      </c>
    </row>
    <row r="840" spans="1:26">
      <c r="A840" t="s">
        <v>1792</v>
      </c>
      <c r="B840" t="s">
        <v>27</v>
      </c>
      <c r="C840" t="s">
        <v>67</v>
      </c>
      <c r="D840" t="s">
        <v>29</v>
      </c>
      <c r="E840" t="s">
        <v>117</v>
      </c>
      <c r="F840" t="s">
        <v>57</v>
      </c>
      <c r="G840" t="s">
        <v>58</v>
      </c>
      <c r="H840">
        <v>10.3</v>
      </c>
      <c r="I840">
        <v>1.9</v>
      </c>
      <c r="J840" t="s">
        <v>156</v>
      </c>
      <c r="K840" t="s">
        <v>608</v>
      </c>
      <c r="L840" t="s">
        <v>48</v>
      </c>
      <c r="M840" t="s">
        <v>1787</v>
      </c>
      <c r="N840" t="s">
        <v>61</v>
      </c>
      <c r="O840">
        <v>116</v>
      </c>
      <c r="P840" t="s">
        <v>2265</v>
      </c>
      <c r="Q840">
        <v>0</v>
      </c>
      <c r="R840">
        <v>0</v>
      </c>
      <c r="S840" t="s">
        <v>2265</v>
      </c>
      <c r="T840" t="s">
        <v>38</v>
      </c>
      <c r="U840" t="s">
        <v>39</v>
      </c>
      <c r="V840" t="s">
        <v>52</v>
      </c>
      <c r="W840" t="s">
        <v>52</v>
      </c>
      <c r="X840">
        <v>2022</v>
      </c>
      <c r="Y840" t="s">
        <v>63</v>
      </c>
      <c r="Z840" t="s">
        <v>64</v>
      </c>
    </row>
    <row r="841" spans="1:26">
      <c r="A841" t="s">
        <v>1793</v>
      </c>
      <c r="B841" t="s">
        <v>66</v>
      </c>
      <c r="C841" t="s">
        <v>121</v>
      </c>
      <c r="D841" t="s">
        <v>77</v>
      </c>
      <c r="E841" t="s">
        <v>220</v>
      </c>
      <c r="F841" t="s">
        <v>124</v>
      </c>
      <c r="G841" t="s">
        <v>32</v>
      </c>
      <c r="H841">
        <v>3.7</v>
      </c>
      <c r="I841">
        <v>8.1999999999999993</v>
      </c>
      <c r="J841" t="s">
        <v>96</v>
      </c>
      <c r="K841" t="s">
        <v>1109</v>
      </c>
      <c r="L841" t="s">
        <v>98</v>
      </c>
      <c r="M841" t="s">
        <v>132</v>
      </c>
      <c r="N841" t="s">
        <v>71</v>
      </c>
      <c r="O841">
        <v>168</v>
      </c>
      <c r="P841" t="s">
        <v>230</v>
      </c>
      <c r="Q841">
        <v>6086</v>
      </c>
      <c r="R841">
        <v>0</v>
      </c>
      <c r="S841" t="s">
        <v>73</v>
      </c>
      <c r="T841" t="s">
        <v>81</v>
      </c>
      <c r="U841" t="s">
        <v>39</v>
      </c>
      <c r="V841" t="s">
        <v>39</v>
      </c>
      <c r="W841" t="s">
        <v>39</v>
      </c>
      <c r="X841">
        <v>2024</v>
      </c>
      <c r="Y841" t="s">
        <v>312</v>
      </c>
      <c r="Z841" t="s">
        <v>83</v>
      </c>
    </row>
    <row r="842" spans="1:26">
      <c r="A842" t="s">
        <v>1794</v>
      </c>
      <c r="B842" t="s">
        <v>66</v>
      </c>
      <c r="C842" t="s">
        <v>67</v>
      </c>
      <c r="D842" t="s">
        <v>77</v>
      </c>
      <c r="E842" t="s">
        <v>78</v>
      </c>
      <c r="F842" t="s">
        <v>109</v>
      </c>
      <c r="G842" t="s">
        <v>58</v>
      </c>
      <c r="H842">
        <v>0.3</v>
      </c>
      <c r="I842">
        <v>18.600000000000001</v>
      </c>
      <c r="J842" t="s">
        <v>144</v>
      </c>
      <c r="K842" t="s">
        <v>449</v>
      </c>
      <c r="L842" t="s">
        <v>126</v>
      </c>
      <c r="M842" t="s">
        <v>333</v>
      </c>
      <c r="N842" t="s">
        <v>100</v>
      </c>
      <c r="O842">
        <v>179</v>
      </c>
      <c r="P842" t="s">
        <v>2265</v>
      </c>
      <c r="Q842">
        <v>0</v>
      </c>
      <c r="R842">
        <v>0</v>
      </c>
      <c r="S842" t="s">
        <v>2265</v>
      </c>
      <c r="T842" t="s">
        <v>38</v>
      </c>
      <c r="U842" t="s">
        <v>39</v>
      </c>
      <c r="V842" t="s">
        <v>52</v>
      </c>
      <c r="W842" t="s">
        <v>52</v>
      </c>
      <c r="X842">
        <v>2024</v>
      </c>
      <c r="Y842" t="s">
        <v>106</v>
      </c>
      <c r="Z842" t="s">
        <v>83</v>
      </c>
    </row>
    <row r="843" spans="1:26">
      <c r="A843" t="s">
        <v>1795</v>
      </c>
      <c r="B843" t="s">
        <v>43</v>
      </c>
      <c r="C843" t="s">
        <v>164</v>
      </c>
      <c r="D843" t="s">
        <v>29</v>
      </c>
      <c r="E843" t="s">
        <v>30</v>
      </c>
      <c r="F843" t="s">
        <v>95</v>
      </c>
      <c r="G843" t="s">
        <v>58</v>
      </c>
      <c r="H843">
        <v>5.7</v>
      </c>
      <c r="I843">
        <v>18</v>
      </c>
      <c r="J843" t="s">
        <v>33</v>
      </c>
      <c r="K843" t="s">
        <v>1796</v>
      </c>
      <c r="L843" t="s">
        <v>35</v>
      </c>
      <c r="M843" t="s">
        <v>1661</v>
      </c>
      <c r="N843" t="s">
        <v>171</v>
      </c>
      <c r="O843">
        <v>68</v>
      </c>
      <c r="P843" t="s">
        <v>2265</v>
      </c>
      <c r="Q843">
        <v>0</v>
      </c>
      <c r="R843">
        <v>0</v>
      </c>
      <c r="S843" t="s">
        <v>2265</v>
      </c>
      <c r="T843" t="s">
        <v>62</v>
      </c>
      <c r="U843" t="s">
        <v>39</v>
      </c>
      <c r="V843" t="s">
        <v>52</v>
      </c>
      <c r="W843" t="s">
        <v>52</v>
      </c>
      <c r="X843">
        <v>2022</v>
      </c>
      <c r="Y843" t="s">
        <v>153</v>
      </c>
      <c r="Z843" t="s">
        <v>54</v>
      </c>
    </row>
    <row r="844" spans="1:26">
      <c r="A844" t="s">
        <v>1797</v>
      </c>
      <c r="B844" t="s">
        <v>43</v>
      </c>
      <c r="C844" t="s">
        <v>102</v>
      </c>
      <c r="D844" t="s">
        <v>77</v>
      </c>
      <c r="E844" t="s">
        <v>260</v>
      </c>
      <c r="F844" t="s">
        <v>68</v>
      </c>
      <c r="G844" t="s">
        <v>32</v>
      </c>
      <c r="H844">
        <v>5</v>
      </c>
      <c r="I844">
        <v>19.8</v>
      </c>
      <c r="J844" t="s">
        <v>33</v>
      </c>
      <c r="K844" t="s">
        <v>587</v>
      </c>
      <c r="L844" t="s">
        <v>98</v>
      </c>
      <c r="M844" t="s">
        <v>1520</v>
      </c>
      <c r="N844" t="s">
        <v>71</v>
      </c>
      <c r="O844">
        <v>123</v>
      </c>
      <c r="P844" t="s">
        <v>112</v>
      </c>
      <c r="Q844">
        <v>4519</v>
      </c>
      <c r="R844">
        <v>1000</v>
      </c>
      <c r="S844" t="s">
        <v>73</v>
      </c>
      <c r="T844" t="s">
        <v>51</v>
      </c>
      <c r="U844" t="s">
        <v>39</v>
      </c>
      <c r="V844" t="s">
        <v>52</v>
      </c>
      <c r="W844" t="s">
        <v>39</v>
      </c>
      <c r="X844">
        <v>2023</v>
      </c>
      <c r="Y844" t="s">
        <v>153</v>
      </c>
      <c r="Z844" t="s">
        <v>54</v>
      </c>
    </row>
    <row r="845" spans="1:26">
      <c r="A845" t="s">
        <v>1798</v>
      </c>
      <c r="B845" t="s">
        <v>108</v>
      </c>
      <c r="C845" t="s">
        <v>102</v>
      </c>
      <c r="D845" t="s">
        <v>29</v>
      </c>
      <c r="E845" t="s">
        <v>244</v>
      </c>
      <c r="F845" t="s">
        <v>124</v>
      </c>
      <c r="G845" t="s">
        <v>32</v>
      </c>
      <c r="H845">
        <v>1.7</v>
      </c>
      <c r="I845">
        <v>32.299999999999997</v>
      </c>
      <c r="J845" t="s">
        <v>144</v>
      </c>
      <c r="K845" t="s">
        <v>842</v>
      </c>
      <c r="L845" t="s">
        <v>126</v>
      </c>
      <c r="M845" t="s">
        <v>1799</v>
      </c>
      <c r="N845" t="s">
        <v>71</v>
      </c>
      <c r="O845">
        <v>150</v>
      </c>
      <c r="P845" t="s">
        <v>89</v>
      </c>
      <c r="Q845">
        <v>2742</v>
      </c>
      <c r="R845">
        <v>5000</v>
      </c>
      <c r="S845" t="s">
        <v>73</v>
      </c>
      <c r="T845" t="s">
        <v>81</v>
      </c>
      <c r="U845" t="s">
        <v>52</v>
      </c>
      <c r="V845" t="s">
        <v>52</v>
      </c>
      <c r="W845" t="s">
        <v>39</v>
      </c>
      <c r="X845">
        <v>2023</v>
      </c>
      <c r="Y845" t="s">
        <v>153</v>
      </c>
      <c r="Z845" t="s">
        <v>54</v>
      </c>
    </row>
    <row r="846" spans="1:26">
      <c r="A846" t="s">
        <v>1800</v>
      </c>
      <c r="B846" t="s">
        <v>43</v>
      </c>
      <c r="C846" t="s">
        <v>102</v>
      </c>
      <c r="D846" t="s">
        <v>77</v>
      </c>
      <c r="E846" t="s">
        <v>216</v>
      </c>
      <c r="F846" t="s">
        <v>57</v>
      </c>
      <c r="G846" t="s">
        <v>32</v>
      </c>
      <c r="H846">
        <v>11.9</v>
      </c>
      <c r="I846">
        <v>3</v>
      </c>
      <c r="J846" t="s">
        <v>33</v>
      </c>
      <c r="K846" t="s">
        <v>716</v>
      </c>
      <c r="L846" t="s">
        <v>60</v>
      </c>
      <c r="M846" t="s">
        <v>1801</v>
      </c>
      <c r="N846" t="s">
        <v>71</v>
      </c>
      <c r="O846">
        <v>38</v>
      </c>
      <c r="P846" t="s">
        <v>112</v>
      </c>
      <c r="Q846">
        <v>6913</v>
      </c>
      <c r="R846">
        <v>1000</v>
      </c>
      <c r="S846" t="s">
        <v>73</v>
      </c>
      <c r="T846" t="s">
        <v>136</v>
      </c>
      <c r="U846" t="s">
        <v>39</v>
      </c>
      <c r="V846" t="s">
        <v>52</v>
      </c>
      <c r="W846" t="s">
        <v>52</v>
      </c>
      <c r="X846">
        <v>2024</v>
      </c>
      <c r="Y846" t="s">
        <v>128</v>
      </c>
      <c r="Z846" t="s">
        <v>64</v>
      </c>
    </row>
    <row r="847" spans="1:26">
      <c r="A847" t="s">
        <v>1802</v>
      </c>
      <c r="B847" t="s">
        <v>27</v>
      </c>
      <c r="C847" t="s">
        <v>44</v>
      </c>
      <c r="D847" t="s">
        <v>77</v>
      </c>
      <c r="E847" t="s">
        <v>363</v>
      </c>
      <c r="F847" t="s">
        <v>68</v>
      </c>
      <c r="G847" t="s">
        <v>58</v>
      </c>
      <c r="H847">
        <v>9</v>
      </c>
      <c r="I847">
        <v>4.9000000000000004</v>
      </c>
      <c r="J847" t="s">
        <v>20</v>
      </c>
      <c r="K847" t="s">
        <v>1219</v>
      </c>
      <c r="L847" t="s">
        <v>140</v>
      </c>
      <c r="M847" t="s">
        <v>1803</v>
      </c>
      <c r="N847" t="s">
        <v>50</v>
      </c>
      <c r="O847">
        <v>101</v>
      </c>
      <c r="P847" t="s">
        <v>2265</v>
      </c>
      <c r="Q847">
        <v>0</v>
      </c>
      <c r="R847">
        <v>0</v>
      </c>
      <c r="S847" t="s">
        <v>2265</v>
      </c>
      <c r="T847" t="s">
        <v>51</v>
      </c>
      <c r="U847" t="s">
        <v>52</v>
      </c>
      <c r="V847" t="s">
        <v>39</v>
      </c>
      <c r="W847" t="s">
        <v>52</v>
      </c>
      <c r="X847">
        <v>2024</v>
      </c>
      <c r="Y847" t="s">
        <v>82</v>
      </c>
      <c r="Z847" t="s">
        <v>83</v>
      </c>
    </row>
    <row r="848" spans="1:26">
      <c r="A848" t="s">
        <v>1804</v>
      </c>
      <c r="B848" t="s">
        <v>108</v>
      </c>
      <c r="C848" t="s">
        <v>173</v>
      </c>
      <c r="D848" t="s">
        <v>77</v>
      </c>
      <c r="E848" t="s">
        <v>220</v>
      </c>
      <c r="F848" t="s">
        <v>149</v>
      </c>
      <c r="G848" t="s">
        <v>32</v>
      </c>
      <c r="H848">
        <v>7.7</v>
      </c>
      <c r="I848">
        <v>13.2</v>
      </c>
      <c r="J848" t="s">
        <v>33</v>
      </c>
      <c r="K848" t="s">
        <v>1737</v>
      </c>
      <c r="L848" t="s">
        <v>140</v>
      </c>
      <c r="M848" t="s">
        <v>1147</v>
      </c>
      <c r="N848" t="s">
        <v>71</v>
      </c>
      <c r="O848">
        <v>17</v>
      </c>
      <c r="P848" t="s">
        <v>105</v>
      </c>
      <c r="Q848">
        <v>4192</v>
      </c>
      <c r="R848">
        <v>5000</v>
      </c>
      <c r="S848" t="s">
        <v>152</v>
      </c>
      <c r="T848" t="s">
        <v>51</v>
      </c>
      <c r="U848" t="s">
        <v>52</v>
      </c>
      <c r="V848" t="s">
        <v>52</v>
      </c>
      <c r="W848" t="s">
        <v>52</v>
      </c>
      <c r="X848">
        <v>2024</v>
      </c>
      <c r="Y848" t="s">
        <v>53</v>
      </c>
      <c r="Z848" t="s">
        <v>54</v>
      </c>
    </row>
    <row r="849" spans="1:26">
      <c r="A849" t="s">
        <v>1805</v>
      </c>
      <c r="B849" t="s">
        <v>93</v>
      </c>
      <c r="C849" t="s">
        <v>28</v>
      </c>
      <c r="D849" t="s">
        <v>85</v>
      </c>
      <c r="E849" t="s">
        <v>138</v>
      </c>
      <c r="F849" t="s">
        <v>160</v>
      </c>
      <c r="G849" t="s">
        <v>32</v>
      </c>
      <c r="H849">
        <v>1.2</v>
      </c>
      <c r="I849">
        <v>17.399999999999999</v>
      </c>
      <c r="J849" t="s">
        <v>33</v>
      </c>
      <c r="K849" t="s">
        <v>338</v>
      </c>
      <c r="L849" t="s">
        <v>60</v>
      </c>
      <c r="M849" t="s">
        <v>1342</v>
      </c>
      <c r="N849" t="s">
        <v>171</v>
      </c>
      <c r="O849">
        <v>121</v>
      </c>
      <c r="P849" t="s">
        <v>2265</v>
      </c>
      <c r="Q849">
        <v>0</v>
      </c>
      <c r="R849">
        <v>0</v>
      </c>
      <c r="S849" t="s">
        <v>2265</v>
      </c>
      <c r="T849" t="s">
        <v>62</v>
      </c>
      <c r="U849" t="s">
        <v>39</v>
      </c>
      <c r="V849" t="s">
        <v>52</v>
      </c>
      <c r="W849" t="s">
        <v>52</v>
      </c>
      <c r="X849">
        <v>2022</v>
      </c>
      <c r="Y849" t="s">
        <v>91</v>
      </c>
      <c r="Z849" t="s">
        <v>64</v>
      </c>
    </row>
    <row r="850" spans="1:26">
      <c r="A850" t="s">
        <v>1806</v>
      </c>
      <c r="B850" t="s">
        <v>93</v>
      </c>
      <c r="C850" t="s">
        <v>44</v>
      </c>
      <c r="D850" t="s">
        <v>77</v>
      </c>
      <c r="E850" t="s">
        <v>363</v>
      </c>
      <c r="F850" t="s">
        <v>124</v>
      </c>
      <c r="G850" t="s">
        <v>58</v>
      </c>
      <c r="H850">
        <v>6.3</v>
      </c>
      <c r="I850">
        <v>14.7</v>
      </c>
      <c r="J850" t="s">
        <v>96</v>
      </c>
      <c r="K850" t="s">
        <v>1375</v>
      </c>
      <c r="L850" t="s">
        <v>98</v>
      </c>
      <c r="M850" t="s">
        <v>666</v>
      </c>
      <c r="N850" t="s">
        <v>37</v>
      </c>
      <c r="O850">
        <v>79</v>
      </c>
      <c r="P850" t="s">
        <v>2265</v>
      </c>
      <c r="Q850">
        <v>0</v>
      </c>
      <c r="R850">
        <v>500</v>
      </c>
      <c r="S850" t="s">
        <v>2265</v>
      </c>
      <c r="T850" t="s">
        <v>51</v>
      </c>
      <c r="U850" t="s">
        <v>39</v>
      </c>
      <c r="V850" t="s">
        <v>52</v>
      </c>
      <c r="W850" t="s">
        <v>52</v>
      </c>
      <c r="X850">
        <v>2023</v>
      </c>
      <c r="Y850" t="s">
        <v>63</v>
      </c>
      <c r="Z850" t="s">
        <v>64</v>
      </c>
    </row>
    <row r="851" spans="1:26">
      <c r="A851" t="s">
        <v>1807</v>
      </c>
      <c r="B851" t="s">
        <v>93</v>
      </c>
      <c r="C851" t="s">
        <v>102</v>
      </c>
      <c r="D851" t="s">
        <v>29</v>
      </c>
      <c r="E851" t="s">
        <v>244</v>
      </c>
      <c r="F851" t="s">
        <v>124</v>
      </c>
      <c r="G851" t="s">
        <v>32</v>
      </c>
      <c r="H851">
        <v>1.5</v>
      </c>
      <c r="I851">
        <v>25.4</v>
      </c>
      <c r="J851" t="s">
        <v>33</v>
      </c>
      <c r="K851" t="s">
        <v>1808</v>
      </c>
      <c r="L851" t="s">
        <v>98</v>
      </c>
      <c r="M851" t="s">
        <v>1809</v>
      </c>
      <c r="N851" t="s">
        <v>50</v>
      </c>
      <c r="O851">
        <v>53</v>
      </c>
      <c r="P851" t="s">
        <v>2265</v>
      </c>
      <c r="Q851">
        <v>0</v>
      </c>
      <c r="R851">
        <v>0</v>
      </c>
      <c r="S851" t="s">
        <v>2265</v>
      </c>
      <c r="T851" t="s">
        <v>136</v>
      </c>
      <c r="U851" t="s">
        <v>39</v>
      </c>
      <c r="V851" t="s">
        <v>39</v>
      </c>
      <c r="W851" t="s">
        <v>52</v>
      </c>
      <c r="X851">
        <v>2023</v>
      </c>
      <c r="Y851" t="s">
        <v>91</v>
      </c>
      <c r="Z851" t="s">
        <v>64</v>
      </c>
    </row>
    <row r="852" spans="1:26">
      <c r="A852" t="s">
        <v>1810</v>
      </c>
      <c r="B852" t="s">
        <v>93</v>
      </c>
      <c r="C852" t="s">
        <v>28</v>
      </c>
      <c r="D852" t="s">
        <v>77</v>
      </c>
      <c r="E852" t="s">
        <v>168</v>
      </c>
      <c r="F852" t="s">
        <v>57</v>
      </c>
      <c r="G852" t="s">
        <v>32</v>
      </c>
      <c r="H852">
        <v>1.8</v>
      </c>
      <c r="I852">
        <v>21.4</v>
      </c>
      <c r="J852" t="s">
        <v>33</v>
      </c>
      <c r="K852" t="s">
        <v>1622</v>
      </c>
      <c r="L852" t="s">
        <v>35</v>
      </c>
      <c r="M852" t="s">
        <v>190</v>
      </c>
      <c r="N852" t="s">
        <v>171</v>
      </c>
      <c r="O852">
        <v>138</v>
      </c>
      <c r="P852" t="s">
        <v>2265</v>
      </c>
      <c r="Q852">
        <v>0</v>
      </c>
      <c r="R852">
        <v>0</v>
      </c>
      <c r="S852" t="s">
        <v>2265</v>
      </c>
      <c r="T852" t="s">
        <v>81</v>
      </c>
      <c r="U852" t="s">
        <v>39</v>
      </c>
      <c r="V852" t="s">
        <v>52</v>
      </c>
      <c r="W852" t="s">
        <v>52</v>
      </c>
      <c r="X852">
        <v>2024</v>
      </c>
      <c r="Y852" t="s">
        <v>40</v>
      </c>
      <c r="Z852" t="s">
        <v>41</v>
      </c>
    </row>
    <row r="853" spans="1:26">
      <c r="A853" t="s">
        <v>1811</v>
      </c>
      <c r="B853" t="s">
        <v>108</v>
      </c>
      <c r="C853" t="s">
        <v>121</v>
      </c>
      <c r="D853" t="s">
        <v>29</v>
      </c>
      <c r="E853" t="s">
        <v>244</v>
      </c>
      <c r="F853" t="s">
        <v>31</v>
      </c>
      <c r="G853" t="s">
        <v>58</v>
      </c>
      <c r="H853">
        <v>2.5</v>
      </c>
      <c r="I853">
        <v>2.2999999999999998</v>
      </c>
      <c r="J853" t="s">
        <v>144</v>
      </c>
      <c r="K853" t="s">
        <v>1733</v>
      </c>
      <c r="L853" t="s">
        <v>126</v>
      </c>
      <c r="M853" t="s">
        <v>1274</v>
      </c>
      <c r="N853" t="s">
        <v>100</v>
      </c>
      <c r="O853">
        <v>131</v>
      </c>
      <c r="P853" t="s">
        <v>2265</v>
      </c>
      <c r="Q853">
        <v>0</v>
      </c>
      <c r="R853">
        <v>0</v>
      </c>
      <c r="S853" t="s">
        <v>2265</v>
      </c>
      <c r="T853" t="s">
        <v>136</v>
      </c>
      <c r="U853" t="s">
        <v>39</v>
      </c>
      <c r="V853" t="s">
        <v>39</v>
      </c>
      <c r="W853" t="s">
        <v>52</v>
      </c>
      <c r="X853">
        <v>2023</v>
      </c>
      <c r="Y853" t="s">
        <v>40</v>
      </c>
      <c r="Z853" t="s">
        <v>41</v>
      </c>
    </row>
    <row r="854" spans="1:26">
      <c r="A854" t="s">
        <v>1812</v>
      </c>
      <c r="B854" t="s">
        <v>43</v>
      </c>
      <c r="C854" t="s">
        <v>28</v>
      </c>
      <c r="D854" t="s">
        <v>77</v>
      </c>
      <c r="E854" t="s">
        <v>143</v>
      </c>
      <c r="F854" t="s">
        <v>57</v>
      </c>
      <c r="G854" t="s">
        <v>58</v>
      </c>
      <c r="H854">
        <v>1.4</v>
      </c>
      <c r="I854">
        <v>19</v>
      </c>
      <c r="J854" t="s">
        <v>33</v>
      </c>
      <c r="K854" t="s">
        <v>1011</v>
      </c>
      <c r="L854" t="s">
        <v>98</v>
      </c>
      <c r="M854" t="s">
        <v>943</v>
      </c>
      <c r="N854" t="s">
        <v>71</v>
      </c>
      <c r="O854">
        <v>14</v>
      </c>
      <c r="P854" t="s">
        <v>105</v>
      </c>
      <c r="Q854">
        <v>3575</v>
      </c>
      <c r="R854">
        <v>0</v>
      </c>
      <c r="S854" t="s">
        <v>73</v>
      </c>
      <c r="T854" t="s">
        <v>38</v>
      </c>
      <c r="U854" t="s">
        <v>39</v>
      </c>
      <c r="V854" t="s">
        <v>52</v>
      </c>
      <c r="W854" t="s">
        <v>52</v>
      </c>
      <c r="X854">
        <v>2024</v>
      </c>
      <c r="Y854" t="s">
        <v>106</v>
      </c>
      <c r="Z854" t="s">
        <v>83</v>
      </c>
    </row>
    <row r="855" spans="1:26">
      <c r="A855" t="s">
        <v>1813</v>
      </c>
      <c r="B855" t="s">
        <v>43</v>
      </c>
      <c r="C855" t="s">
        <v>164</v>
      </c>
      <c r="D855" t="s">
        <v>29</v>
      </c>
      <c r="E855" t="s">
        <v>117</v>
      </c>
      <c r="F855" t="s">
        <v>238</v>
      </c>
      <c r="G855" t="s">
        <v>32</v>
      </c>
      <c r="H855">
        <v>11.1</v>
      </c>
      <c r="I855">
        <v>12.7</v>
      </c>
      <c r="J855" t="s">
        <v>96</v>
      </c>
      <c r="K855" t="s">
        <v>817</v>
      </c>
      <c r="L855" t="s">
        <v>48</v>
      </c>
      <c r="M855" t="s">
        <v>1116</v>
      </c>
      <c r="N855" t="s">
        <v>37</v>
      </c>
      <c r="O855">
        <v>60</v>
      </c>
      <c r="P855" t="s">
        <v>2265</v>
      </c>
      <c r="Q855">
        <v>0</v>
      </c>
      <c r="R855">
        <v>500</v>
      </c>
      <c r="S855" t="s">
        <v>2265</v>
      </c>
      <c r="T855" t="s">
        <v>81</v>
      </c>
      <c r="U855" t="s">
        <v>52</v>
      </c>
      <c r="V855" t="s">
        <v>39</v>
      </c>
      <c r="W855" t="s">
        <v>39</v>
      </c>
      <c r="X855">
        <v>2023</v>
      </c>
      <c r="Y855" t="s">
        <v>53</v>
      </c>
      <c r="Z855" t="s">
        <v>54</v>
      </c>
    </row>
    <row r="856" spans="1:26">
      <c r="A856" t="s">
        <v>1814</v>
      </c>
      <c r="B856" t="s">
        <v>108</v>
      </c>
      <c r="C856" t="s">
        <v>164</v>
      </c>
      <c r="D856" t="s">
        <v>77</v>
      </c>
      <c r="E856" t="s">
        <v>143</v>
      </c>
      <c r="F856" t="s">
        <v>68</v>
      </c>
      <c r="G856" t="s">
        <v>58</v>
      </c>
      <c r="H856">
        <v>10.199999999999999</v>
      </c>
      <c r="I856">
        <v>8.1</v>
      </c>
      <c r="J856" t="s">
        <v>33</v>
      </c>
      <c r="K856" t="s">
        <v>1116</v>
      </c>
      <c r="L856" t="s">
        <v>35</v>
      </c>
      <c r="M856" t="s">
        <v>214</v>
      </c>
      <c r="N856" t="s">
        <v>71</v>
      </c>
      <c r="O856">
        <v>125</v>
      </c>
      <c r="P856" t="s">
        <v>230</v>
      </c>
      <c r="Q856">
        <v>3783</v>
      </c>
      <c r="R856">
        <v>0</v>
      </c>
      <c r="S856" t="s">
        <v>113</v>
      </c>
      <c r="T856" t="s">
        <v>51</v>
      </c>
      <c r="U856" t="s">
        <v>52</v>
      </c>
      <c r="V856" t="s">
        <v>52</v>
      </c>
      <c r="W856" t="s">
        <v>52</v>
      </c>
      <c r="X856">
        <v>2023</v>
      </c>
      <c r="Y856" t="s">
        <v>40</v>
      </c>
      <c r="Z856" t="s">
        <v>41</v>
      </c>
    </row>
    <row r="857" spans="1:26">
      <c r="A857" t="s">
        <v>1815</v>
      </c>
      <c r="B857" t="s">
        <v>108</v>
      </c>
      <c r="C857" t="s">
        <v>44</v>
      </c>
      <c r="D857" t="s">
        <v>77</v>
      </c>
      <c r="E857" t="s">
        <v>363</v>
      </c>
      <c r="F857" t="s">
        <v>238</v>
      </c>
      <c r="G857" t="s">
        <v>32</v>
      </c>
      <c r="H857">
        <v>5.4</v>
      </c>
      <c r="I857">
        <v>5.7</v>
      </c>
      <c r="J857" t="s">
        <v>33</v>
      </c>
      <c r="K857" t="s">
        <v>881</v>
      </c>
      <c r="L857" t="s">
        <v>98</v>
      </c>
      <c r="M857" t="s">
        <v>1816</v>
      </c>
      <c r="N857" t="s">
        <v>71</v>
      </c>
      <c r="O857">
        <v>26</v>
      </c>
      <c r="P857" t="s">
        <v>112</v>
      </c>
      <c r="Q857">
        <v>6346</v>
      </c>
      <c r="R857">
        <v>2000</v>
      </c>
      <c r="S857" t="s">
        <v>90</v>
      </c>
      <c r="T857" t="s">
        <v>62</v>
      </c>
      <c r="U857" t="s">
        <v>39</v>
      </c>
      <c r="V857" t="s">
        <v>52</v>
      </c>
      <c r="W857" t="s">
        <v>39</v>
      </c>
      <c r="X857">
        <v>2023</v>
      </c>
      <c r="Y857" t="s">
        <v>74</v>
      </c>
      <c r="Z857" t="s">
        <v>54</v>
      </c>
    </row>
    <row r="858" spans="1:26">
      <c r="A858" t="s">
        <v>1817</v>
      </c>
      <c r="B858" t="s">
        <v>66</v>
      </c>
      <c r="C858" t="s">
        <v>44</v>
      </c>
      <c r="D858" t="s">
        <v>77</v>
      </c>
      <c r="E858" t="s">
        <v>94</v>
      </c>
      <c r="F858" t="s">
        <v>68</v>
      </c>
      <c r="G858" t="s">
        <v>32</v>
      </c>
      <c r="H858">
        <v>1.8</v>
      </c>
      <c r="I858">
        <v>3.2</v>
      </c>
      <c r="J858" t="s">
        <v>33</v>
      </c>
      <c r="K858" t="s">
        <v>189</v>
      </c>
      <c r="L858" t="s">
        <v>48</v>
      </c>
      <c r="M858" t="s">
        <v>1180</v>
      </c>
      <c r="N858" t="s">
        <v>37</v>
      </c>
      <c r="O858">
        <v>156</v>
      </c>
      <c r="P858" t="s">
        <v>2265</v>
      </c>
      <c r="Q858">
        <v>0</v>
      </c>
      <c r="R858">
        <v>500</v>
      </c>
      <c r="S858" t="s">
        <v>2265</v>
      </c>
      <c r="T858" t="s">
        <v>51</v>
      </c>
      <c r="U858" t="s">
        <v>39</v>
      </c>
      <c r="V858" t="s">
        <v>52</v>
      </c>
      <c r="W858" t="s">
        <v>52</v>
      </c>
      <c r="X858">
        <v>2024</v>
      </c>
      <c r="Y858" t="s">
        <v>153</v>
      </c>
      <c r="Z858" t="s">
        <v>54</v>
      </c>
    </row>
    <row r="859" spans="1:26">
      <c r="A859" t="s">
        <v>1818</v>
      </c>
      <c r="B859" t="s">
        <v>66</v>
      </c>
      <c r="C859" t="s">
        <v>28</v>
      </c>
      <c r="D859" t="s">
        <v>77</v>
      </c>
      <c r="E859" t="s">
        <v>168</v>
      </c>
      <c r="F859" t="s">
        <v>149</v>
      </c>
      <c r="G859" t="s">
        <v>58</v>
      </c>
      <c r="H859">
        <v>8.3000000000000007</v>
      </c>
      <c r="I859">
        <v>19.899999999999999</v>
      </c>
      <c r="J859" t="s">
        <v>144</v>
      </c>
      <c r="K859" t="s">
        <v>1787</v>
      </c>
      <c r="L859" t="s">
        <v>140</v>
      </c>
      <c r="M859" t="s">
        <v>403</v>
      </c>
      <c r="N859" t="s">
        <v>50</v>
      </c>
      <c r="O859">
        <v>98</v>
      </c>
      <c r="P859" t="s">
        <v>2265</v>
      </c>
      <c r="Q859">
        <v>0</v>
      </c>
      <c r="R859">
        <v>0</v>
      </c>
      <c r="S859" t="s">
        <v>2265</v>
      </c>
      <c r="T859" t="s">
        <v>51</v>
      </c>
      <c r="U859" t="s">
        <v>39</v>
      </c>
      <c r="V859" t="s">
        <v>52</v>
      </c>
      <c r="W859" t="s">
        <v>39</v>
      </c>
      <c r="X859">
        <v>2023</v>
      </c>
      <c r="Y859" t="s">
        <v>74</v>
      </c>
      <c r="Z859" t="s">
        <v>54</v>
      </c>
    </row>
    <row r="860" spans="1:26">
      <c r="A860" t="s">
        <v>1819</v>
      </c>
      <c r="B860" t="s">
        <v>93</v>
      </c>
      <c r="C860" t="s">
        <v>121</v>
      </c>
      <c r="D860" t="s">
        <v>77</v>
      </c>
      <c r="E860" t="s">
        <v>94</v>
      </c>
      <c r="F860" t="s">
        <v>68</v>
      </c>
      <c r="G860" t="s">
        <v>58</v>
      </c>
      <c r="H860">
        <v>4.2</v>
      </c>
      <c r="I860">
        <v>9.8000000000000007</v>
      </c>
      <c r="J860" t="s">
        <v>33</v>
      </c>
      <c r="K860" t="s">
        <v>1768</v>
      </c>
      <c r="L860" t="s">
        <v>140</v>
      </c>
      <c r="M860" t="s">
        <v>262</v>
      </c>
      <c r="N860" t="s">
        <v>71</v>
      </c>
      <c r="O860">
        <v>109</v>
      </c>
      <c r="P860" t="s">
        <v>105</v>
      </c>
      <c r="Q860">
        <v>6582</v>
      </c>
      <c r="R860">
        <v>0</v>
      </c>
      <c r="S860" t="s">
        <v>113</v>
      </c>
      <c r="T860" t="s">
        <v>38</v>
      </c>
      <c r="U860" t="s">
        <v>52</v>
      </c>
      <c r="V860" t="s">
        <v>52</v>
      </c>
      <c r="W860" t="s">
        <v>39</v>
      </c>
      <c r="X860">
        <v>2024</v>
      </c>
      <c r="Y860" t="s">
        <v>40</v>
      </c>
      <c r="Z860" t="s">
        <v>41</v>
      </c>
    </row>
    <row r="861" spans="1:26">
      <c r="A861" t="s">
        <v>1820</v>
      </c>
      <c r="B861" t="s">
        <v>43</v>
      </c>
      <c r="C861" t="s">
        <v>173</v>
      </c>
      <c r="D861" t="s">
        <v>77</v>
      </c>
      <c r="E861" t="s">
        <v>143</v>
      </c>
      <c r="F861" t="s">
        <v>68</v>
      </c>
      <c r="G861" t="s">
        <v>32</v>
      </c>
      <c r="H861">
        <v>6.4</v>
      </c>
      <c r="I861">
        <v>9.3000000000000007</v>
      </c>
      <c r="J861" t="s">
        <v>33</v>
      </c>
      <c r="K861" t="s">
        <v>1577</v>
      </c>
      <c r="L861" t="s">
        <v>48</v>
      </c>
      <c r="M861" t="s">
        <v>392</v>
      </c>
      <c r="N861" t="s">
        <v>71</v>
      </c>
      <c r="O861">
        <v>24</v>
      </c>
      <c r="P861" t="s">
        <v>89</v>
      </c>
      <c r="Q861">
        <v>5051</v>
      </c>
      <c r="R861">
        <v>0</v>
      </c>
      <c r="S861" t="s">
        <v>90</v>
      </c>
      <c r="T861" t="s">
        <v>51</v>
      </c>
      <c r="U861" t="s">
        <v>39</v>
      </c>
      <c r="V861" t="s">
        <v>52</v>
      </c>
      <c r="W861" t="s">
        <v>39</v>
      </c>
      <c r="X861">
        <v>2022</v>
      </c>
      <c r="Y861" t="s">
        <v>128</v>
      </c>
      <c r="Z861" t="s">
        <v>64</v>
      </c>
    </row>
    <row r="862" spans="1:26">
      <c r="A862" t="s">
        <v>1821</v>
      </c>
      <c r="B862" t="s">
        <v>43</v>
      </c>
      <c r="C862" t="s">
        <v>102</v>
      </c>
      <c r="D862" t="s">
        <v>77</v>
      </c>
      <c r="E862" t="s">
        <v>143</v>
      </c>
      <c r="F862" t="s">
        <v>238</v>
      </c>
      <c r="G862" t="s">
        <v>58</v>
      </c>
      <c r="H862">
        <v>5.7</v>
      </c>
      <c r="I862">
        <v>15.1</v>
      </c>
      <c r="J862" t="s">
        <v>20</v>
      </c>
      <c r="K862" t="s">
        <v>564</v>
      </c>
      <c r="L862" t="s">
        <v>98</v>
      </c>
      <c r="M862" t="s">
        <v>1569</v>
      </c>
      <c r="N862" t="s">
        <v>71</v>
      </c>
      <c r="O862">
        <v>147</v>
      </c>
      <c r="P862" t="s">
        <v>230</v>
      </c>
      <c r="Q862">
        <v>5361</v>
      </c>
      <c r="R862">
        <v>1000</v>
      </c>
      <c r="S862" t="s">
        <v>73</v>
      </c>
      <c r="T862" t="s">
        <v>38</v>
      </c>
      <c r="U862" t="s">
        <v>39</v>
      </c>
      <c r="V862" t="s">
        <v>39</v>
      </c>
      <c r="W862" t="s">
        <v>39</v>
      </c>
      <c r="X862">
        <v>2022</v>
      </c>
      <c r="Y862" t="s">
        <v>74</v>
      </c>
      <c r="Z862" t="s">
        <v>54</v>
      </c>
    </row>
    <row r="863" spans="1:26">
      <c r="A863" t="s">
        <v>1822</v>
      </c>
      <c r="B863" t="s">
        <v>93</v>
      </c>
      <c r="C863" t="s">
        <v>76</v>
      </c>
      <c r="D863" t="s">
        <v>77</v>
      </c>
      <c r="E863" t="s">
        <v>260</v>
      </c>
      <c r="F863" t="s">
        <v>109</v>
      </c>
      <c r="G863" t="s">
        <v>58</v>
      </c>
      <c r="H863">
        <v>0.2</v>
      </c>
      <c r="I863">
        <v>30</v>
      </c>
      <c r="J863" t="s">
        <v>144</v>
      </c>
      <c r="K863" t="s">
        <v>500</v>
      </c>
      <c r="L863" t="s">
        <v>48</v>
      </c>
      <c r="M863" t="s">
        <v>1083</v>
      </c>
      <c r="N863" t="s">
        <v>71</v>
      </c>
      <c r="O863">
        <v>40</v>
      </c>
      <c r="P863" t="s">
        <v>89</v>
      </c>
      <c r="Q863">
        <v>5012</v>
      </c>
      <c r="R863">
        <v>5000</v>
      </c>
      <c r="S863" t="s">
        <v>73</v>
      </c>
      <c r="T863" t="s">
        <v>136</v>
      </c>
      <c r="U863" t="s">
        <v>39</v>
      </c>
      <c r="V863" t="s">
        <v>39</v>
      </c>
      <c r="W863" t="s">
        <v>52</v>
      </c>
      <c r="X863">
        <v>2023</v>
      </c>
      <c r="Y863" t="s">
        <v>106</v>
      </c>
      <c r="Z863" t="s">
        <v>83</v>
      </c>
    </row>
    <row r="864" spans="1:26">
      <c r="A864" t="s">
        <v>1823</v>
      </c>
      <c r="B864" t="s">
        <v>43</v>
      </c>
      <c r="C864" t="s">
        <v>164</v>
      </c>
      <c r="D864" t="s">
        <v>77</v>
      </c>
      <c r="E864" t="s">
        <v>260</v>
      </c>
      <c r="F864" t="s">
        <v>31</v>
      </c>
      <c r="G864" t="s">
        <v>58</v>
      </c>
      <c r="H864">
        <v>2.2000000000000002</v>
      </c>
      <c r="I864">
        <v>4.3</v>
      </c>
      <c r="J864" t="s">
        <v>33</v>
      </c>
      <c r="K864" t="s">
        <v>1674</v>
      </c>
      <c r="L864" t="s">
        <v>126</v>
      </c>
      <c r="M864" t="s">
        <v>452</v>
      </c>
      <c r="N864" t="s">
        <v>37</v>
      </c>
      <c r="O864">
        <v>119</v>
      </c>
      <c r="P864" t="s">
        <v>2265</v>
      </c>
      <c r="Q864">
        <v>0</v>
      </c>
      <c r="R864">
        <v>1000</v>
      </c>
      <c r="S864" t="s">
        <v>2265</v>
      </c>
      <c r="T864" t="s">
        <v>81</v>
      </c>
      <c r="U864" t="s">
        <v>39</v>
      </c>
      <c r="V864" t="s">
        <v>52</v>
      </c>
      <c r="W864" t="s">
        <v>52</v>
      </c>
      <c r="X864">
        <v>2023</v>
      </c>
      <c r="Y864" t="s">
        <v>40</v>
      </c>
      <c r="Z864" t="s">
        <v>41</v>
      </c>
    </row>
    <row r="865" spans="1:26">
      <c r="A865" t="s">
        <v>1824</v>
      </c>
      <c r="B865" t="s">
        <v>27</v>
      </c>
      <c r="C865" t="s">
        <v>121</v>
      </c>
      <c r="D865" t="s">
        <v>29</v>
      </c>
      <c r="E865" t="s">
        <v>195</v>
      </c>
      <c r="F865" t="s">
        <v>109</v>
      </c>
      <c r="G865" t="s">
        <v>32</v>
      </c>
      <c r="H865">
        <v>6.6</v>
      </c>
      <c r="I865">
        <v>25.6</v>
      </c>
      <c r="J865" t="s">
        <v>96</v>
      </c>
      <c r="K865" t="s">
        <v>915</v>
      </c>
      <c r="L865" t="s">
        <v>140</v>
      </c>
      <c r="M865" t="s">
        <v>127</v>
      </c>
      <c r="N865" t="s">
        <v>100</v>
      </c>
      <c r="O865">
        <v>174</v>
      </c>
      <c r="P865" t="s">
        <v>2265</v>
      </c>
      <c r="Q865">
        <v>0</v>
      </c>
      <c r="R865">
        <v>0</v>
      </c>
      <c r="S865" t="s">
        <v>2265</v>
      </c>
      <c r="T865" t="s">
        <v>62</v>
      </c>
      <c r="U865" t="s">
        <v>52</v>
      </c>
      <c r="V865" t="s">
        <v>52</v>
      </c>
      <c r="W865" t="s">
        <v>52</v>
      </c>
      <c r="X865">
        <v>2024</v>
      </c>
      <c r="Y865" t="s">
        <v>114</v>
      </c>
      <c r="Z865" t="s">
        <v>41</v>
      </c>
    </row>
    <row r="866" spans="1:26">
      <c r="A866" t="s">
        <v>1825</v>
      </c>
      <c r="B866" t="s">
        <v>93</v>
      </c>
      <c r="C866" t="s">
        <v>28</v>
      </c>
      <c r="D866" t="s">
        <v>77</v>
      </c>
      <c r="E866" t="s">
        <v>78</v>
      </c>
      <c r="F866" t="s">
        <v>31</v>
      </c>
      <c r="G866" t="s">
        <v>32</v>
      </c>
      <c r="H866">
        <v>7.2</v>
      </c>
      <c r="I866">
        <v>13.2</v>
      </c>
      <c r="J866" t="s">
        <v>144</v>
      </c>
      <c r="K866" t="s">
        <v>1188</v>
      </c>
      <c r="L866" t="s">
        <v>126</v>
      </c>
      <c r="M866" t="s">
        <v>1032</v>
      </c>
      <c r="N866" t="s">
        <v>37</v>
      </c>
      <c r="O866">
        <v>10</v>
      </c>
      <c r="P866" t="s">
        <v>2265</v>
      </c>
      <c r="Q866">
        <v>0</v>
      </c>
      <c r="R866">
        <v>0</v>
      </c>
      <c r="S866" t="s">
        <v>2265</v>
      </c>
      <c r="T866" t="s">
        <v>51</v>
      </c>
      <c r="U866" t="s">
        <v>39</v>
      </c>
      <c r="V866" t="s">
        <v>39</v>
      </c>
      <c r="W866" t="s">
        <v>52</v>
      </c>
      <c r="X866">
        <v>2022</v>
      </c>
      <c r="Y866" t="s">
        <v>114</v>
      </c>
      <c r="Z866" t="s">
        <v>41</v>
      </c>
    </row>
    <row r="867" spans="1:26">
      <c r="A867" t="s">
        <v>1826</v>
      </c>
      <c r="B867" t="s">
        <v>108</v>
      </c>
      <c r="C867" t="s">
        <v>164</v>
      </c>
      <c r="D867" t="s">
        <v>77</v>
      </c>
      <c r="E867" t="s">
        <v>363</v>
      </c>
      <c r="F867" t="s">
        <v>160</v>
      </c>
      <c r="G867" t="s">
        <v>32</v>
      </c>
      <c r="H867">
        <v>9.3000000000000007</v>
      </c>
      <c r="I867">
        <v>26.4</v>
      </c>
      <c r="J867" t="s">
        <v>33</v>
      </c>
      <c r="K867" t="s">
        <v>1339</v>
      </c>
      <c r="L867" t="s">
        <v>48</v>
      </c>
      <c r="M867" t="s">
        <v>1430</v>
      </c>
      <c r="N867" t="s">
        <v>100</v>
      </c>
      <c r="O867">
        <v>56</v>
      </c>
      <c r="P867" t="s">
        <v>2265</v>
      </c>
      <c r="Q867">
        <v>0</v>
      </c>
      <c r="R867">
        <v>0</v>
      </c>
      <c r="S867" t="s">
        <v>2265</v>
      </c>
      <c r="T867" t="s">
        <v>38</v>
      </c>
      <c r="U867" t="s">
        <v>39</v>
      </c>
      <c r="V867" t="s">
        <v>52</v>
      </c>
      <c r="W867" t="s">
        <v>52</v>
      </c>
      <c r="X867">
        <v>2022</v>
      </c>
      <c r="Y867" t="s">
        <v>82</v>
      </c>
      <c r="Z867" t="s">
        <v>83</v>
      </c>
    </row>
    <row r="868" spans="1:26">
      <c r="A868" t="s">
        <v>1827</v>
      </c>
      <c r="B868" t="s">
        <v>108</v>
      </c>
      <c r="C868" t="s">
        <v>76</v>
      </c>
      <c r="D868" t="s">
        <v>77</v>
      </c>
      <c r="E868" t="s">
        <v>94</v>
      </c>
      <c r="F868" t="s">
        <v>124</v>
      </c>
      <c r="G868" t="s">
        <v>58</v>
      </c>
      <c r="H868">
        <v>10.6</v>
      </c>
      <c r="I868">
        <v>16.5</v>
      </c>
      <c r="J868" t="s">
        <v>156</v>
      </c>
      <c r="K868" t="s">
        <v>1828</v>
      </c>
      <c r="L868" t="s">
        <v>35</v>
      </c>
      <c r="M868" t="s">
        <v>1070</v>
      </c>
      <c r="N868" t="s">
        <v>171</v>
      </c>
      <c r="O868">
        <v>120</v>
      </c>
      <c r="P868" t="s">
        <v>2265</v>
      </c>
      <c r="Q868">
        <v>0</v>
      </c>
      <c r="R868">
        <v>0</v>
      </c>
      <c r="S868" t="s">
        <v>2265</v>
      </c>
      <c r="T868" t="s">
        <v>51</v>
      </c>
      <c r="U868" t="s">
        <v>39</v>
      </c>
      <c r="V868" t="s">
        <v>39</v>
      </c>
      <c r="W868" t="s">
        <v>52</v>
      </c>
      <c r="X868">
        <v>2024</v>
      </c>
      <c r="Y868" t="s">
        <v>211</v>
      </c>
      <c r="Z868" t="s">
        <v>41</v>
      </c>
    </row>
    <row r="869" spans="1:26">
      <c r="A869" t="s">
        <v>1829</v>
      </c>
      <c r="B869" t="s">
        <v>108</v>
      </c>
      <c r="C869" t="s">
        <v>76</v>
      </c>
      <c r="D869" t="s">
        <v>77</v>
      </c>
      <c r="E869" t="s">
        <v>94</v>
      </c>
      <c r="F869" t="s">
        <v>149</v>
      </c>
      <c r="G869" t="s">
        <v>58</v>
      </c>
      <c r="H869">
        <v>4.3</v>
      </c>
      <c r="I869">
        <v>18.2</v>
      </c>
      <c r="J869" t="s">
        <v>33</v>
      </c>
      <c r="K869" t="s">
        <v>1513</v>
      </c>
      <c r="L869" t="s">
        <v>60</v>
      </c>
      <c r="M869" t="s">
        <v>848</v>
      </c>
      <c r="N869" t="s">
        <v>61</v>
      </c>
      <c r="O869">
        <v>20</v>
      </c>
      <c r="P869" t="s">
        <v>2265</v>
      </c>
      <c r="Q869">
        <v>0</v>
      </c>
      <c r="R869">
        <v>0</v>
      </c>
      <c r="S869" t="s">
        <v>2265</v>
      </c>
      <c r="T869" t="s">
        <v>81</v>
      </c>
      <c r="U869" t="s">
        <v>39</v>
      </c>
      <c r="V869" t="s">
        <v>52</v>
      </c>
      <c r="W869" t="s">
        <v>52</v>
      </c>
      <c r="X869">
        <v>2024</v>
      </c>
      <c r="Y869" t="s">
        <v>153</v>
      </c>
      <c r="Z869" t="s">
        <v>54</v>
      </c>
    </row>
    <row r="870" spans="1:26">
      <c r="A870" t="s">
        <v>1830</v>
      </c>
      <c r="B870" t="s">
        <v>66</v>
      </c>
      <c r="C870" t="s">
        <v>67</v>
      </c>
      <c r="D870" t="s">
        <v>77</v>
      </c>
      <c r="E870" t="s">
        <v>143</v>
      </c>
      <c r="F870" t="s">
        <v>238</v>
      </c>
      <c r="G870" t="s">
        <v>32</v>
      </c>
      <c r="H870">
        <v>0.8</v>
      </c>
      <c r="I870">
        <v>18.100000000000001</v>
      </c>
      <c r="J870" t="s">
        <v>144</v>
      </c>
      <c r="K870" t="s">
        <v>1656</v>
      </c>
      <c r="L870" t="s">
        <v>60</v>
      </c>
      <c r="M870" t="s">
        <v>1831</v>
      </c>
      <c r="N870" t="s">
        <v>61</v>
      </c>
      <c r="O870">
        <v>144</v>
      </c>
      <c r="P870" t="s">
        <v>2265</v>
      </c>
      <c r="Q870">
        <v>0</v>
      </c>
      <c r="R870">
        <v>0</v>
      </c>
      <c r="S870" t="s">
        <v>2265</v>
      </c>
      <c r="T870" t="s">
        <v>62</v>
      </c>
      <c r="U870" t="s">
        <v>52</v>
      </c>
      <c r="V870" t="s">
        <v>52</v>
      </c>
      <c r="W870" t="s">
        <v>52</v>
      </c>
      <c r="X870">
        <v>2022</v>
      </c>
      <c r="Y870" t="s">
        <v>91</v>
      </c>
      <c r="Z870" t="s">
        <v>64</v>
      </c>
    </row>
    <row r="871" spans="1:26">
      <c r="A871" t="s">
        <v>1832</v>
      </c>
      <c r="B871" t="s">
        <v>116</v>
      </c>
      <c r="C871" t="s">
        <v>28</v>
      </c>
      <c r="D871" t="s">
        <v>29</v>
      </c>
      <c r="E871" t="s">
        <v>56</v>
      </c>
      <c r="F871" t="s">
        <v>68</v>
      </c>
      <c r="G871" t="s">
        <v>32</v>
      </c>
      <c r="H871">
        <v>5.9</v>
      </c>
      <c r="I871">
        <v>26.8</v>
      </c>
      <c r="J871" t="s">
        <v>33</v>
      </c>
      <c r="K871" t="s">
        <v>1833</v>
      </c>
      <c r="L871" t="s">
        <v>98</v>
      </c>
      <c r="M871" t="s">
        <v>513</v>
      </c>
      <c r="N871" t="s">
        <v>71</v>
      </c>
      <c r="O871">
        <v>133</v>
      </c>
      <c r="P871" t="s">
        <v>112</v>
      </c>
      <c r="Q871">
        <v>3295</v>
      </c>
      <c r="R871">
        <v>5000</v>
      </c>
      <c r="S871" t="s">
        <v>152</v>
      </c>
      <c r="T871" t="s">
        <v>81</v>
      </c>
      <c r="U871" t="s">
        <v>39</v>
      </c>
      <c r="V871" t="s">
        <v>39</v>
      </c>
      <c r="W871" t="s">
        <v>39</v>
      </c>
      <c r="X871">
        <v>2022</v>
      </c>
      <c r="Y871" t="s">
        <v>74</v>
      </c>
      <c r="Z871" t="s">
        <v>54</v>
      </c>
    </row>
    <row r="872" spans="1:26">
      <c r="A872" t="s">
        <v>1834</v>
      </c>
      <c r="B872" t="s">
        <v>43</v>
      </c>
      <c r="C872" t="s">
        <v>102</v>
      </c>
      <c r="D872" t="s">
        <v>77</v>
      </c>
      <c r="E872" t="s">
        <v>94</v>
      </c>
      <c r="F872" t="s">
        <v>57</v>
      </c>
      <c r="G872" t="s">
        <v>58</v>
      </c>
      <c r="H872">
        <v>0.6</v>
      </c>
      <c r="I872">
        <v>0.9</v>
      </c>
      <c r="J872" t="s">
        <v>144</v>
      </c>
      <c r="K872" t="s">
        <v>1426</v>
      </c>
      <c r="L872" t="s">
        <v>48</v>
      </c>
      <c r="M872" t="s">
        <v>668</v>
      </c>
      <c r="N872" t="s">
        <v>37</v>
      </c>
      <c r="O872">
        <v>101</v>
      </c>
      <c r="P872" t="s">
        <v>2265</v>
      </c>
      <c r="Q872">
        <v>0</v>
      </c>
      <c r="R872">
        <v>0</v>
      </c>
      <c r="S872" t="s">
        <v>2265</v>
      </c>
      <c r="T872" t="s">
        <v>136</v>
      </c>
      <c r="U872" t="s">
        <v>39</v>
      </c>
      <c r="V872" t="s">
        <v>39</v>
      </c>
      <c r="W872" t="s">
        <v>39</v>
      </c>
      <c r="X872">
        <v>2023</v>
      </c>
      <c r="Y872" t="s">
        <v>40</v>
      </c>
      <c r="Z872" t="s">
        <v>41</v>
      </c>
    </row>
    <row r="873" spans="1:26">
      <c r="A873" t="s">
        <v>1835</v>
      </c>
      <c r="B873" t="s">
        <v>43</v>
      </c>
      <c r="C873" t="s">
        <v>121</v>
      </c>
      <c r="D873" t="s">
        <v>29</v>
      </c>
      <c r="E873" t="s">
        <v>45</v>
      </c>
      <c r="F873" t="s">
        <v>95</v>
      </c>
      <c r="G873" t="s">
        <v>58</v>
      </c>
      <c r="H873">
        <v>2.7</v>
      </c>
      <c r="I873">
        <v>32.1</v>
      </c>
      <c r="J873" t="s">
        <v>156</v>
      </c>
      <c r="K873" t="s">
        <v>1836</v>
      </c>
      <c r="L873" t="s">
        <v>126</v>
      </c>
      <c r="M873" t="s">
        <v>992</v>
      </c>
      <c r="N873" t="s">
        <v>50</v>
      </c>
      <c r="O873">
        <v>68</v>
      </c>
      <c r="P873" t="s">
        <v>2265</v>
      </c>
      <c r="Q873">
        <v>0</v>
      </c>
      <c r="R873">
        <v>0</v>
      </c>
      <c r="S873" t="s">
        <v>2265</v>
      </c>
      <c r="T873" t="s">
        <v>51</v>
      </c>
      <c r="U873" t="s">
        <v>39</v>
      </c>
      <c r="V873" t="s">
        <v>52</v>
      </c>
      <c r="W873" t="s">
        <v>52</v>
      </c>
      <c r="X873">
        <v>2022</v>
      </c>
      <c r="Y873" t="s">
        <v>312</v>
      </c>
      <c r="Z873" t="s">
        <v>83</v>
      </c>
    </row>
    <row r="874" spans="1:26">
      <c r="A874" t="s">
        <v>1837</v>
      </c>
      <c r="B874" t="s">
        <v>43</v>
      </c>
      <c r="C874" t="s">
        <v>102</v>
      </c>
      <c r="D874" t="s">
        <v>77</v>
      </c>
      <c r="E874" t="s">
        <v>260</v>
      </c>
      <c r="F874" t="s">
        <v>238</v>
      </c>
      <c r="G874" t="s">
        <v>32</v>
      </c>
      <c r="H874">
        <v>8.1999999999999993</v>
      </c>
      <c r="I874">
        <v>28.3</v>
      </c>
      <c r="J874" t="s">
        <v>144</v>
      </c>
      <c r="K874" t="s">
        <v>509</v>
      </c>
      <c r="L874" t="s">
        <v>60</v>
      </c>
      <c r="M874" t="s">
        <v>1838</v>
      </c>
      <c r="N874" t="s">
        <v>71</v>
      </c>
      <c r="O874">
        <v>135</v>
      </c>
      <c r="P874" t="s">
        <v>72</v>
      </c>
      <c r="Q874">
        <v>7831</v>
      </c>
      <c r="R874">
        <v>1000</v>
      </c>
      <c r="S874" t="s">
        <v>152</v>
      </c>
      <c r="T874" t="s">
        <v>136</v>
      </c>
      <c r="U874" t="s">
        <v>52</v>
      </c>
      <c r="V874" t="s">
        <v>39</v>
      </c>
      <c r="W874" t="s">
        <v>52</v>
      </c>
      <c r="X874">
        <v>2023</v>
      </c>
      <c r="Y874" t="s">
        <v>91</v>
      </c>
      <c r="Z874" t="s">
        <v>64</v>
      </c>
    </row>
    <row r="875" spans="1:26">
      <c r="A875" t="s">
        <v>1839</v>
      </c>
      <c r="B875" t="s">
        <v>43</v>
      </c>
      <c r="C875" t="s">
        <v>28</v>
      </c>
      <c r="D875" t="s">
        <v>29</v>
      </c>
      <c r="E875" t="s">
        <v>30</v>
      </c>
      <c r="F875" t="s">
        <v>109</v>
      </c>
      <c r="G875" t="s">
        <v>32</v>
      </c>
      <c r="H875">
        <v>10.6</v>
      </c>
      <c r="I875">
        <v>9.1</v>
      </c>
      <c r="J875" t="s">
        <v>144</v>
      </c>
      <c r="K875" t="s">
        <v>1096</v>
      </c>
      <c r="L875" t="s">
        <v>98</v>
      </c>
      <c r="M875" t="s">
        <v>624</v>
      </c>
      <c r="N875" t="s">
        <v>37</v>
      </c>
      <c r="O875">
        <v>143</v>
      </c>
      <c r="P875" t="s">
        <v>2265</v>
      </c>
      <c r="Q875">
        <v>0</v>
      </c>
      <c r="R875">
        <v>0</v>
      </c>
      <c r="S875" t="s">
        <v>2265</v>
      </c>
      <c r="T875" t="s">
        <v>136</v>
      </c>
      <c r="U875" t="s">
        <v>52</v>
      </c>
      <c r="V875" t="s">
        <v>52</v>
      </c>
      <c r="W875" t="s">
        <v>52</v>
      </c>
      <c r="X875">
        <v>2022</v>
      </c>
      <c r="Y875" t="s">
        <v>91</v>
      </c>
      <c r="Z875" t="s">
        <v>64</v>
      </c>
    </row>
    <row r="876" spans="1:26">
      <c r="A876" t="s">
        <v>1840</v>
      </c>
      <c r="B876" t="s">
        <v>116</v>
      </c>
      <c r="C876" t="s">
        <v>44</v>
      </c>
      <c r="D876" t="s">
        <v>29</v>
      </c>
      <c r="E876" t="s">
        <v>30</v>
      </c>
      <c r="F876" t="s">
        <v>57</v>
      </c>
      <c r="G876" t="s">
        <v>32</v>
      </c>
      <c r="H876">
        <v>9.3000000000000007</v>
      </c>
      <c r="I876">
        <v>32.5</v>
      </c>
      <c r="J876" t="s">
        <v>33</v>
      </c>
      <c r="K876" t="s">
        <v>767</v>
      </c>
      <c r="L876" t="s">
        <v>126</v>
      </c>
      <c r="M876" t="s">
        <v>587</v>
      </c>
      <c r="N876" t="s">
        <v>50</v>
      </c>
      <c r="O876">
        <v>42</v>
      </c>
      <c r="P876" t="s">
        <v>2265</v>
      </c>
      <c r="Q876">
        <v>0</v>
      </c>
      <c r="R876">
        <v>0</v>
      </c>
      <c r="S876" t="s">
        <v>2265</v>
      </c>
      <c r="T876" t="s">
        <v>136</v>
      </c>
      <c r="U876" t="s">
        <v>39</v>
      </c>
      <c r="V876" t="s">
        <v>52</v>
      </c>
      <c r="W876" t="s">
        <v>52</v>
      </c>
      <c r="X876">
        <v>2023</v>
      </c>
      <c r="Y876" t="s">
        <v>53</v>
      </c>
      <c r="Z876" t="s">
        <v>54</v>
      </c>
    </row>
    <row r="877" spans="1:26">
      <c r="A877" t="s">
        <v>1841</v>
      </c>
      <c r="B877" t="s">
        <v>43</v>
      </c>
      <c r="C877" t="s">
        <v>173</v>
      </c>
      <c r="D877" t="s">
        <v>29</v>
      </c>
      <c r="E877" t="s">
        <v>56</v>
      </c>
      <c r="F877" t="s">
        <v>124</v>
      </c>
      <c r="G877" t="s">
        <v>58</v>
      </c>
      <c r="H877">
        <v>7.1</v>
      </c>
      <c r="I877">
        <v>14.5</v>
      </c>
      <c r="J877" t="s">
        <v>33</v>
      </c>
      <c r="K877" t="s">
        <v>1028</v>
      </c>
      <c r="L877" t="s">
        <v>48</v>
      </c>
      <c r="M877" t="s">
        <v>1241</v>
      </c>
      <c r="N877" t="s">
        <v>50</v>
      </c>
      <c r="O877">
        <v>125</v>
      </c>
      <c r="P877" t="s">
        <v>2265</v>
      </c>
      <c r="Q877">
        <v>0</v>
      </c>
      <c r="R877">
        <v>1000</v>
      </c>
      <c r="S877" t="s">
        <v>2265</v>
      </c>
      <c r="T877" t="s">
        <v>62</v>
      </c>
      <c r="U877" t="s">
        <v>39</v>
      </c>
      <c r="V877" t="s">
        <v>52</v>
      </c>
      <c r="W877" t="s">
        <v>52</v>
      </c>
      <c r="X877">
        <v>2023</v>
      </c>
      <c r="Y877" t="s">
        <v>74</v>
      </c>
      <c r="Z877" t="s">
        <v>54</v>
      </c>
    </row>
    <row r="878" spans="1:26">
      <c r="A878" t="s">
        <v>1842</v>
      </c>
      <c r="B878" t="s">
        <v>66</v>
      </c>
      <c r="C878" t="s">
        <v>164</v>
      </c>
      <c r="D878" t="s">
        <v>29</v>
      </c>
      <c r="E878" t="s">
        <v>30</v>
      </c>
      <c r="F878" t="s">
        <v>238</v>
      </c>
      <c r="G878" t="s">
        <v>58</v>
      </c>
      <c r="H878">
        <v>5.2</v>
      </c>
      <c r="I878">
        <v>31.4</v>
      </c>
      <c r="J878" t="s">
        <v>144</v>
      </c>
      <c r="K878" t="s">
        <v>512</v>
      </c>
      <c r="L878" t="s">
        <v>48</v>
      </c>
      <c r="M878" t="s">
        <v>418</v>
      </c>
      <c r="N878" t="s">
        <v>71</v>
      </c>
      <c r="O878">
        <v>22</v>
      </c>
      <c r="P878" t="s">
        <v>230</v>
      </c>
      <c r="Q878">
        <v>2114</v>
      </c>
      <c r="R878">
        <v>1000</v>
      </c>
      <c r="S878" t="s">
        <v>113</v>
      </c>
      <c r="T878" t="s">
        <v>51</v>
      </c>
      <c r="U878" t="s">
        <v>39</v>
      </c>
      <c r="V878" t="s">
        <v>52</v>
      </c>
      <c r="W878" t="s">
        <v>52</v>
      </c>
      <c r="X878">
        <v>2022</v>
      </c>
      <c r="Y878" t="s">
        <v>153</v>
      </c>
      <c r="Z878" t="s">
        <v>54</v>
      </c>
    </row>
    <row r="879" spans="1:26">
      <c r="A879" t="s">
        <v>1843</v>
      </c>
      <c r="B879" t="s">
        <v>27</v>
      </c>
      <c r="C879" t="s">
        <v>28</v>
      </c>
      <c r="D879" t="s">
        <v>77</v>
      </c>
      <c r="E879" t="s">
        <v>143</v>
      </c>
      <c r="F879" t="s">
        <v>238</v>
      </c>
      <c r="G879" t="s">
        <v>58</v>
      </c>
      <c r="H879">
        <v>4</v>
      </c>
      <c r="I879">
        <v>1.8</v>
      </c>
      <c r="J879" t="s">
        <v>96</v>
      </c>
      <c r="K879" t="s">
        <v>1735</v>
      </c>
      <c r="L879" t="s">
        <v>48</v>
      </c>
      <c r="M879" t="s">
        <v>682</v>
      </c>
      <c r="N879" t="s">
        <v>61</v>
      </c>
      <c r="O879">
        <v>43</v>
      </c>
      <c r="P879" t="s">
        <v>2265</v>
      </c>
      <c r="Q879">
        <v>0</v>
      </c>
      <c r="R879">
        <v>0</v>
      </c>
      <c r="S879" t="s">
        <v>2265</v>
      </c>
      <c r="T879" t="s">
        <v>81</v>
      </c>
      <c r="U879" t="s">
        <v>52</v>
      </c>
      <c r="V879" t="s">
        <v>52</v>
      </c>
      <c r="W879" t="s">
        <v>39</v>
      </c>
      <c r="X879">
        <v>2022</v>
      </c>
      <c r="Y879" t="s">
        <v>312</v>
      </c>
      <c r="Z879" t="s">
        <v>83</v>
      </c>
    </row>
    <row r="880" spans="1:26">
      <c r="A880" t="s">
        <v>1844</v>
      </c>
      <c r="B880" t="s">
        <v>27</v>
      </c>
      <c r="C880" t="s">
        <v>173</v>
      </c>
      <c r="D880" t="s">
        <v>29</v>
      </c>
      <c r="E880" t="s">
        <v>244</v>
      </c>
      <c r="F880" t="s">
        <v>68</v>
      </c>
      <c r="G880" t="s">
        <v>58</v>
      </c>
      <c r="H880">
        <v>3.5</v>
      </c>
      <c r="I880">
        <v>2.7</v>
      </c>
      <c r="J880" t="s">
        <v>144</v>
      </c>
      <c r="K880" t="s">
        <v>793</v>
      </c>
      <c r="L880" t="s">
        <v>140</v>
      </c>
      <c r="M880" t="s">
        <v>943</v>
      </c>
      <c r="N880" t="s">
        <v>71</v>
      </c>
      <c r="O880">
        <v>158</v>
      </c>
      <c r="P880" t="s">
        <v>89</v>
      </c>
      <c r="Q880">
        <v>4907</v>
      </c>
      <c r="R880">
        <v>1000</v>
      </c>
      <c r="S880" t="s">
        <v>152</v>
      </c>
      <c r="T880" t="s">
        <v>38</v>
      </c>
      <c r="U880" t="s">
        <v>52</v>
      </c>
      <c r="V880" t="s">
        <v>52</v>
      </c>
      <c r="W880" t="s">
        <v>52</v>
      </c>
      <c r="X880">
        <v>2023</v>
      </c>
      <c r="Y880" t="s">
        <v>211</v>
      </c>
      <c r="Z880" t="s">
        <v>41</v>
      </c>
    </row>
    <row r="881" spans="1:26">
      <c r="A881" t="s">
        <v>1845</v>
      </c>
      <c r="B881" t="s">
        <v>108</v>
      </c>
      <c r="C881" t="s">
        <v>44</v>
      </c>
      <c r="D881" t="s">
        <v>77</v>
      </c>
      <c r="E881" t="s">
        <v>78</v>
      </c>
      <c r="F881" t="s">
        <v>124</v>
      </c>
      <c r="G881" t="s">
        <v>32</v>
      </c>
      <c r="H881">
        <v>3.6</v>
      </c>
      <c r="I881">
        <v>24.8</v>
      </c>
      <c r="J881" t="s">
        <v>156</v>
      </c>
      <c r="K881" t="s">
        <v>285</v>
      </c>
      <c r="L881" t="s">
        <v>60</v>
      </c>
      <c r="M881" t="s">
        <v>723</v>
      </c>
      <c r="N881" t="s">
        <v>61</v>
      </c>
      <c r="O881">
        <v>131</v>
      </c>
      <c r="P881" t="s">
        <v>2265</v>
      </c>
      <c r="Q881">
        <v>0</v>
      </c>
      <c r="R881">
        <v>0</v>
      </c>
      <c r="S881" t="s">
        <v>2265</v>
      </c>
      <c r="T881" t="s">
        <v>81</v>
      </c>
      <c r="U881" t="s">
        <v>39</v>
      </c>
      <c r="V881" t="s">
        <v>52</v>
      </c>
      <c r="W881" t="s">
        <v>52</v>
      </c>
      <c r="X881">
        <v>2024</v>
      </c>
      <c r="Y881" t="s">
        <v>106</v>
      </c>
      <c r="Z881" t="s">
        <v>83</v>
      </c>
    </row>
    <row r="882" spans="1:26">
      <c r="A882" t="s">
        <v>1846</v>
      </c>
      <c r="B882" t="s">
        <v>66</v>
      </c>
      <c r="C882" t="s">
        <v>28</v>
      </c>
      <c r="D882" t="s">
        <v>77</v>
      </c>
      <c r="E882" t="s">
        <v>220</v>
      </c>
      <c r="F882" t="s">
        <v>160</v>
      </c>
      <c r="G882" t="s">
        <v>32</v>
      </c>
      <c r="H882">
        <v>12</v>
      </c>
      <c r="I882">
        <v>4.9000000000000004</v>
      </c>
      <c r="J882" t="s">
        <v>156</v>
      </c>
      <c r="K882" t="s">
        <v>377</v>
      </c>
      <c r="L882" t="s">
        <v>60</v>
      </c>
      <c r="M882" t="s">
        <v>1796</v>
      </c>
      <c r="N882" t="s">
        <v>71</v>
      </c>
      <c r="O882">
        <v>16</v>
      </c>
      <c r="P882" t="s">
        <v>105</v>
      </c>
      <c r="Q882">
        <v>4209</v>
      </c>
      <c r="R882">
        <v>0</v>
      </c>
      <c r="S882" t="s">
        <v>113</v>
      </c>
      <c r="T882" t="s">
        <v>136</v>
      </c>
      <c r="U882" t="s">
        <v>52</v>
      </c>
      <c r="V882" t="s">
        <v>52</v>
      </c>
      <c r="W882" t="s">
        <v>39</v>
      </c>
      <c r="X882">
        <v>2022</v>
      </c>
      <c r="Y882" t="s">
        <v>153</v>
      </c>
      <c r="Z882" t="s">
        <v>54</v>
      </c>
    </row>
    <row r="883" spans="1:26">
      <c r="A883" t="s">
        <v>1847</v>
      </c>
      <c r="B883" t="s">
        <v>93</v>
      </c>
      <c r="C883" t="s">
        <v>28</v>
      </c>
      <c r="D883" t="s">
        <v>29</v>
      </c>
      <c r="E883" t="s">
        <v>94</v>
      </c>
      <c r="F883" t="s">
        <v>238</v>
      </c>
      <c r="G883" t="s">
        <v>58</v>
      </c>
      <c r="H883">
        <v>4.4000000000000004</v>
      </c>
      <c r="I883">
        <v>14</v>
      </c>
      <c r="J883" t="s">
        <v>96</v>
      </c>
      <c r="K883" t="s">
        <v>1086</v>
      </c>
      <c r="L883" t="s">
        <v>60</v>
      </c>
      <c r="M883" t="s">
        <v>806</v>
      </c>
      <c r="N883" t="s">
        <v>50</v>
      </c>
      <c r="O883">
        <v>54</v>
      </c>
      <c r="P883" t="s">
        <v>2265</v>
      </c>
      <c r="Q883">
        <v>0</v>
      </c>
      <c r="R883">
        <v>0</v>
      </c>
      <c r="S883" t="s">
        <v>2265</v>
      </c>
      <c r="T883" t="s">
        <v>136</v>
      </c>
      <c r="U883" t="s">
        <v>39</v>
      </c>
      <c r="V883" t="s">
        <v>52</v>
      </c>
      <c r="W883" t="s">
        <v>52</v>
      </c>
      <c r="X883">
        <v>2023</v>
      </c>
      <c r="Y883" t="s">
        <v>114</v>
      </c>
      <c r="Z883" t="s">
        <v>41</v>
      </c>
    </row>
    <row r="884" spans="1:26">
      <c r="A884" t="s">
        <v>1848</v>
      </c>
      <c r="B884" t="s">
        <v>66</v>
      </c>
      <c r="C884" t="s">
        <v>67</v>
      </c>
      <c r="D884" t="s">
        <v>85</v>
      </c>
      <c r="E884" t="s">
        <v>402</v>
      </c>
      <c r="F884" t="s">
        <v>31</v>
      </c>
      <c r="G884" t="s">
        <v>58</v>
      </c>
      <c r="H884">
        <v>9</v>
      </c>
      <c r="I884">
        <v>24.9</v>
      </c>
      <c r="J884" t="s">
        <v>33</v>
      </c>
      <c r="K884" t="s">
        <v>367</v>
      </c>
      <c r="L884" t="s">
        <v>48</v>
      </c>
      <c r="M884" t="s">
        <v>1828</v>
      </c>
      <c r="N884" t="s">
        <v>171</v>
      </c>
      <c r="O884">
        <v>35</v>
      </c>
      <c r="P884" t="s">
        <v>2265</v>
      </c>
      <c r="Q884">
        <v>0</v>
      </c>
      <c r="R884">
        <v>0</v>
      </c>
      <c r="S884" t="s">
        <v>2265</v>
      </c>
      <c r="T884" t="s">
        <v>51</v>
      </c>
      <c r="U884" t="s">
        <v>52</v>
      </c>
      <c r="V884" t="s">
        <v>39</v>
      </c>
      <c r="W884" t="s">
        <v>52</v>
      </c>
      <c r="X884">
        <v>2024</v>
      </c>
      <c r="Y884" t="s">
        <v>40</v>
      </c>
      <c r="Z884" t="s">
        <v>41</v>
      </c>
    </row>
    <row r="885" spans="1:26">
      <c r="A885" t="s">
        <v>1849</v>
      </c>
      <c r="B885" t="s">
        <v>66</v>
      </c>
      <c r="C885" t="s">
        <v>164</v>
      </c>
      <c r="D885" t="s">
        <v>122</v>
      </c>
      <c r="E885" t="s">
        <v>148</v>
      </c>
      <c r="F885" t="s">
        <v>57</v>
      </c>
      <c r="G885" t="s">
        <v>58</v>
      </c>
      <c r="H885">
        <v>11.5</v>
      </c>
      <c r="I885">
        <v>31.8</v>
      </c>
      <c r="J885" t="s">
        <v>96</v>
      </c>
      <c r="K885" t="s">
        <v>397</v>
      </c>
      <c r="L885" t="s">
        <v>35</v>
      </c>
      <c r="M885" t="s">
        <v>1356</v>
      </c>
      <c r="N885" t="s">
        <v>37</v>
      </c>
      <c r="O885">
        <v>36</v>
      </c>
      <c r="P885" t="s">
        <v>2265</v>
      </c>
      <c r="Q885">
        <v>0</v>
      </c>
      <c r="R885">
        <v>1000</v>
      </c>
      <c r="S885" t="s">
        <v>2265</v>
      </c>
      <c r="T885" t="s">
        <v>51</v>
      </c>
      <c r="U885" t="s">
        <v>39</v>
      </c>
      <c r="V885" t="s">
        <v>52</v>
      </c>
      <c r="W885" t="s">
        <v>52</v>
      </c>
      <c r="X885">
        <v>2022</v>
      </c>
      <c r="Y885" t="s">
        <v>312</v>
      </c>
      <c r="Z885" t="s">
        <v>83</v>
      </c>
    </row>
    <row r="886" spans="1:26">
      <c r="A886" t="s">
        <v>1850</v>
      </c>
      <c r="B886" t="s">
        <v>66</v>
      </c>
      <c r="C886" t="s">
        <v>173</v>
      </c>
      <c r="D886" t="s">
        <v>122</v>
      </c>
      <c r="E886" t="s">
        <v>123</v>
      </c>
      <c r="F886" t="s">
        <v>109</v>
      </c>
      <c r="G886" t="s">
        <v>32</v>
      </c>
      <c r="H886">
        <v>1.9</v>
      </c>
      <c r="I886">
        <v>24</v>
      </c>
      <c r="J886" t="s">
        <v>20</v>
      </c>
      <c r="K886" t="s">
        <v>1851</v>
      </c>
      <c r="L886" t="s">
        <v>140</v>
      </c>
      <c r="M886" t="s">
        <v>1453</v>
      </c>
      <c r="N886" t="s">
        <v>37</v>
      </c>
      <c r="O886">
        <v>124</v>
      </c>
      <c r="P886" t="s">
        <v>2265</v>
      </c>
      <c r="Q886">
        <v>0</v>
      </c>
      <c r="R886">
        <v>0</v>
      </c>
      <c r="S886" t="s">
        <v>2265</v>
      </c>
      <c r="T886" t="s">
        <v>62</v>
      </c>
      <c r="U886" t="s">
        <v>39</v>
      </c>
      <c r="V886" t="s">
        <v>52</v>
      </c>
      <c r="W886" t="s">
        <v>39</v>
      </c>
      <c r="X886">
        <v>2022</v>
      </c>
      <c r="Y886" t="s">
        <v>211</v>
      </c>
      <c r="Z886" t="s">
        <v>41</v>
      </c>
    </row>
    <row r="887" spans="1:26">
      <c r="A887" t="s">
        <v>1852</v>
      </c>
      <c r="B887" t="s">
        <v>66</v>
      </c>
      <c r="C887" t="s">
        <v>28</v>
      </c>
      <c r="D887" t="s">
        <v>77</v>
      </c>
      <c r="E887" t="s">
        <v>168</v>
      </c>
      <c r="F887" t="s">
        <v>149</v>
      </c>
      <c r="G887" t="s">
        <v>32</v>
      </c>
      <c r="H887">
        <v>4.0999999999999996</v>
      </c>
      <c r="I887">
        <v>14.6</v>
      </c>
      <c r="J887" t="s">
        <v>144</v>
      </c>
      <c r="K887" t="s">
        <v>1299</v>
      </c>
      <c r="L887" t="s">
        <v>140</v>
      </c>
      <c r="M887" t="s">
        <v>466</v>
      </c>
      <c r="N887" t="s">
        <v>61</v>
      </c>
      <c r="O887">
        <v>12</v>
      </c>
      <c r="P887" t="s">
        <v>2265</v>
      </c>
      <c r="Q887">
        <v>0</v>
      </c>
      <c r="R887">
        <v>0</v>
      </c>
      <c r="S887" t="s">
        <v>2265</v>
      </c>
      <c r="T887" t="s">
        <v>62</v>
      </c>
      <c r="U887" t="s">
        <v>39</v>
      </c>
      <c r="V887" t="s">
        <v>52</v>
      </c>
      <c r="W887" t="s">
        <v>52</v>
      </c>
      <c r="X887">
        <v>2024</v>
      </c>
      <c r="Y887" t="s">
        <v>40</v>
      </c>
      <c r="Z887" t="s">
        <v>41</v>
      </c>
    </row>
    <row r="888" spans="1:26">
      <c r="A888" t="s">
        <v>1853</v>
      </c>
      <c r="B888" t="s">
        <v>93</v>
      </c>
      <c r="C888" t="s">
        <v>76</v>
      </c>
      <c r="D888" t="s">
        <v>77</v>
      </c>
      <c r="E888" t="s">
        <v>168</v>
      </c>
      <c r="F888" t="s">
        <v>109</v>
      </c>
      <c r="G888" t="s">
        <v>58</v>
      </c>
      <c r="H888">
        <v>10.9</v>
      </c>
      <c r="I888">
        <v>9.3000000000000007</v>
      </c>
      <c r="J888" t="s">
        <v>33</v>
      </c>
      <c r="K888" t="s">
        <v>482</v>
      </c>
      <c r="L888" t="s">
        <v>48</v>
      </c>
      <c r="M888" t="s">
        <v>735</v>
      </c>
      <c r="N888" t="s">
        <v>71</v>
      </c>
      <c r="O888">
        <v>167</v>
      </c>
      <c r="P888" t="s">
        <v>112</v>
      </c>
      <c r="Q888">
        <v>4879</v>
      </c>
      <c r="R888">
        <v>2000</v>
      </c>
      <c r="S888" t="s">
        <v>113</v>
      </c>
      <c r="T888" t="s">
        <v>136</v>
      </c>
      <c r="U888" t="s">
        <v>39</v>
      </c>
      <c r="V888" t="s">
        <v>52</v>
      </c>
      <c r="W888" t="s">
        <v>39</v>
      </c>
      <c r="X888">
        <v>2023</v>
      </c>
      <c r="Y888" t="s">
        <v>114</v>
      </c>
      <c r="Z888" t="s">
        <v>41</v>
      </c>
    </row>
    <row r="889" spans="1:26">
      <c r="A889" t="s">
        <v>1854</v>
      </c>
      <c r="B889" t="s">
        <v>66</v>
      </c>
      <c r="C889" t="s">
        <v>173</v>
      </c>
      <c r="D889" t="s">
        <v>29</v>
      </c>
      <c r="E889" t="s">
        <v>195</v>
      </c>
      <c r="F889" t="s">
        <v>31</v>
      </c>
      <c r="G889" t="s">
        <v>58</v>
      </c>
      <c r="H889">
        <v>0.3</v>
      </c>
      <c r="I889">
        <v>30.5</v>
      </c>
      <c r="J889" t="s">
        <v>144</v>
      </c>
      <c r="K889" t="s">
        <v>561</v>
      </c>
      <c r="L889" t="s">
        <v>140</v>
      </c>
      <c r="M889" t="s">
        <v>1274</v>
      </c>
      <c r="N889" t="s">
        <v>100</v>
      </c>
      <c r="O889">
        <v>138</v>
      </c>
      <c r="P889" t="s">
        <v>2265</v>
      </c>
      <c r="Q889">
        <v>0</v>
      </c>
      <c r="R889">
        <v>0</v>
      </c>
      <c r="S889" t="s">
        <v>2265</v>
      </c>
      <c r="T889" t="s">
        <v>81</v>
      </c>
      <c r="U889" t="s">
        <v>39</v>
      </c>
      <c r="V889" t="s">
        <v>39</v>
      </c>
      <c r="W889" t="s">
        <v>52</v>
      </c>
      <c r="X889">
        <v>2023</v>
      </c>
      <c r="Y889" t="s">
        <v>40</v>
      </c>
      <c r="Z889" t="s">
        <v>41</v>
      </c>
    </row>
    <row r="890" spans="1:26">
      <c r="A890" t="s">
        <v>1855</v>
      </c>
      <c r="B890" t="s">
        <v>66</v>
      </c>
      <c r="C890" t="s">
        <v>102</v>
      </c>
      <c r="D890" t="s">
        <v>85</v>
      </c>
      <c r="E890" t="s">
        <v>138</v>
      </c>
      <c r="F890" t="s">
        <v>149</v>
      </c>
      <c r="G890" t="s">
        <v>58</v>
      </c>
      <c r="H890">
        <v>8.3000000000000007</v>
      </c>
      <c r="I890">
        <v>3.2</v>
      </c>
      <c r="J890" t="s">
        <v>33</v>
      </c>
      <c r="K890" t="s">
        <v>1856</v>
      </c>
      <c r="L890" t="s">
        <v>48</v>
      </c>
      <c r="M890" t="s">
        <v>1562</v>
      </c>
      <c r="N890" t="s">
        <v>37</v>
      </c>
      <c r="O890">
        <v>46</v>
      </c>
      <c r="P890" t="s">
        <v>2265</v>
      </c>
      <c r="Q890">
        <v>0</v>
      </c>
      <c r="R890">
        <v>0</v>
      </c>
      <c r="S890" t="s">
        <v>2265</v>
      </c>
      <c r="T890" t="s">
        <v>51</v>
      </c>
      <c r="U890" t="s">
        <v>39</v>
      </c>
      <c r="V890" t="s">
        <v>52</v>
      </c>
      <c r="W890" t="s">
        <v>52</v>
      </c>
      <c r="X890">
        <v>2023</v>
      </c>
      <c r="Y890" t="s">
        <v>128</v>
      </c>
      <c r="Z890" t="s">
        <v>64</v>
      </c>
    </row>
    <row r="891" spans="1:26">
      <c r="A891" t="s">
        <v>1857</v>
      </c>
      <c r="B891" t="s">
        <v>93</v>
      </c>
      <c r="C891" t="s">
        <v>173</v>
      </c>
      <c r="D891" t="s">
        <v>29</v>
      </c>
      <c r="E891" t="s">
        <v>117</v>
      </c>
      <c r="F891" t="s">
        <v>109</v>
      </c>
      <c r="G891" t="s">
        <v>58</v>
      </c>
      <c r="H891">
        <v>4.4000000000000004</v>
      </c>
      <c r="I891">
        <v>26.9</v>
      </c>
      <c r="J891" t="s">
        <v>33</v>
      </c>
      <c r="K891" t="s">
        <v>412</v>
      </c>
      <c r="L891" t="s">
        <v>48</v>
      </c>
      <c r="M891" t="s">
        <v>803</v>
      </c>
      <c r="N891" t="s">
        <v>37</v>
      </c>
      <c r="O891">
        <v>110</v>
      </c>
      <c r="P891" t="s">
        <v>2265</v>
      </c>
      <c r="Q891">
        <v>0</v>
      </c>
      <c r="R891">
        <v>0</v>
      </c>
      <c r="S891" t="s">
        <v>2265</v>
      </c>
      <c r="T891" t="s">
        <v>38</v>
      </c>
      <c r="U891" t="s">
        <v>39</v>
      </c>
      <c r="V891" t="s">
        <v>39</v>
      </c>
      <c r="W891" t="s">
        <v>39</v>
      </c>
      <c r="X891">
        <v>2022</v>
      </c>
      <c r="Y891" t="s">
        <v>128</v>
      </c>
      <c r="Z891" t="s">
        <v>64</v>
      </c>
    </row>
    <row r="892" spans="1:26">
      <c r="A892" t="s">
        <v>1858</v>
      </c>
      <c r="B892" t="s">
        <v>27</v>
      </c>
      <c r="C892" t="s">
        <v>121</v>
      </c>
      <c r="D892" t="s">
        <v>29</v>
      </c>
      <c r="E892" t="s">
        <v>45</v>
      </c>
      <c r="F892" t="s">
        <v>109</v>
      </c>
      <c r="G892" t="s">
        <v>58</v>
      </c>
      <c r="H892">
        <v>1.5</v>
      </c>
      <c r="I892">
        <v>26.9</v>
      </c>
      <c r="J892" t="s">
        <v>144</v>
      </c>
      <c r="K892" t="s">
        <v>1859</v>
      </c>
      <c r="L892" t="s">
        <v>98</v>
      </c>
      <c r="M892" t="s">
        <v>672</v>
      </c>
      <c r="N892" t="s">
        <v>171</v>
      </c>
      <c r="O892">
        <v>116</v>
      </c>
      <c r="P892" t="s">
        <v>2265</v>
      </c>
      <c r="Q892">
        <v>0</v>
      </c>
      <c r="R892">
        <v>0</v>
      </c>
      <c r="S892" t="s">
        <v>2265</v>
      </c>
      <c r="T892" t="s">
        <v>62</v>
      </c>
      <c r="U892" t="s">
        <v>39</v>
      </c>
      <c r="V892" t="s">
        <v>39</v>
      </c>
      <c r="W892" t="s">
        <v>52</v>
      </c>
      <c r="X892">
        <v>2022</v>
      </c>
      <c r="Y892" t="s">
        <v>211</v>
      </c>
      <c r="Z892" t="s">
        <v>41</v>
      </c>
    </row>
    <row r="893" spans="1:26">
      <c r="A893" t="s">
        <v>1860</v>
      </c>
      <c r="B893" t="s">
        <v>27</v>
      </c>
      <c r="C893" t="s">
        <v>28</v>
      </c>
      <c r="D893" t="s">
        <v>29</v>
      </c>
      <c r="E893" t="s">
        <v>56</v>
      </c>
      <c r="F893" t="s">
        <v>95</v>
      </c>
      <c r="G893" t="s">
        <v>58</v>
      </c>
      <c r="H893">
        <v>8.6999999999999993</v>
      </c>
      <c r="I893">
        <v>31.9</v>
      </c>
      <c r="J893" t="s">
        <v>33</v>
      </c>
      <c r="K893" t="s">
        <v>386</v>
      </c>
      <c r="L893" t="s">
        <v>60</v>
      </c>
      <c r="M893" t="s">
        <v>585</v>
      </c>
      <c r="N893" t="s">
        <v>37</v>
      </c>
      <c r="O893">
        <v>100</v>
      </c>
      <c r="P893" t="s">
        <v>2265</v>
      </c>
      <c r="Q893">
        <v>0</v>
      </c>
      <c r="R893">
        <v>500</v>
      </c>
      <c r="S893" t="s">
        <v>2265</v>
      </c>
      <c r="T893" t="s">
        <v>81</v>
      </c>
      <c r="U893" t="s">
        <v>39</v>
      </c>
      <c r="V893" t="s">
        <v>52</v>
      </c>
      <c r="W893" t="s">
        <v>52</v>
      </c>
      <c r="X893">
        <v>2022</v>
      </c>
      <c r="Y893" t="s">
        <v>63</v>
      </c>
      <c r="Z893" t="s">
        <v>64</v>
      </c>
    </row>
    <row r="894" spans="1:26">
      <c r="A894" t="s">
        <v>1861</v>
      </c>
      <c r="B894" t="s">
        <v>43</v>
      </c>
      <c r="C894" t="s">
        <v>121</v>
      </c>
      <c r="D894" t="s">
        <v>77</v>
      </c>
      <c r="E894" t="s">
        <v>260</v>
      </c>
      <c r="F894" t="s">
        <v>31</v>
      </c>
      <c r="G894" t="s">
        <v>58</v>
      </c>
      <c r="H894">
        <v>9.8000000000000007</v>
      </c>
      <c r="I894">
        <v>7.8</v>
      </c>
      <c r="J894" t="s">
        <v>156</v>
      </c>
      <c r="K894" t="s">
        <v>1236</v>
      </c>
      <c r="L894" t="s">
        <v>48</v>
      </c>
      <c r="M894" t="s">
        <v>930</v>
      </c>
      <c r="N894" t="s">
        <v>71</v>
      </c>
      <c r="O894">
        <v>111</v>
      </c>
      <c r="P894" t="s">
        <v>112</v>
      </c>
      <c r="Q894">
        <v>7197</v>
      </c>
      <c r="R894">
        <v>5000</v>
      </c>
      <c r="S894" t="s">
        <v>90</v>
      </c>
      <c r="T894" t="s">
        <v>136</v>
      </c>
      <c r="U894" t="s">
        <v>39</v>
      </c>
      <c r="V894" t="s">
        <v>52</v>
      </c>
      <c r="W894" t="s">
        <v>52</v>
      </c>
      <c r="X894">
        <v>2024</v>
      </c>
      <c r="Y894" t="s">
        <v>312</v>
      </c>
      <c r="Z894" t="s">
        <v>83</v>
      </c>
    </row>
    <row r="895" spans="1:26">
      <c r="A895" t="s">
        <v>1862</v>
      </c>
      <c r="B895" t="s">
        <v>66</v>
      </c>
      <c r="C895" t="s">
        <v>67</v>
      </c>
      <c r="D895" t="s">
        <v>77</v>
      </c>
      <c r="E895" t="s">
        <v>220</v>
      </c>
      <c r="F895" t="s">
        <v>46</v>
      </c>
      <c r="G895" t="s">
        <v>32</v>
      </c>
      <c r="H895">
        <v>6.9</v>
      </c>
      <c r="I895">
        <v>1.1000000000000001</v>
      </c>
      <c r="J895" t="s">
        <v>156</v>
      </c>
      <c r="K895" t="s">
        <v>104</v>
      </c>
      <c r="L895" t="s">
        <v>35</v>
      </c>
      <c r="M895" t="s">
        <v>418</v>
      </c>
      <c r="N895" t="s">
        <v>37</v>
      </c>
      <c r="O895">
        <v>116</v>
      </c>
      <c r="P895" t="s">
        <v>2265</v>
      </c>
      <c r="Q895">
        <v>0</v>
      </c>
      <c r="R895">
        <v>0</v>
      </c>
      <c r="S895" t="s">
        <v>2265</v>
      </c>
      <c r="T895" t="s">
        <v>51</v>
      </c>
      <c r="U895" t="s">
        <v>52</v>
      </c>
      <c r="V895" t="s">
        <v>39</v>
      </c>
      <c r="W895" t="s">
        <v>52</v>
      </c>
      <c r="X895">
        <v>2022</v>
      </c>
      <c r="Y895" t="s">
        <v>312</v>
      </c>
      <c r="Z895" t="s">
        <v>83</v>
      </c>
    </row>
    <row r="896" spans="1:26">
      <c r="A896" t="s">
        <v>1863</v>
      </c>
      <c r="B896" t="s">
        <v>27</v>
      </c>
      <c r="C896" t="s">
        <v>67</v>
      </c>
      <c r="D896" t="s">
        <v>29</v>
      </c>
      <c r="E896" t="s">
        <v>244</v>
      </c>
      <c r="F896" t="s">
        <v>95</v>
      </c>
      <c r="G896" t="s">
        <v>58</v>
      </c>
      <c r="H896">
        <v>5.7</v>
      </c>
      <c r="I896">
        <v>19.600000000000001</v>
      </c>
      <c r="J896" t="s">
        <v>96</v>
      </c>
      <c r="K896" t="s">
        <v>277</v>
      </c>
      <c r="L896" t="s">
        <v>98</v>
      </c>
      <c r="M896" t="s">
        <v>127</v>
      </c>
      <c r="N896" t="s">
        <v>71</v>
      </c>
      <c r="O896">
        <v>144</v>
      </c>
      <c r="P896" t="s">
        <v>72</v>
      </c>
      <c r="Q896">
        <v>3928</v>
      </c>
      <c r="R896">
        <v>0</v>
      </c>
      <c r="S896" t="s">
        <v>113</v>
      </c>
      <c r="T896" t="s">
        <v>51</v>
      </c>
      <c r="U896" t="s">
        <v>52</v>
      </c>
      <c r="V896" t="s">
        <v>52</v>
      </c>
      <c r="W896" t="s">
        <v>39</v>
      </c>
      <c r="X896">
        <v>2024</v>
      </c>
      <c r="Y896" t="s">
        <v>63</v>
      </c>
      <c r="Z896" t="s">
        <v>64</v>
      </c>
    </row>
    <row r="897" spans="1:26">
      <c r="A897" t="s">
        <v>1864</v>
      </c>
      <c r="B897" t="s">
        <v>93</v>
      </c>
      <c r="C897" t="s">
        <v>67</v>
      </c>
      <c r="D897" t="s">
        <v>29</v>
      </c>
      <c r="E897" t="s">
        <v>30</v>
      </c>
      <c r="F897" t="s">
        <v>57</v>
      </c>
      <c r="G897" t="s">
        <v>58</v>
      </c>
      <c r="H897">
        <v>9.8000000000000007</v>
      </c>
      <c r="I897">
        <v>35</v>
      </c>
      <c r="J897" t="s">
        <v>20</v>
      </c>
      <c r="K897" t="s">
        <v>482</v>
      </c>
      <c r="L897" t="s">
        <v>60</v>
      </c>
      <c r="M897" t="s">
        <v>240</v>
      </c>
      <c r="N897" t="s">
        <v>71</v>
      </c>
      <c r="O897">
        <v>171</v>
      </c>
      <c r="P897" t="s">
        <v>230</v>
      </c>
      <c r="Q897">
        <v>4350</v>
      </c>
      <c r="R897">
        <v>0</v>
      </c>
      <c r="S897" t="s">
        <v>90</v>
      </c>
      <c r="T897" t="s">
        <v>51</v>
      </c>
      <c r="U897" t="s">
        <v>39</v>
      </c>
      <c r="V897" t="s">
        <v>52</v>
      </c>
      <c r="W897" t="s">
        <v>39</v>
      </c>
      <c r="X897">
        <v>2023</v>
      </c>
      <c r="Y897" t="s">
        <v>114</v>
      </c>
      <c r="Z897" t="s">
        <v>41</v>
      </c>
    </row>
    <row r="898" spans="1:26">
      <c r="A898" t="s">
        <v>1865</v>
      </c>
      <c r="B898" t="s">
        <v>93</v>
      </c>
      <c r="C898" t="s">
        <v>28</v>
      </c>
      <c r="D898" t="s">
        <v>77</v>
      </c>
      <c r="E898" t="s">
        <v>168</v>
      </c>
      <c r="F898" t="s">
        <v>95</v>
      </c>
      <c r="G898" t="s">
        <v>32</v>
      </c>
      <c r="H898">
        <v>7.3</v>
      </c>
      <c r="I898">
        <v>29.9</v>
      </c>
      <c r="J898" t="s">
        <v>96</v>
      </c>
      <c r="K898" t="s">
        <v>301</v>
      </c>
      <c r="L898" t="s">
        <v>60</v>
      </c>
      <c r="M898" t="s">
        <v>1866</v>
      </c>
      <c r="N898" t="s">
        <v>71</v>
      </c>
      <c r="O898">
        <v>48</v>
      </c>
      <c r="P898" t="s">
        <v>72</v>
      </c>
      <c r="Q898">
        <v>4125</v>
      </c>
      <c r="R898">
        <v>1000</v>
      </c>
      <c r="S898" t="s">
        <v>73</v>
      </c>
      <c r="T898" t="s">
        <v>81</v>
      </c>
      <c r="U898" t="s">
        <v>39</v>
      </c>
      <c r="V898" t="s">
        <v>52</v>
      </c>
      <c r="W898" t="s">
        <v>39</v>
      </c>
      <c r="X898">
        <v>2023</v>
      </c>
      <c r="Y898" t="s">
        <v>128</v>
      </c>
      <c r="Z898" t="s">
        <v>64</v>
      </c>
    </row>
    <row r="899" spans="1:26">
      <c r="A899" t="s">
        <v>1867</v>
      </c>
      <c r="B899" t="s">
        <v>27</v>
      </c>
      <c r="C899" t="s">
        <v>173</v>
      </c>
      <c r="D899" t="s">
        <v>77</v>
      </c>
      <c r="E899" t="s">
        <v>220</v>
      </c>
      <c r="F899" t="s">
        <v>95</v>
      </c>
      <c r="G899" t="s">
        <v>32</v>
      </c>
      <c r="H899">
        <v>10.5</v>
      </c>
      <c r="I899">
        <v>19.3</v>
      </c>
      <c r="J899" t="s">
        <v>96</v>
      </c>
      <c r="K899" t="s">
        <v>1868</v>
      </c>
      <c r="L899" t="s">
        <v>35</v>
      </c>
      <c r="M899" t="s">
        <v>775</v>
      </c>
      <c r="N899" t="s">
        <v>71</v>
      </c>
      <c r="O899">
        <v>80</v>
      </c>
      <c r="P899" t="s">
        <v>72</v>
      </c>
      <c r="Q899">
        <v>7496</v>
      </c>
      <c r="R899">
        <v>1000</v>
      </c>
      <c r="S899" t="s">
        <v>90</v>
      </c>
      <c r="T899" t="s">
        <v>38</v>
      </c>
      <c r="U899" t="s">
        <v>39</v>
      </c>
      <c r="V899" t="s">
        <v>52</v>
      </c>
      <c r="W899" t="s">
        <v>39</v>
      </c>
      <c r="X899">
        <v>2023</v>
      </c>
      <c r="Y899" t="s">
        <v>40</v>
      </c>
      <c r="Z899" t="s">
        <v>41</v>
      </c>
    </row>
    <row r="900" spans="1:26">
      <c r="A900" t="s">
        <v>1869</v>
      </c>
      <c r="B900" t="s">
        <v>108</v>
      </c>
      <c r="C900" t="s">
        <v>28</v>
      </c>
      <c r="D900" t="s">
        <v>77</v>
      </c>
      <c r="E900" t="s">
        <v>143</v>
      </c>
      <c r="F900" t="s">
        <v>160</v>
      </c>
      <c r="G900" t="s">
        <v>58</v>
      </c>
      <c r="H900">
        <v>0.6</v>
      </c>
      <c r="I900">
        <v>28.4</v>
      </c>
      <c r="J900" t="s">
        <v>20</v>
      </c>
      <c r="K900" t="s">
        <v>1532</v>
      </c>
      <c r="L900" t="s">
        <v>140</v>
      </c>
      <c r="M900" t="s">
        <v>1870</v>
      </c>
      <c r="N900" t="s">
        <v>71</v>
      </c>
      <c r="O900">
        <v>151</v>
      </c>
      <c r="P900" t="s">
        <v>89</v>
      </c>
      <c r="Q900">
        <v>3875</v>
      </c>
      <c r="R900">
        <v>500</v>
      </c>
      <c r="S900" t="s">
        <v>73</v>
      </c>
      <c r="T900" t="s">
        <v>51</v>
      </c>
      <c r="U900" t="s">
        <v>39</v>
      </c>
      <c r="V900" t="s">
        <v>39</v>
      </c>
      <c r="W900" t="s">
        <v>39</v>
      </c>
      <c r="X900">
        <v>2022</v>
      </c>
      <c r="Y900" t="s">
        <v>40</v>
      </c>
      <c r="Z900" t="s">
        <v>41</v>
      </c>
    </row>
    <row r="901" spans="1:26">
      <c r="A901" t="s">
        <v>1871</v>
      </c>
      <c r="B901" t="s">
        <v>27</v>
      </c>
      <c r="C901" t="s">
        <v>173</v>
      </c>
      <c r="D901" t="s">
        <v>77</v>
      </c>
      <c r="E901" t="s">
        <v>78</v>
      </c>
      <c r="F901" t="s">
        <v>31</v>
      </c>
      <c r="G901" t="s">
        <v>58</v>
      </c>
      <c r="H901">
        <v>11.9</v>
      </c>
      <c r="I901">
        <v>0.7</v>
      </c>
      <c r="J901" t="s">
        <v>144</v>
      </c>
      <c r="K901" t="s">
        <v>1872</v>
      </c>
      <c r="L901" t="s">
        <v>140</v>
      </c>
      <c r="M901" t="s">
        <v>282</v>
      </c>
      <c r="N901" t="s">
        <v>71</v>
      </c>
      <c r="O901">
        <v>33</v>
      </c>
      <c r="P901" t="s">
        <v>89</v>
      </c>
      <c r="Q901">
        <v>7175</v>
      </c>
      <c r="R901">
        <v>0</v>
      </c>
      <c r="S901" t="s">
        <v>73</v>
      </c>
      <c r="T901" t="s">
        <v>136</v>
      </c>
      <c r="U901" t="s">
        <v>39</v>
      </c>
      <c r="V901" t="s">
        <v>52</v>
      </c>
      <c r="W901" t="s">
        <v>52</v>
      </c>
      <c r="X901">
        <v>2023</v>
      </c>
      <c r="Y901" t="s">
        <v>312</v>
      </c>
      <c r="Z901" t="s">
        <v>83</v>
      </c>
    </row>
    <row r="902" spans="1:26">
      <c r="A902" t="s">
        <v>1873</v>
      </c>
      <c r="B902" t="s">
        <v>27</v>
      </c>
      <c r="C902" t="s">
        <v>173</v>
      </c>
      <c r="D902" t="s">
        <v>77</v>
      </c>
      <c r="E902" t="s">
        <v>168</v>
      </c>
      <c r="F902" t="s">
        <v>160</v>
      </c>
      <c r="G902" t="s">
        <v>58</v>
      </c>
      <c r="H902">
        <v>11.7</v>
      </c>
      <c r="I902">
        <v>14.7</v>
      </c>
      <c r="J902" t="s">
        <v>20</v>
      </c>
      <c r="K902" t="s">
        <v>751</v>
      </c>
      <c r="L902" t="s">
        <v>35</v>
      </c>
      <c r="M902" t="s">
        <v>1011</v>
      </c>
      <c r="N902" t="s">
        <v>100</v>
      </c>
      <c r="O902">
        <v>35</v>
      </c>
      <c r="P902" t="s">
        <v>2265</v>
      </c>
      <c r="Q902">
        <v>0</v>
      </c>
      <c r="R902">
        <v>0</v>
      </c>
      <c r="S902" t="s">
        <v>2265</v>
      </c>
      <c r="T902" t="s">
        <v>136</v>
      </c>
      <c r="U902" t="s">
        <v>39</v>
      </c>
      <c r="V902" t="s">
        <v>52</v>
      </c>
      <c r="W902" t="s">
        <v>52</v>
      </c>
      <c r="X902">
        <v>2023</v>
      </c>
      <c r="Y902" t="s">
        <v>63</v>
      </c>
      <c r="Z902" t="s">
        <v>64</v>
      </c>
    </row>
    <row r="903" spans="1:26">
      <c r="A903" t="s">
        <v>1874</v>
      </c>
      <c r="B903" t="s">
        <v>66</v>
      </c>
      <c r="C903" t="s">
        <v>28</v>
      </c>
      <c r="D903" t="s">
        <v>77</v>
      </c>
      <c r="E903" t="s">
        <v>143</v>
      </c>
      <c r="F903" t="s">
        <v>124</v>
      </c>
      <c r="G903" t="s">
        <v>58</v>
      </c>
      <c r="H903">
        <v>8.3000000000000007</v>
      </c>
      <c r="I903">
        <v>20.399999999999999</v>
      </c>
      <c r="J903" t="s">
        <v>156</v>
      </c>
      <c r="K903" t="s">
        <v>286</v>
      </c>
      <c r="L903" t="s">
        <v>35</v>
      </c>
      <c r="M903" t="s">
        <v>903</v>
      </c>
      <c r="N903" t="s">
        <v>37</v>
      </c>
      <c r="O903">
        <v>152</v>
      </c>
      <c r="P903" t="s">
        <v>2265</v>
      </c>
      <c r="Q903">
        <v>0</v>
      </c>
      <c r="R903">
        <v>500</v>
      </c>
      <c r="S903" t="s">
        <v>2265</v>
      </c>
      <c r="T903" t="s">
        <v>81</v>
      </c>
      <c r="U903" t="s">
        <v>39</v>
      </c>
      <c r="V903" t="s">
        <v>52</v>
      </c>
      <c r="W903" t="s">
        <v>39</v>
      </c>
      <c r="X903">
        <v>2024</v>
      </c>
      <c r="Y903" t="s">
        <v>74</v>
      </c>
      <c r="Z903" t="s">
        <v>54</v>
      </c>
    </row>
    <row r="904" spans="1:26">
      <c r="A904" t="s">
        <v>1875</v>
      </c>
      <c r="B904" t="s">
        <v>66</v>
      </c>
      <c r="C904" t="s">
        <v>102</v>
      </c>
      <c r="D904" t="s">
        <v>29</v>
      </c>
      <c r="E904" t="s">
        <v>94</v>
      </c>
      <c r="F904" t="s">
        <v>95</v>
      </c>
      <c r="G904" t="s">
        <v>58</v>
      </c>
      <c r="H904">
        <v>11.5</v>
      </c>
      <c r="I904">
        <v>20.3</v>
      </c>
      <c r="J904" t="s">
        <v>144</v>
      </c>
      <c r="K904" t="s">
        <v>612</v>
      </c>
      <c r="L904" t="s">
        <v>35</v>
      </c>
      <c r="M904" t="s">
        <v>261</v>
      </c>
      <c r="N904" t="s">
        <v>37</v>
      </c>
      <c r="O904">
        <v>35</v>
      </c>
      <c r="P904" t="s">
        <v>2265</v>
      </c>
      <c r="Q904">
        <v>0</v>
      </c>
      <c r="R904">
        <v>500</v>
      </c>
      <c r="S904" t="s">
        <v>2265</v>
      </c>
      <c r="T904" t="s">
        <v>51</v>
      </c>
      <c r="U904" t="s">
        <v>39</v>
      </c>
      <c r="V904" t="s">
        <v>52</v>
      </c>
      <c r="W904" t="s">
        <v>52</v>
      </c>
      <c r="X904">
        <v>2024</v>
      </c>
      <c r="Y904" t="s">
        <v>312</v>
      </c>
      <c r="Z904" t="s">
        <v>83</v>
      </c>
    </row>
    <row r="905" spans="1:26">
      <c r="A905" t="s">
        <v>1876</v>
      </c>
      <c r="B905" t="s">
        <v>93</v>
      </c>
      <c r="C905" t="s">
        <v>121</v>
      </c>
      <c r="D905" t="s">
        <v>77</v>
      </c>
      <c r="E905" t="s">
        <v>143</v>
      </c>
      <c r="F905" t="s">
        <v>124</v>
      </c>
      <c r="G905" t="s">
        <v>58</v>
      </c>
      <c r="H905">
        <v>4.5999999999999996</v>
      </c>
      <c r="I905">
        <v>18.399999999999999</v>
      </c>
      <c r="J905" t="s">
        <v>33</v>
      </c>
      <c r="K905" t="s">
        <v>1877</v>
      </c>
      <c r="L905" t="s">
        <v>126</v>
      </c>
      <c r="M905" t="s">
        <v>1523</v>
      </c>
      <c r="N905" t="s">
        <v>100</v>
      </c>
      <c r="O905">
        <v>84</v>
      </c>
      <c r="P905" t="s">
        <v>2265</v>
      </c>
      <c r="Q905">
        <v>0</v>
      </c>
      <c r="R905">
        <v>0</v>
      </c>
      <c r="S905" t="s">
        <v>2265</v>
      </c>
      <c r="T905" t="s">
        <v>51</v>
      </c>
      <c r="U905" t="s">
        <v>39</v>
      </c>
      <c r="V905" t="s">
        <v>52</v>
      </c>
      <c r="W905" t="s">
        <v>52</v>
      </c>
      <c r="X905">
        <v>2024</v>
      </c>
      <c r="Y905" t="s">
        <v>106</v>
      </c>
      <c r="Z905" t="s">
        <v>83</v>
      </c>
    </row>
    <row r="906" spans="1:26">
      <c r="A906" t="s">
        <v>1878</v>
      </c>
      <c r="B906" t="s">
        <v>116</v>
      </c>
      <c r="C906" t="s">
        <v>121</v>
      </c>
      <c r="D906" t="s">
        <v>77</v>
      </c>
      <c r="E906" t="s">
        <v>78</v>
      </c>
      <c r="F906" t="s">
        <v>109</v>
      </c>
      <c r="G906" t="s">
        <v>32</v>
      </c>
      <c r="H906">
        <v>5.3</v>
      </c>
      <c r="I906">
        <v>6</v>
      </c>
      <c r="J906" t="s">
        <v>33</v>
      </c>
      <c r="K906" t="s">
        <v>561</v>
      </c>
      <c r="L906" t="s">
        <v>126</v>
      </c>
      <c r="M906" t="s">
        <v>1856</v>
      </c>
      <c r="N906" t="s">
        <v>71</v>
      </c>
      <c r="O906">
        <v>112</v>
      </c>
      <c r="P906" t="s">
        <v>230</v>
      </c>
      <c r="Q906">
        <v>5065</v>
      </c>
      <c r="R906">
        <v>0</v>
      </c>
      <c r="S906" t="s">
        <v>152</v>
      </c>
      <c r="T906" t="s">
        <v>81</v>
      </c>
      <c r="U906" t="s">
        <v>39</v>
      </c>
      <c r="V906" t="s">
        <v>52</v>
      </c>
      <c r="W906" t="s">
        <v>52</v>
      </c>
      <c r="X906">
        <v>2023</v>
      </c>
      <c r="Y906" t="s">
        <v>40</v>
      </c>
      <c r="Z906" t="s">
        <v>41</v>
      </c>
    </row>
    <row r="907" spans="1:26">
      <c r="A907" t="s">
        <v>1879</v>
      </c>
      <c r="B907" t="s">
        <v>108</v>
      </c>
      <c r="C907" t="s">
        <v>102</v>
      </c>
      <c r="D907" t="s">
        <v>85</v>
      </c>
      <c r="E907" t="s">
        <v>174</v>
      </c>
      <c r="F907" t="s">
        <v>160</v>
      </c>
      <c r="G907" t="s">
        <v>32</v>
      </c>
      <c r="H907">
        <v>4.2</v>
      </c>
      <c r="I907">
        <v>22.7</v>
      </c>
      <c r="J907" t="s">
        <v>144</v>
      </c>
      <c r="K907" t="s">
        <v>1283</v>
      </c>
      <c r="L907" t="s">
        <v>60</v>
      </c>
      <c r="M907" t="s">
        <v>127</v>
      </c>
      <c r="N907" t="s">
        <v>71</v>
      </c>
      <c r="O907">
        <v>136</v>
      </c>
      <c r="P907" t="s">
        <v>89</v>
      </c>
      <c r="Q907">
        <v>2902</v>
      </c>
      <c r="R907">
        <v>500</v>
      </c>
      <c r="S907" t="s">
        <v>90</v>
      </c>
      <c r="T907" t="s">
        <v>81</v>
      </c>
      <c r="U907" t="s">
        <v>52</v>
      </c>
      <c r="V907" t="s">
        <v>39</v>
      </c>
      <c r="W907" t="s">
        <v>39</v>
      </c>
      <c r="X907">
        <v>2024</v>
      </c>
      <c r="Y907" t="s">
        <v>211</v>
      </c>
      <c r="Z907" t="s">
        <v>41</v>
      </c>
    </row>
    <row r="908" spans="1:26">
      <c r="A908" t="s">
        <v>1880</v>
      </c>
      <c r="B908" t="s">
        <v>66</v>
      </c>
      <c r="C908" t="s">
        <v>28</v>
      </c>
      <c r="D908" t="s">
        <v>77</v>
      </c>
      <c r="E908" t="s">
        <v>78</v>
      </c>
      <c r="F908" t="s">
        <v>160</v>
      </c>
      <c r="G908" t="s">
        <v>32</v>
      </c>
      <c r="H908">
        <v>8.6999999999999993</v>
      </c>
      <c r="I908">
        <v>18.5</v>
      </c>
      <c r="J908" t="s">
        <v>156</v>
      </c>
      <c r="K908" t="s">
        <v>1881</v>
      </c>
      <c r="L908" t="s">
        <v>126</v>
      </c>
      <c r="M908" t="s">
        <v>1459</v>
      </c>
      <c r="N908" t="s">
        <v>71</v>
      </c>
      <c r="O908">
        <v>57</v>
      </c>
      <c r="P908" t="s">
        <v>230</v>
      </c>
      <c r="Q908">
        <v>3899</v>
      </c>
      <c r="R908">
        <v>0</v>
      </c>
      <c r="S908" t="s">
        <v>73</v>
      </c>
      <c r="T908" t="s">
        <v>62</v>
      </c>
      <c r="U908" t="s">
        <v>39</v>
      </c>
      <c r="V908" t="s">
        <v>39</v>
      </c>
      <c r="W908" t="s">
        <v>52</v>
      </c>
      <c r="X908">
        <v>2024</v>
      </c>
      <c r="Y908" t="s">
        <v>82</v>
      </c>
      <c r="Z908" t="s">
        <v>83</v>
      </c>
    </row>
    <row r="909" spans="1:26">
      <c r="A909" t="s">
        <v>1882</v>
      </c>
      <c r="B909" t="s">
        <v>116</v>
      </c>
      <c r="C909" t="s">
        <v>67</v>
      </c>
      <c r="D909" t="s">
        <v>29</v>
      </c>
      <c r="E909" t="s">
        <v>195</v>
      </c>
      <c r="F909" t="s">
        <v>109</v>
      </c>
      <c r="G909" t="s">
        <v>32</v>
      </c>
      <c r="H909">
        <v>11.7</v>
      </c>
      <c r="I909">
        <v>0.6</v>
      </c>
      <c r="J909" t="s">
        <v>20</v>
      </c>
      <c r="K909" t="s">
        <v>187</v>
      </c>
      <c r="L909" t="s">
        <v>60</v>
      </c>
      <c r="M909" t="s">
        <v>1856</v>
      </c>
      <c r="N909" t="s">
        <v>71</v>
      </c>
      <c r="O909">
        <v>172</v>
      </c>
      <c r="P909" t="s">
        <v>230</v>
      </c>
      <c r="Q909">
        <v>4070</v>
      </c>
      <c r="R909">
        <v>500</v>
      </c>
      <c r="S909" t="s">
        <v>90</v>
      </c>
      <c r="T909" t="s">
        <v>81</v>
      </c>
      <c r="U909" t="s">
        <v>39</v>
      </c>
      <c r="V909" t="s">
        <v>39</v>
      </c>
      <c r="W909" t="s">
        <v>52</v>
      </c>
      <c r="X909">
        <v>2023</v>
      </c>
      <c r="Y909" t="s">
        <v>53</v>
      </c>
      <c r="Z909" t="s">
        <v>54</v>
      </c>
    </row>
    <row r="910" spans="1:26">
      <c r="A910" t="s">
        <v>1883</v>
      </c>
      <c r="B910" t="s">
        <v>27</v>
      </c>
      <c r="C910" t="s">
        <v>67</v>
      </c>
      <c r="D910" t="s">
        <v>85</v>
      </c>
      <c r="E910" t="s">
        <v>402</v>
      </c>
      <c r="F910" t="s">
        <v>95</v>
      </c>
      <c r="G910" t="s">
        <v>32</v>
      </c>
      <c r="H910">
        <v>8.1</v>
      </c>
      <c r="I910">
        <v>33.6</v>
      </c>
      <c r="J910" t="s">
        <v>144</v>
      </c>
      <c r="K910" t="s">
        <v>1884</v>
      </c>
      <c r="L910" t="s">
        <v>140</v>
      </c>
      <c r="M910" t="s">
        <v>918</v>
      </c>
      <c r="N910" t="s">
        <v>37</v>
      </c>
      <c r="O910">
        <v>151</v>
      </c>
      <c r="P910" t="s">
        <v>2265</v>
      </c>
      <c r="Q910">
        <v>0</v>
      </c>
      <c r="R910">
        <v>1000</v>
      </c>
      <c r="S910" t="s">
        <v>2265</v>
      </c>
      <c r="T910" t="s">
        <v>81</v>
      </c>
      <c r="U910" t="s">
        <v>39</v>
      </c>
      <c r="V910" t="s">
        <v>52</v>
      </c>
      <c r="W910" t="s">
        <v>39</v>
      </c>
      <c r="X910">
        <v>2023</v>
      </c>
      <c r="Y910" t="s">
        <v>40</v>
      </c>
      <c r="Z910" t="s">
        <v>41</v>
      </c>
    </row>
    <row r="911" spans="1:26">
      <c r="A911" t="s">
        <v>1885</v>
      </c>
      <c r="B911" t="s">
        <v>27</v>
      </c>
      <c r="C911" t="s">
        <v>76</v>
      </c>
      <c r="D911" t="s">
        <v>122</v>
      </c>
      <c r="E911" t="s">
        <v>155</v>
      </c>
      <c r="F911" t="s">
        <v>95</v>
      </c>
      <c r="G911" t="s">
        <v>58</v>
      </c>
      <c r="H911">
        <v>6</v>
      </c>
      <c r="I911">
        <v>15.4</v>
      </c>
      <c r="J911" t="s">
        <v>20</v>
      </c>
      <c r="K911" t="s">
        <v>439</v>
      </c>
      <c r="L911" t="s">
        <v>48</v>
      </c>
      <c r="M911" t="s">
        <v>1502</v>
      </c>
      <c r="N911" t="s">
        <v>171</v>
      </c>
      <c r="O911">
        <v>62</v>
      </c>
      <c r="P911" t="s">
        <v>2265</v>
      </c>
      <c r="Q911">
        <v>0</v>
      </c>
      <c r="R911">
        <v>0</v>
      </c>
      <c r="S911" t="s">
        <v>2265</v>
      </c>
      <c r="T911" t="s">
        <v>81</v>
      </c>
      <c r="U911" t="s">
        <v>52</v>
      </c>
      <c r="V911" t="s">
        <v>39</v>
      </c>
      <c r="W911" t="s">
        <v>52</v>
      </c>
      <c r="X911">
        <v>2024</v>
      </c>
      <c r="Y911" t="s">
        <v>211</v>
      </c>
      <c r="Z911" t="s">
        <v>41</v>
      </c>
    </row>
    <row r="912" spans="1:26">
      <c r="A912" t="s">
        <v>1886</v>
      </c>
      <c r="B912" t="s">
        <v>43</v>
      </c>
      <c r="C912" t="s">
        <v>102</v>
      </c>
      <c r="D912" t="s">
        <v>77</v>
      </c>
      <c r="E912" t="s">
        <v>94</v>
      </c>
      <c r="F912" t="s">
        <v>46</v>
      </c>
      <c r="G912" t="s">
        <v>58</v>
      </c>
      <c r="H912">
        <v>8.6</v>
      </c>
      <c r="I912">
        <v>8.1</v>
      </c>
      <c r="J912" t="s">
        <v>33</v>
      </c>
      <c r="K912" t="s">
        <v>127</v>
      </c>
      <c r="L912" t="s">
        <v>60</v>
      </c>
      <c r="M912" t="s">
        <v>127</v>
      </c>
      <c r="N912" t="s">
        <v>71</v>
      </c>
      <c r="O912">
        <v>19</v>
      </c>
      <c r="P912" t="s">
        <v>230</v>
      </c>
      <c r="Q912">
        <v>7493</v>
      </c>
      <c r="R912">
        <v>500</v>
      </c>
      <c r="S912" t="s">
        <v>90</v>
      </c>
      <c r="T912" t="s">
        <v>38</v>
      </c>
      <c r="U912" t="s">
        <v>39</v>
      </c>
      <c r="V912" t="s">
        <v>52</v>
      </c>
      <c r="W912" t="s">
        <v>52</v>
      </c>
      <c r="X912">
        <v>2024</v>
      </c>
      <c r="Y912" t="s">
        <v>63</v>
      </c>
      <c r="Z912" t="s">
        <v>64</v>
      </c>
    </row>
    <row r="913" spans="1:26">
      <c r="A913" t="s">
        <v>1887</v>
      </c>
      <c r="B913" t="s">
        <v>66</v>
      </c>
      <c r="C913" t="s">
        <v>102</v>
      </c>
      <c r="D913" t="s">
        <v>77</v>
      </c>
      <c r="E913" t="s">
        <v>143</v>
      </c>
      <c r="F913" t="s">
        <v>238</v>
      </c>
      <c r="G913" t="s">
        <v>32</v>
      </c>
      <c r="H913">
        <v>3.1</v>
      </c>
      <c r="I913">
        <v>21.1</v>
      </c>
      <c r="J913" t="s">
        <v>156</v>
      </c>
      <c r="K913" t="s">
        <v>1888</v>
      </c>
      <c r="L913" t="s">
        <v>60</v>
      </c>
      <c r="M913" t="s">
        <v>307</v>
      </c>
      <c r="N913" t="s">
        <v>71</v>
      </c>
      <c r="O913">
        <v>61</v>
      </c>
      <c r="P913" t="s">
        <v>105</v>
      </c>
      <c r="Q913">
        <v>3766</v>
      </c>
      <c r="R913">
        <v>5000</v>
      </c>
      <c r="S913" t="s">
        <v>113</v>
      </c>
      <c r="T913" t="s">
        <v>38</v>
      </c>
      <c r="U913" t="s">
        <v>52</v>
      </c>
      <c r="V913" t="s">
        <v>39</v>
      </c>
      <c r="W913" t="s">
        <v>52</v>
      </c>
      <c r="X913">
        <v>2023</v>
      </c>
      <c r="Y913" t="s">
        <v>128</v>
      </c>
      <c r="Z913" t="s">
        <v>64</v>
      </c>
    </row>
    <row r="914" spans="1:26">
      <c r="A914" t="s">
        <v>1889</v>
      </c>
      <c r="B914" t="s">
        <v>93</v>
      </c>
      <c r="C914" t="s">
        <v>121</v>
      </c>
      <c r="D914" t="s">
        <v>122</v>
      </c>
      <c r="E914" t="s">
        <v>123</v>
      </c>
      <c r="F914" t="s">
        <v>109</v>
      </c>
      <c r="G914" t="s">
        <v>58</v>
      </c>
      <c r="H914">
        <v>0.1</v>
      </c>
      <c r="I914">
        <v>24.5</v>
      </c>
      <c r="J914" t="s">
        <v>33</v>
      </c>
      <c r="K914" t="s">
        <v>1890</v>
      </c>
      <c r="L914" t="s">
        <v>98</v>
      </c>
      <c r="M914" t="s">
        <v>1035</v>
      </c>
      <c r="N914" t="s">
        <v>37</v>
      </c>
      <c r="O914">
        <v>129</v>
      </c>
      <c r="P914" t="s">
        <v>2265</v>
      </c>
      <c r="Q914">
        <v>0</v>
      </c>
      <c r="R914">
        <v>500</v>
      </c>
      <c r="S914" t="s">
        <v>2265</v>
      </c>
      <c r="T914" t="s">
        <v>38</v>
      </c>
      <c r="U914" t="s">
        <v>39</v>
      </c>
      <c r="V914" t="s">
        <v>52</v>
      </c>
      <c r="W914" t="s">
        <v>52</v>
      </c>
      <c r="X914">
        <v>2022</v>
      </c>
      <c r="Y914" t="s">
        <v>40</v>
      </c>
      <c r="Z914" t="s">
        <v>41</v>
      </c>
    </row>
    <row r="915" spans="1:26">
      <c r="A915" t="s">
        <v>1891</v>
      </c>
      <c r="B915" t="s">
        <v>93</v>
      </c>
      <c r="C915" t="s">
        <v>121</v>
      </c>
      <c r="D915" t="s">
        <v>77</v>
      </c>
      <c r="E915" t="s">
        <v>216</v>
      </c>
      <c r="F915" t="s">
        <v>238</v>
      </c>
      <c r="G915" t="s">
        <v>32</v>
      </c>
      <c r="H915">
        <v>9.9</v>
      </c>
      <c r="I915">
        <v>7.3</v>
      </c>
      <c r="J915" t="s">
        <v>33</v>
      </c>
      <c r="K915" t="s">
        <v>1892</v>
      </c>
      <c r="L915" t="s">
        <v>140</v>
      </c>
      <c r="M915" t="s">
        <v>1025</v>
      </c>
      <c r="N915" t="s">
        <v>71</v>
      </c>
      <c r="O915">
        <v>60</v>
      </c>
      <c r="P915" t="s">
        <v>89</v>
      </c>
      <c r="Q915">
        <v>4469</v>
      </c>
      <c r="R915">
        <v>0</v>
      </c>
      <c r="S915" t="s">
        <v>73</v>
      </c>
      <c r="T915" t="s">
        <v>38</v>
      </c>
      <c r="U915" t="s">
        <v>39</v>
      </c>
      <c r="V915" t="s">
        <v>52</v>
      </c>
      <c r="W915" t="s">
        <v>52</v>
      </c>
      <c r="X915">
        <v>2022</v>
      </c>
      <c r="Y915" t="s">
        <v>128</v>
      </c>
      <c r="Z915" t="s">
        <v>64</v>
      </c>
    </row>
    <row r="916" spans="1:26">
      <c r="A916" t="s">
        <v>1893</v>
      </c>
      <c r="B916" t="s">
        <v>27</v>
      </c>
      <c r="C916" t="s">
        <v>164</v>
      </c>
      <c r="D916" t="s">
        <v>85</v>
      </c>
      <c r="E916" t="s">
        <v>208</v>
      </c>
      <c r="F916" t="s">
        <v>57</v>
      </c>
      <c r="G916" t="s">
        <v>58</v>
      </c>
      <c r="H916">
        <v>0.2</v>
      </c>
      <c r="I916">
        <v>13.4</v>
      </c>
      <c r="J916" t="s">
        <v>33</v>
      </c>
      <c r="K916" t="s">
        <v>742</v>
      </c>
      <c r="L916" t="s">
        <v>48</v>
      </c>
      <c r="M916" t="s">
        <v>1314</v>
      </c>
      <c r="N916" t="s">
        <v>50</v>
      </c>
      <c r="O916">
        <v>41</v>
      </c>
      <c r="P916" t="s">
        <v>2265</v>
      </c>
      <c r="Q916">
        <v>0</v>
      </c>
      <c r="R916">
        <v>1000</v>
      </c>
      <c r="S916" t="s">
        <v>2265</v>
      </c>
      <c r="T916" t="s">
        <v>81</v>
      </c>
      <c r="U916" t="s">
        <v>39</v>
      </c>
      <c r="V916" t="s">
        <v>39</v>
      </c>
      <c r="W916" t="s">
        <v>52</v>
      </c>
      <c r="X916">
        <v>2022</v>
      </c>
      <c r="Y916" t="s">
        <v>53</v>
      </c>
      <c r="Z916" t="s">
        <v>54</v>
      </c>
    </row>
    <row r="917" spans="1:26">
      <c r="A917" t="s">
        <v>1894</v>
      </c>
      <c r="B917" t="s">
        <v>66</v>
      </c>
      <c r="C917" t="s">
        <v>67</v>
      </c>
      <c r="D917" t="s">
        <v>29</v>
      </c>
      <c r="E917" t="s">
        <v>117</v>
      </c>
      <c r="F917" t="s">
        <v>149</v>
      </c>
      <c r="G917" t="s">
        <v>58</v>
      </c>
      <c r="H917">
        <v>6.3</v>
      </c>
      <c r="I917">
        <v>19.600000000000001</v>
      </c>
      <c r="J917" t="s">
        <v>96</v>
      </c>
      <c r="K917" t="s">
        <v>1895</v>
      </c>
      <c r="L917" t="s">
        <v>140</v>
      </c>
      <c r="M917" t="s">
        <v>1007</v>
      </c>
      <c r="N917" t="s">
        <v>71</v>
      </c>
      <c r="O917">
        <v>180</v>
      </c>
      <c r="P917" t="s">
        <v>105</v>
      </c>
      <c r="Q917">
        <v>2590</v>
      </c>
      <c r="R917">
        <v>2000</v>
      </c>
      <c r="S917" t="s">
        <v>113</v>
      </c>
      <c r="T917" t="s">
        <v>136</v>
      </c>
      <c r="U917" t="s">
        <v>52</v>
      </c>
      <c r="V917" t="s">
        <v>39</v>
      </c>
      <c r="W917" t="s">
        <v>52</v>
      </c>
      <c r="X917">
        <v>2023</v>
      </c>
      <c r="Y917" t="s">
        <v>74</v>
      </c>
      <c r="Z917" t="s">
        <v>54</v>
      </c>
    </row>
    <row r="918" spans="1:26">
      <c r="A918" t="s">
        <v>1896</v>
      </c>
      <c r="B918" t="s">
        <v>27</v>
      </c>
      <c r="C918" t="s">
        <v>121</v>
      </c>
      <c r="D918" t="s">
        <v>29</v>
      </c>
      <c r="E918" t="s">
        <v>56</v>
      </c>
      <c r="F918" t="s">
        <v>95</v>
      </c>
      <c r="G918" t="s">
        <v>58</v>
      </c>
      <c r="H918">
        <v>2.4</v>
      </c>
      <c r="I918">
        <v>10.7</v>
      </c>
      <c r="J918" t="s">
        <v>96</v>
      </c>
      <c r="K918" t="s">
        <v>1897</v>
      </c>
      <c r="L918" t="s">
        <v>98</v>
      </c>
      <c r="M918" t="s">
        <v>838</v>
      </c>
      <c r="N918" t="s">
        <v>37</v>
      </c>
      <c r="O918">
        <v>156</v>
      </c>
      <c r="P918" t="s">
        <v>2265</v>
      </c>
      <c r="Q918">
        <v>0</v>
      </c>
      <c r="R918">
        <v>0</v>
      </c>
      <c r="S918" t="s">
        <v>2265</v>
      </c>
      <c r="T918" t="s">
        <v>81</v>
      </c>
      <c r="U918" t="s">
        <v>39</v>
      </c>
      <c r="V918" t="s">
        <v>39</v>
      </c>
      <c r="W918" t="s">
        <v>39</v>
      </c>
      <c r="X918">
        <v>2023</v>
      </c>
      <c r="Y918" t="s">
        <v>153</v>
      </c>
      <c r="Z918" t="s">
        <v>54</v>
      </c>
    </row>
    <row r="919" spans="1:26">
      <c r="A919" t="s">
        <v>1898</v>
      </c>
      <c r="B919" t="s">
        <v>43</v>
      </c>
      <c r="C919" t="s">
        <v>102</v>
      </c>
      <c r="D919" t="s">
        <v>29</v>
      </c>
      <c r="E919" t="s">
        <v>117</v>
      </c>
      <c r="F919" t="s">
        <v>238</v>
      </c>
      <c r="G919" t="s">
        <v>58</v>
      </c>
      <c r="H919">
        <v>2.2000000000000002</v>
      </c>
      <c r="I919">
        <v>30.7</v>
      </c>
      <c r="J919" t="s">
        <v>33</v>
      </c>
      <c r="K919" t="s">
        <v>612</v>
      </c>
      <c r="L919" t="s">
        <v>140</v>
      </c>
      <c r="M919" t="s">
        <v>950</v>
      </c>
      <c r="N919" t="s">
        <v>71</v>
      </c>
      <c r="O919">
        <v>167</v>
      </c>
      <c r="P919" t="s">
        <v>105</v>
      </c>
      <c r="Q919">
        <v>1716</v>
      </c>
      <c r="R919">
        <v>1000</v>
      </c>
      <c r="S919" t="s">
        <v>73</v>
      </c>
      <c r="T919" t="s">
        <v>51</v>
      </c>
      <c r="U919" t="s">
        <v>39</v>
      </c>
      <c r="V919" t="s">
        <v>52</v>
      </c>
      <c r="W919" t="s">
        <v>52</v>
      </c>
      <c r="X919">
        <v>2024</v>
      </c>
      <c r="Y919" t="s">
        <v>312</v>
      </c>
      <c r="Z919" t="s">
        <v>83</v>
      </c>
    </row>
    <row r="920" spans="1:26">
      <c r="A920" t="s">
        <v>1899</v>
      </c>
      <c r="B920" t="s">
        <v>43</v>
      </c>
      <c r="C920" t="s">
        <v>28</v>
      </c>
      <c r="D920" t="s">
        <v>122</v>
      </c>
      <c r="E920" t="s">
        <v>202</v>
      </c>
      <c r="F920" t="s">
        <v>109</v>
      </c>
      <c r="G920" t="s">
        <v>58</v>
      </c>
      <c r="H920">
        <v>10.199999999999999</v>
      </c>
      <c r="I920">
        <v>7.6</v>
      </c>
      <c r="J920" t="s">
        <v>20</v>
      </c>
      <c r="K920" t="s">
        <v>1900</v>
      </c>
      <c r="L920" t="s">
        <v>126</v>
      </c>
      <c r="M920" t="s">
        <v>1215</v>
      </c>
      <c r="N920" t="s">
        <v>71</v>
      </c>
      <c r="O920">
        <v>46</v>
      </c>
      <c r="P920" t="s">
        <v>230</v>
      </c>
      <c r="Q920">
        <v>2251</v>
      </c>
      <c r="R920">
        <v>500</v>
      </c>
      <c r="S920" t="s">
        <v>90</v>
      </c>
      <c r="T920" t="s">
        <v>62</v>
      </c>
      <c r="U920" t="s">
        <v>39</v>
      </c>
      <c r="V920" t="s">
        <v>52</v>
      </c>
      <c r="W920" t="s">
        <v>52</v>
      </c>
      <c r="X920">
        <v>2022</v>
      </c>
      <c r="Y920" t="s">
        <v>91</v>
      </c>
      <c r="Z920" t="s">
        <v>64</v>
      </c>
    </row>
    <row r="921" spans="1:26">
      <c r="A921" t="s">
        <v>1901</v>
      </c>
      <c r="B921" t="s">
        <v>66</v>
      </c>
      <c r="C921" t="s">
        <v>76</v>
      </c>
      <c r="D921" t="s">
        <v>77</v>
      </c>
      <c r="E921" t="s">
        <v>216</v>
      </c>
      <c r="F921" t="s">
        <v>238</v>
      </c>
      <c r="G921" t="s">
        <v>58</v>
      </c>
      <c r="H921">
        <v>0.2</v>
      </c>
      <c r="I921">
        <v>1.4</v>
      </c>
      <c r="J921" t="s">
        <v>33</v>
      </c>
      <c r="K921" t="s">
        <v>787</v>
      </c>
      <c r="L921" t="s">
        <v>48</v>
      </c>
      <c r="M921" t="s">
        <v>879</v>
      </c>
      <c r="N921" t="s">
        <v>71</v>
      </c>
      <c r="O921">
        <v>87</v>
      </c>
      <c r="P921" t="s">
        <v>105</v>
      </c>
      <c r="Q921">
        <v>3271</v>
      </c>
      <c r="R921">
        <v>5000</v>
      </c>
      <c r="S921" t="s">
        <v>73</v>
      </c>
      <c r="T921" t="s">
        <v>38</v>
      </c>
      <c r="U921" t="s">
        <v>39</v>
      </c>
      <c r="V921" t="s">
        <v>52</v>
      </c>
      <c r="W921" t="s">
        <v>39</v>
      </c>
      <c r="X921">
        <v>2023</v>
      </c>
      <c r="Y921" t="s">
        <v>40</v>
      </c>
      <c r="Z921" t="s">
        <v>41</v>
      </c>
    </row>
    <row r="922" spans="1:26">
      <c r="A922" t="s">
        <v>1902</v>
      </c>
      <c r="B922" t="s">
        <v>27</v>
      </c>
      <c r="C922" t="s">
        <v>173</v>
      </c>
      <c r="D922" t="s">
        <v>77</v>
      </c>
      <c r="E922" t="s">
        <v>260</v>
      </c>
      <c r="F922" t="s">
        <v>160</v>
      </c>
      <c r="G922" t="s">
        <v>32</v>
      </c>
      <c r="H922">
        <v>3.8</v>
      </c>
      <c r="I922">
        <v>23.7</v>
      </c>
      <c r="J922" t="s">
        <v>33</v>
      </c>
      <c r="K922" t="s">
        <v>1903</v>
      </c>
      <c r="L922" t="s">
        <v>35</v>
      </c>
      <c r="M922" t="s">
        <v>345</v>
      </c>
      <c r="N922" t="s">
        <v>71</v>
      </c>
      <c r="O922">
        <v>162</v>
      </c>
      <c r="P922" t="s">
        <v>105</v>
      </c>
      <c r="Q922">
        <v>4226</v>
      </c>
      <c r="R922">
        <v>0</v>
      </c>
      <c r="S922" t="s">
        <v>113</v>
      </c>
      <c r="T922" t="s">
        <v>62</v>
      </c>
      <c r="U922" t="s">
        <v>52</v>
      </c>
      <c r="V922" t="s">
        <v>52</v>
      </c>
      <c r="W922" t="s">
        <v>52</v>
      </c>
      <c r="X922">
        <v>2022</v>
      </c>
      <c r="Y922" t="s">
        <v>74</v>
      </c>
      <c r="Z922" t="s">
        <v>54</v>
      </c>
    </row>
    <row r="923" spans="1:26">
      <c r="A923" t="s">
        <v>1904</v>
      </c>
      <c r="B923" t="s">
        <v>116</v>
      </c>
      <c r="C923" t="s">
        <v>67</v>
      </c>
      <c r="D923" t="s">
        <v>29</v>
      </c>
      <c r="E923" t="s">
        <v>195</v>
      </c>
      <c r="F923" t="s">
        <v>57</v>
      </c>
      <c r="G923" t="s">
        <v>32</v>
      </c>
      <c r="H923">
        <v>3.5</v>
      </c>
      <c r="I923">
        <v>21.9</v>
      </c>
      <c r="J923" t="s">
        <v>33</v>
      </c>
      <c r="K923" t="s">
        <v>342</v>
      </c>
      <c r="L923" t="s">
        <v>140</v>
      </c>
      <c r="M923" t="s">
        <v>706</v>
      </c>
      <c r="N923" t="s">
        <v>71</v>
      </c>
      <c r="O923">
        <v>39</v>
      </c>
      <c r="P923" t="s">
        <v>112</v>
      </c>
      <c r="Q923">
        <v>4876</v>
      </c>
      <c r="R923">
        <v>5000</v>
      </c>
      <c r="S923" t="s">
        <v>90</v>
      </c>
      <c r="T923" t="s">
        <v>38</v>
      </c>
      <c r="U923" t="s">
        <v>39</v>
      </c>
      <c r="V923" t="s">
        <v>52</v>
      </c>
      <c r="W923" t="s">
        <v>39</v>
      </c>
      <c r="X923">
        <v>2022</v>
      </c>
      <c r="Y923" t="s">
        <v>153</v>
      </c>
      <c r="Z923" t="s">
        <v>54</v>
      </c>
    </row>
    <row r="924" spans="1:26">
      <c r="A924" t="s">
        <v>1905</v>
      </c>
      <c r="B924" t="s">
        <v>66</v>
      </c>
      <c r="C924" t="s">
        <v>173</v>
      </c>
      <c r="D924" t="s">
        <v>77</v>
      </c>
      <c r="E924" t="s">
        <v>168</v>
      </c>
      <c r="F924" t="s">
        <v>109</v>
      </c>
      <c r="G924" t="s">
        <v>58</v>
      </c>
      <c r="H924">
        <v>7.7</v>
      </c>
      <c r="I924">
        <v>3.6</v>
      </c>
      <c r="J924" t="s">
        <v>144</v>
      </c>
      <c r="K924" t="s">
        <v>472</v>
      </c>
      <c r="L924" t="s">
        <v>126</v>
      </c>
      <c r="M924" t="s">
        <v>1906</v>
      </c>
      <c r="N924" t="s">
        <v>171</v>
      </c>
      <c r="O924">
        <v>97</v>
      </c>
      <c r="P924" t="s">
        <v>2265</v>
      </c>
      <c r="Q924">
        <v>0</v>
      </c>
      <c r="R924">
        <v>0</v>
      </c>
      <c r="S924" t="s">
        <v>2265</v>
      </c>
      <c r="T924" t="s">
        <v>62</v>
      </c>
      <c r="U924" t="s">
        <v>39</v>
      </c>
      <c r="V924" t="s">
        <v>39</v>
      </c>
      <c r="W924" t="s">
        <v>52</v>
      </c>
      <c r="X924">
        <v>2023</v>
      </c>
      <c r="Y924" t="s">
        <v>53</v>
      </c>
      <c r="Z924" t="s">
        <v>54</v>
      </c>
    </row>
    <row r="925" spans="1:26">
      <c r="A925" t="s">
        <v>1907</v>
      </c>
      <c r="B925" t="s">
        <v>93</v>
      </c>
      <c r="C925" t="s">
        <v>164</v>
      </c>
      <c r="D925" t="s">
        <v>77</v>
      </c>
      <c r="E925" t="s">
        <v>168</v>
      </c>
      <c r="F925" t="s">
        <v>31</v>
      </c>
      <c r="G925" t="s">
        <v>32</v>
      </c>
      <c r="H925">
        <v>4.5</v>
      </c>
      <c r="I925">
        <v>2.2000000000000002</v>
      </c>
      <c r="J925" t="s">
        <v>156</v>
      </c>
      <c r="K925" t="s">
        <v>224</v>
      </c>
      <c r="L925" t="s">
        <v>35</v>
      </c>
      <c r="M925" t="s">
        <v>127</v>
      </c>
      <c r="N925" t="s">
        <v>171</v>
      </c>
      <c r="O925">
        <v>59</v>
      </c>
      <c r="P925" t="s">
        <v>2265</v>
      </c>
      <c r="Q925">
        <v>0</v>
      </c>
      <c r="R925">
        <v>0</v>
      </c>
      <c r="S925" t="s">
        <v>2265</v>
      </c>
      <c r="T925" t="s">
        <v>62</v>
      </c>
      <c r="U925" t="s">
        <v>39</v>
      </c>
      <c r="V925" t="s">
        <v>52</v>
      </c>
      <c r="W925" t="s">
        <v>52</v>
      </c>
      <c r="X925">
        <v>2024</v>
      </c>
      <c r="Y925" t="s">
        <v>128</v>
      </c>
      <c r="Z925" t="s">
        <v>64</v>
      </c>
    </row>
    <row r="926" spans="1:26">
      <c r="A926" t="s">
        <v>1908</v>
      </c>
      <c r="B926" t="s">
        <v>108</v>
      </c>
      <c r="C926" t="s">
        <v>67</v>
      </c>
      <c r="D926" t="s">
        <v>77</v>
      </c>
      <c r="E926" t="s">
        <v>94</v>
      </c>
      <c r="F926" t="s">
        <v>238</v>
      </c>
      <c r="G926" t="s">
        <v>58</v>
      </c>
      <c r="H926">
        <v>7.3</v>
      </c>
      <c r="I926">
        <v>21.7</v>
      </c>
      <c r="J926" t="s">
        <v>33</v>
      </c>
      <c r="K926" t="s">
        <v>1909</v>
      </c>
      <c r="L926" t="s">
        <v>35</v>
      </c>
      <c r="M926" t="s">
        <v>1475</v>
      </c>
      <c r="N926" t="s">
        <v>100</v>
      </c>
      <c r="O926">
        <v>62</v>
      </c>
      <c r="P926" t="s">
        <v>2265</v>
      </c>
      <c r="Q926">
        <v>0</v>
      </c>
      <c r="R926">
        <v>0</v>
      </c>
      <c r="S926" t="s">
        <v>2265</v>
      </c>
      <c r="T926" t="s">
        <v>38</v>
      </c>
      <c r="U926" t="s">
        <v>39</v>
      </c>
      <c r="V926" t="s">
        <v>39</v>
      </c>
      <c r="W926" t="s">
        <v>39</v>
      </c>
      <c r="X926">
        <v>2023</v>
      </c>
      <c r="Y926" t="s">
        <v>312</v>
      </c>
      <c r="Z926" t="s">
        <v>83</v>
      </c>
    </row>
    <row r="927" spans="1:26">
      <c r="A927" t="s">
        <v>1910</v>
      </c>
      <c r="B927" t="s">
        <v>66</v>
      </c>
      <c r="C927" t="s">
        <v>164</v>
      </c>
      <c r="D927" t="s">
        <v>85</v>
      </c>
      <c r="E927" t="s">
        <v>402</v>
      </c>
      <c r="F927" t="s">
        <v>109</v>
      </c>
      <c r="G927" t="s">
        <v>32</v>
      </c>
      <c r="H927">
        <v>8.8000000000000007</v>
      </c>
      <c r="I927">
        <v>33.700000000000003</v>
      </c>
      <c r="J927" t="s">
        <v>144</v>
      </c>
      <c r="K927" t="s">
        <v>1801</v>
      </c>
      <c r="L927" t="s">
        <v>48</v>
      </c>
      <c r="M927" t="s">
        <v>127</v>
      </c>
      <c r="N927" t="s">
        <v>71</v>
      </c>
      <c r="O927">
        <v>32</v>
      </c>
      <c r="P927" t="s">
        <v>105</v>
      </c>
      <c r="Q927">
        <v>1571</v>
      </c>
      <c r="R927">
        <v>2000</v>
      </c>
      <c r="S927" t="s">
        <v>113</v>
      </c>
      <c r="T927" t="s">
        <v>136</v>
      </c>
      <c r="U927" t="s">
        <v>39</v>
      </c>
      <c r="V927" t="s">
        <v>52</v>
      </c>
      <c r="W927" t="s">
        <v>39</v>
      </c>
      <c r="X927">
        <v>2024</v>
      </c>
      <c r="Y927" t="s">
        <v>63</v>
      </c>
      <c r="Z927" t="s">
        <v>64</v>
      </c>
    </row>
    <row r="928" spans="1:26">
      <c r="A928" t="s">
        <v>1911</v>
      </c>
      <c r="B928" t="s">
        <v>66</v>
      </c>
      <c r="C928" t="s">
        <v>164</v>
      </c>
      <c r="D928" t="s">
        <v>85</v>
      </c>
      <c r="E928" t="s">
        <v>402</v>
      </c>
      <c r="F928" t="s">
        <v>109</v>
      </c>
      <c r="G928" t="s">
        <v>32</v>
      </c>
      <c r="H928">
        <v>4.9000000000000004</v>
      </c>
      <c r="I928">
        <v>23.9</v>
      </c>
      <c r="J928" t="s">
        <v>144</v>
      </c>
      <c r="K928" t="s">
        <v>767</v>
      </c>
      <c r="L928" t="s">
        <v>60</v>
      </c>
      <c r="M928" t="s">
        <v>165</v>
      </c>
      <c r="N928" t="s">
        <v>71</v>
      </c>
      <c r="O928">
        <v>40</v>
      </c>
      <c r="P928" t="s">
        <v>89</v>
      </c>
      <c r="Q928">
        <v>1079</v>
      </c>
      <c r="R928">
        <v>2000</v>
      </c>
      <c r="S928" t="s">
        <v>73</v>
      </c>
      <c r="T928" t="s">
        <v>81</v>
      </c>
      <c r="U928" t="s">
        <v>52</v>
      </c>
      <c r="V928" t="s">
        <v>52</v>
      </c>
      <c r="W928" t="s">
        <v>52</v>
      </c>
      <c r="X928">
        <v>2023</v>
      </c>
      <c r="Y928" t="s">
        <v>53</v>
      </c>
      <c r="Z928" t="s">
        <v>54</v>
      </c>
    </row>
    <row r="929" spans="1:26">
      <c r="A929" t="s">
        <v>1912</v>
      </c>
      <c r="B929" t="s">
        <v>116</v>
      </c>
      <c r="C929" t="s">
        <v>44</v>
      </c>
      <c r="D929" t="s">
        <v>122</v>
      </c>
      <c r="E929" t="s">
        <v>202</v>
      </c>
      <c r="F929" t="s">
        <v>160</v>
      </c>
      <c r="G929" t="s">
        <v>32</v>
      </c>
      <c r="H929">
        <v>3.1</v>
      </c>
      <c r="I929">
        <v>16.399999999999999</v>
      </c>
      <c r="J929" t="s">
        <v>33</v>
      </c>
      <c r="K929" t="s">
        <v>515</v>
      </c>
      <c r="L929" t="s">
        <v>60</v>
      </c>
      <c r="M929" t="s">
        <v>998</v>
      </c>
      <c r="N929" t="s">
        <v>71</v>
      </c>
      <c r="O929">
        <v>55</v>
      </c>
      <c r="P929" t="s">
        <v>72</v>
      </c>
      <c r="Q929">
        <v>1768</v>
      </c>
      <c r="R929">
        <v>5000</v>
      </c>
      <c r="S929" t="s">
        <v>152</v>
      </c>
      <c r="T929" t="s">
        <v>38</v>
      </c>
      <c r="U929" t="s">
        <v>39</v>
      </c>
      <c r="V929" t="s">
        <v>52</v>
      </c>
      <c r="W929" t="s">
        <v>52</v>
      </c>
      <c r="X929">
        <v>2024</v>
      </c>
      <c r="Y929" t="s">
        <v>153</v>
      </c>
      <c r="Z929" t="s">
        <v>54</v>
      </c>
    </row>
    <row r="930" spans="1:26">
      <c r="A930" t="s">
        <v>1913</v>
      </c>
      <c r="B930" t="s">
        <v>93</v>
      </c>
      <c r="C930" t="s">
        <v>44</v>
      </c>
      <c r="D930" t="s">
        <v>122</v>
      </c>
      <c r="E930" t="s">
        <v>155</v>
      </c>
      <c r="F930" t="s">
        <v>160</v>
      </c>
      <c r="G930" t="s">
        <v>32</v>
      </c>
      <c r="H930">
        <v>8.1</v>
      </c>
      <c r="I930">
        <v>16.7</v>
      </c>
      <c r="J930" t="s">
        <v>20</v>
      </c>
      <c r="K930" t="s">
        <v>1914</v>
      </c>
      <c r="L930" t="s">
        <v>140</v>
      </c>
      <c r="M930" t="s">
        <v>1400</v>
      </c>
      <c r="N930" t="s">
        <v>37</v>
      </c>
      <c r="O930">
        <v>76</v>
      </c>
      <c r="P930" t="s">
        <v>2265</v>
      </c>
      <c r="Q930">
        <v>0</v>
      </c>
      <c r="R930">
        <v>0</v>
      </c>
      <c r="S930" t="s">
        <v>2265</v>
      </c>
      <c r="T930" t="s">
        <v>62</v>
      </c>
      <c r="U930" t="s">
        <v>39</v>
      </c>
      <c r="V930" t="s">
        <v>39</v>
      </c>
      <c r="W930" t="s">
        <v>39</v>
      </c>
      <c r="X930">
        <v>2023</v>
      </c>
      <c r="Y930" t="s">
        <v>106</v>
      </c>
      <c r="Z930" t="s">
        <v>83</v>
      </c>
    </row>
    <row r="931" spans="1:26">
      <c r="A931" t="s">
        <v>1915</v>
      </c>
      <c r="B931" t="s">
        <v>27</v>
      </c>
      <c r="C931" t="s">
        <v>76</v>
      </c>
      <c r="D931" t="s">
        <v>122</v>
      </c>
      <c r="E931" t="s">
        <v>148</v>
      </c>
      <c r="F931" t="s">
        <v>46</v>
      </c>
      <c r="G931" t="s">
        <v>58</v>
      </c>
      <c r="H931">
        <v>8.6999999999999993</v>
      </c>
      <c r="I931">
        <v>5.0999999999999996</v>
      </c>
      <c r="J931" t="s">
        <v>33</v>
      </c>
      <c r="K931" t="s">
        <v>1916</v>
      </c>
      <c r="L931" t="s">
        <v>98</v>
      </c>
      <c r="M931" t="s">
        <v>127</v>
      </c>
      <c r="N931" t="s">
        <v>71</v>
      </c>
      <c r="O931">
        <v>133</v>
      </c>
      <c r="P931" t="s">
        <v>230</v>
      </c>
      <c r="Q931">
        <v>1628</v>
      </c>
      <c r="R931">
        <v>0</v>
      </c>
      <c r="S931" t="s">
        <v>152</v>
      </c>
      <c r="T931" t="s">
        <v>81</v>
      </c>
      <c r="U931" t="s">
        <v>39</v>
      </c>
      <c r="V931" t="s">
        <v>39</v>
      </c>
      <c r="W931" t="s">
        <v>52</v>
      </c>
      <c r="X931">
        <v>2024</v>
      </c>
      <c r="Y931" t="s">
        <v>91</v>
      </c>
      <c r="Z931" t="s">
        <v>64</v>
      </c>
    </row>
    <row r="932" spans="1:26">
      <c r="A932" t="s">
        <v>1917</v>
      </c>
      <c r="B932" t="s">
        <v>66</v>
      </c>
      <c r="C932" t="s">
        <v>102</v>
      </c>
      <c r="D932" t="s">
        <v>122</v>
      </c>
      <c r="E932" t="s">
        <v>148</v>
      </c>
      <c r="F932" t="s">
        <v>68</v>
      </c>
      <c r="G932" t="s">
        <v>58</v>
      </c>
      <c r="H932">
        <v>10.6</v>
      </c>
      <c r="I932">
        <v>4.7</v>
      </c>
      <c r="J932" t="s">
        <v>33</v>
      </c>
      <c r="K932" t="s">
        <v>1918</v>
      </c>
      <c r="L932" t="s">
        <v>35</v>
      </c>
      <c r="M932" t="s">
        <v>127</v>
      </c>
      <c r="N932" t="s">
        <v>171</v>
      </c>
      <c r="O932">
        <v>66</v>
      </c>
      <c r="P932" t="s">
        <v>2265</v>
      </c>
      <c r="Q932">
        <v>0</v>
      </c>
      <c r="R932">
        <v>0</v>
      </c>
      <c r="S932" t="s">
        <v>2265</v>
      </c>
      <c r="T932" t="s">
        <v>62</v>
      </c>
      <c r="U932" t="s">
        <v>52</v>
      </c>
      <c r="V932" t="s">
        <v>52</v>
      </c>
      <c r="W932" t="s">
        <v>52</v>
      </c>
      <c r="X932">
        <v>2024</v>
      </c>
      <c r="Y932" t="s">
        <v>63</v>
      </c>
      <c r="Z932" t="s">
        <v>64</v>
      </c>
    </row>
    <row r="933" spans="1:26">
      <c r="A933" t="s">
        <v>1919</v>
      </c>
      <c r="B933" t="s">
        <v>43</v>
      </c>
      <c r="C933" t="s">
        <v>121</v>
      </c>
      <c r="D933" t="s">
        <v>29</v>
      </c>
      <c r="E933" t="s">
        <v>244</v>
      </c>
      <c r="F933" t="s">
        <v>124</v>
      </c>
      <c r="G933" t="s">
        <v>58</v>
      </c>
      <c r="H933">
        <v>7.2</v>
      </c>
      <c r="I933">
        <v>22.3</v>
      </c>
      <c r="J933" t="s">
        <v>144</v>
      </c>
      <c r="K933" t="s">
        <v>1920</v>
      </c>
      <c r="L933" t="s">
        <v>98</v>
      </c>
      <c r="M933" t="s">
        <v>391</v>
      </c>
      <c r="N933" t="s">
        <v>37</v>
      </c>
      <c r="O933">
        <v>156</v>
      </c>
      <c r="P933" t="s">
        <v>2265</v>
      </c>
      <c r="Q933">
        <v>0</v>
      </c>
      <c r="R933">
        <v>0</v>
      </c>
      <c r="S933" t="s">
        <v>2265</v>
      </c>
      <c r="T933" t="s">
        <v>51</v>
      </c>
      <c r="U933" t="s">
        <v>39</v>
      </c>
      <c r="V933" t="s">
        <v>39</v>
      </c>
      <c r="W933" t="s">
        <v>52</v>
      </c>
      <c r="X933">
        <v>2022</v>
      </c>
      <c r="Y933" t="s">
        <v>74</v>
      </c>
      <c r="Z933" t="s">
        <v>54</v>
      </c>
    </row>
    <row r="934" spans="1:26">
      <c r="A934" t="s">
        <v>1921</v>
      </c>
      <c r="B934" t="s">
        <v>27</v>
      </c>
      <c r="C934" t="s">
        <v>44</v>
      </c>
      <c r="D934" t="s">
        <v>77</v>
      </c>
      <c r="E934" t="s">
        <v>143</v>
      </c>
      <c r="F934" t="s">
        <v>109</v>
      </c>
      <c r="G934" t="s">
        <v>58</v>
      </c>
      <c r="H934">
        <v>11.9</v>
      </c>
      <c r="I934">
        <v>3.8</v>
      </c>
      <c r="J934" t="s">
        <v>33</v>
      </c>
      <c r="K934" t="s">
        <v>1196</v>
      </c>
      <c r="L934" t="s">
        <v>48</v>
      </c>
      <c r="M934" t="s">
        <v>372</v>
      </c>
      <c r="N934" t="s">
        <v>50</v>
      </c>
      <c r="O934">
        <v>157</v>
      </c>
      <c r="P934" t="s">
        <v>2265</v>
      </c>
      <c r="Q934">
        <v>0</v>
      </c>
      <c r="R934">
        <v>500</v>
      </c>
      <c r="S934" t="s">
        <v>2265</v>
      </c>
      <c r="T934" t="s">
        <v>81</v>
      </c>
      <c r="U934" t="s">
        <v>39</v>
      </c>
      <c r="V934" t="s">
        <v>39</v>
      </c>
      <c r="W934" t="s">
        <v>39</v>
      </c>
      <c r="X934">
        <v>2022</v>
      </c>
      <c r="Y934" t="s">
        <v>153</v>
      </c>
      <c r="Z934" t="s">
        <v>54</v>
      </c>
    </row>
    <row r="935" spans="1:26">
      <c r="A935" t="s">
        <v>1922</v>
      </c>
      <c r="B935" t="s">
        <v>108</v>
      </c>
      <c r="C935" t="s">
        <v>67</v>
      </c>
      <c r="D935" t="s">
        <v>122</v>
      </c>
      <c r="E935" t="s">
        <v>130</v>
      </c>
      <c r="F935" t="s">
        <v>149</v>
      </c>
      <c r="G935" t="s">
        <v>32</v>
      </c>
      <c r="H935">
        <v>11.1</v>
      </c>
      <c r="I935">
        <v>8.9</v>
      </c>
      <c r="J935" t="s">
        <v>33</v>
      </c>
      <c r="K935" t="s">
        <v>99</v>
      </c>
      <c r="L935" t="s">
        <v>98</v>
      </c>
      <c r="M935" t="s">
        <v>578</v>
      </c>
      <c r="N935" t="s">
        <v>71</v>
      </c>
      <c r="O935">
        <v>141</v>
      </c>
      <c r="P935" t="s">
        <v>72</v>
      </c>
      <c r="Q935">
        <v>2946</v>
      </c>
      <c r="R935">
        <v>1000</v>
      </c>
      <c r="S935" t="s">
        <v>73</v>
      </c>
      <c r="T935" t="s">
        <v>136</v>
      </c>
      <c r="U935" t="s">
        <v>39</v>
      </c>
      <c r="V935" t="s">
        <v>52</v>
      </c>
      <c r="W935" t="s">
        <v>52</v>
      </c>
      <c r="X935">
        <v>2022</v>
      </c>
      <c r="Y935" t="s">
        <v>211</v>
      </c>
      <c r="Z935" t="s">
        <v>41</v>
      </c>
    </row>
    <row r="936" spans="1:26">
      <c r="A936" t="s">
        <v>1923</v>
      </c>
      <c r="B936" t="s">
        <v>27</v>
      </c>
      <c r="C936" t="s">
        <v>173</v>
      </c>
      <c r="D936" t="s">
        <v>85</v>
      </c>
      <c r="E936" t="s">
        <v>402</v>
      </c>
      <c r="F936" t="s">
        <v>95</v>
      </c>
      <c r="G936" t="s">
        <v>32</v>
      </c>
      <c r="H936">
        <v>7.3</v>
      </c>
      <c r="I936">
        <v>28.4</v>
      </c>
      <c r="J936" t="s">
        <v>33</v>
      </c>
      <c r="K936" t="s">
        <v>655</v>
      </c>
      <c r="L936" t="s">
        <v>48</v>
      </c>
      <c r="M936" t="s">
        <v>1924</v>
      </c>
      <c r="N936" t="s">
        <v>71</v>
      </c>
      <c r="O936">
        <v>35</v>
      </c>
      <c r="P936" t="s">
        <v>112</v>
      </c>
      <c r="Q936">
        <v>812</v>
      </c>
      <c r="R936">
        <v>0</v>
      </c>
      <c r="S936" t="s">
        <v>90</v>
      </c>
      <c r="T936" t="s">
        <v>51</v>
      </c>
      <c r="U936" t="s">
        <v>39</v>
      </c>
      <c r="V936" t="s">
        <v>52</v>
      </c>
      <c r="W936" t="s">
        <v>52</v>
      </c>
      <c r="X936">
        <v>2023</v>
      </c>
      <c r="Y936" t="s">
        <v>63</v>
      </c>
      <c r="Z936" t="s">
        <v>64</v>
      </c>
    </row>
    <row r="937" spans="1:26">
      <c r="A937" t="s">
        <v>1925</v>
      </c>
      <c r="B937" t="s">
        <v>93</v>
      </c>
      <c r="C937" t="s">
        <v>67</v>
      </c>
      <c r="D937" t="s">
        <v>85</v>
      </c>
      <c r="E937" t="s">
        <v>208</v>
      </c>
      <c r="F937" t="s">
        <v>57</v>
      </c>
      <c r="G937" t="s">
        <v>58</v>
      </c>
      <c r="H937">
        <v>1</v>
      </c>
      <c r="I937">
        <v>16.100000000000001</v>
      </c>
      <c r="J937" t="s">
        <v>33</v>
      </c>
      <c r="K937" t="s">
        <v>392</v>
      </c>
      <c r="L937" t="s">
        <v>60</v>
      </c>
      <c r="M937" t="s">
        <v>1926</v>
      </c>
      <c r="N937" t="s">
        <v>37</v>
      </c>
      <c r="O937">
        <v>41</v>
      </c>
      <c r="P937" t="s">
        <v>2265</v>
      </c>
      <c r="Q937">
        <v>0</v>
      </c>
      <c r="R937">
        <v>0</v>
      </c>
      <c r="S937" t="s">
        <v>2265</v>
      </c>
      <c r="T937" t="s">
        <v>38</v>
      </c>
      <c r="U937" t="s">
        <v>39</v>
      </c>
      <c r="V937" t="s">
        <v>39</v>
      </c>
      <c r="W937" t="s">
        <v>52</v>
      </c>
      <c r="X937">
        <v>2022</v>
      </c>
      <c r="Y937" t="s">
        <v>63</v>
      </c>
      <c r="Z937" t="s">
        <v>64</v>
      </c>
    </row>
    <row r="938" spans="1:26">
      <c r="A938" t="s">
        <v>1927</v>
      </c>
      <c r="B938" t="s">
        <v>66</v>
      </c>
      <c r="C938" t="s">
        <v>76</v>
      </c>
      <c r="D938" t="s">
        <v>77</v>
      </c>
      <c r="E938" t="s">
        <v>260</v>
      </c>
      <c r="F938" t="s">
        <v>109</v>
      </c>
      <c r="G938" t="s">
        <v>58</v>
      </c>
      <c r="H938">
        <v>11.2</v>
      </c>
      <c r="I938">
        <v>15.3</v>
      </c>
      <c r="J938" t="s">
        <v>33</v>
      </c>
      <c r="K938" t="s">
        <v>1928</v>
      </c>
      <c r="L938" t="s">
        <v>98</v>
      </c>
      <c r="M938" t="s">
        <v>97</v>
      </c>
      <c r="N938" t="s">
        <v>37</v>
      </c>
      <c r="O938">
        <v>87</v>
      </c>
      <c r="P938" t="s">
        <v>2265</v>
      </c>
      <c r="Q938">
        <v>0</v>
      </c>
      <c r="R938">
        <v>1000</v>
      </c>
      <c r="S938" t="s">
        <v>2265</v>
      </c>
      <c r="T938" t="s">
        <v>81</v>
      </c>
      <c r="U938" t="s">
        <v>52</v>
      </c>
      <c r="V938" t="s">
        <v>39</v>
      </c>
      <c r="W938" t="s">
        <v>39</v>
      </c>
      <c r="X938">
        <v>2022</v>
      </c>
      <c r="Y938" t="s">
        <v>82</v>
      </c>
      <c r="Z938" t="s">
        <v>83</v>
      </c>
    </row>
    <row r="939" spans="1:26">
      <c r="A939" t="s">
        <v>1929</v>
      </c>
      <c r="B939" t="s">
        <v>116</v>
      </c>
      <c r="C939" t="s">
        <v>76</v>
      </c>
      <c r="D939" t="s">
        <v>77</v>
      </c>
      <c r="E939" t="s">
        <v>220</v>
      </c>
      <c r="F939" t="s">
        <v>57</v>
      </c>
      <c r="G939" t="s">
        <v>58</v>
      </c>
      <c r="H939">
        <v>4.7</v>
      </c>
      <c r="I939">
        <v>31</v>
      </c>
      <c r="J939" t="s">
        <v>156</v>
      </c>
      <c r="K939" t="s">
        <v>1139</v>
      </c>
      <c r="L939" t="s">
        <v>126</v>
      </c>
      <c r="M939" t="s">
        <v>127</v>
      </c>
      <c r="N939" t="s">
        <v>171</v>
      </c>
      <c r="O939">
        <v>53</v>
      </c>
      <c r="P939" t="s">
        <v>2265</v>
      </c>
      <c r="Q939">
        <v>0</v>
      </c>
      <c r="R939">
        <v>0</v>
      </c>
      <c r="S939" t="s">
        <v>2265</v>
      </c>
      <c r="T939" t="s">
        <v>38</v>
      </c>
      <c r="U939" t="s">
        <v>39</v>
      </c>
      <c r="V939" t="s">
        <v>52</v>
      </c>
      <c r="W939" t="s">
        <v>52</v>
      </c>
      <c r="X939">
        <v>2024</v>
      </c>
      <c r="Y939" t="s">
        <v>63</v>
      </c>
      <c r="Z939" t="s">
        <v>64</v>
      </c>
    </row>
    <row r="940" spans="1:26">
      <c r="A940" t="s">
        <v>1930</v>
      </c>
      <c r="B940" t="s">
        <v>27</v>
      </c>
      <c r="C940" t="s">
        <v>164</v>
      </c>
      <c r="D940" t="s">
        <v>29</v>
      </c>
      <c r="E940" t="s">
        <v>45</v>
      </c>
      <c r="F940" t="s">
        <v>57</v>
      </c>
      <c r="G940" t="s">
        <v>58</v>
      </c>
      <c r="H940">
        <v>4.3</v>
      </c>
      <c r="I940">
        <v>28.7</v>
      </c>
      <c r="J940" t="s">
        <v>144</v>
      </c>
      <c r="K940" t="s">
        <v>1872</v>
      </c>
      <c r="L940" t="s">
        <v>98</v>
      </c>
      <c r="M940" t="s">
        <v>1931</v>
      </c>
      <c r="N940" t="s">
        <v>171</v>
      </c>
      <c r="O940">
        <v>66</v>
      </c>
      <c r="P940" t="s">
        <v>2265</v>
      </c>
      <c r="Q940">
        <v>0</v>
      </c>
      <c r="R940">
        <v>0</v>
      </c>
      <c r="S940" t="s">
        <v>2265</v>
      </c>
      <c r="T940" t="s">
        <v>136</v>
      </c>
      <c r="U940" t="s">
        <v>52</v>
      </c>
      <c r="V940" t="s">
        <v>52</v>
      </c>
      <c r="W940" t="s">
        <v>52</v>
      </c>
      <c r="X940">
        <v>2023</v>
      </c>
      <c r="Y940" t="s">
        <v>312</v>
      </c>
      <c r="Z940" t="s">
        <v>83</v>
      </c>
    </row>
    <row r="941" spans="1:26">
      <c r="A941" t="s">
        <v>1932</v>
      </c>
      <c r="B941" t="s">
        <v>43</v>
      </c>
      <c r="C941" t="s">
        <v>173</v>
      </c>
      <c r="D941" t="s">
        <v>77</v>
      </c>
      <c r="E941" t="s">
        <v>363</v>
      </c>
      <c r="F941" t="s">
        <v>109</v>
      </c>
      <c r="G941" t="s">
        <v>58</v>
      </c>
      <c r="H941">
        <v>9</v>
      </c>
      <c r="I941">
        <v>1.9</v>
      </c>
      <c r="J941" t="s">
        <v>96</v>
      </c>
      <c r="K941" t="s">
        <v>1113</v>
      </c>
      <c r="L941" t="s">
        <v>140</v>
      </c>
      <c r="M941" t="s">
        <v>127</v>
      </c>
      <c r="N941" t="s">
        <v>61</v>
      </c>
      <c r="O941">
        <v>68</v>
      </c>
      <c r="P941" t="s">
        <v>2265</v>
      </c>
      <c r="Q941">
        <v>0</v>
      </c>
      <c r="R941">
        <v>0</v>
      </c>
      <c r="S941" t="s">
        <v>2265</v>
      </c>
      <c r="T941" t="s">
        <v>136</v>
      </c>
      <c r="U941" t="s">
        <v>39</v>
      </c>
      <c r="V941" t="s">
        <v>52</v>
      </c>
      <c r="W941" t="s">
        <v>52</v>
      </c>
      <c r="X941">
        <v>2024</v>
      </c>
      <c r="Y941" t="s">
        <v>63</v>
      </c>
      <c r="Z941" t="s">
        <v>64</v>
      </c>
    </row>
    <row r="942" spans="1:26">
      <c r="A942" t="s">
        <v>1933</v>
      </c>
      <c r="B942" t="s">
        <v>93</v>
      </c>
      <c r="C942" t="s">
        <v>28</v>
      </c>
      <c r="D942" t="s">
        <v>77</v>
      </c>
      <c r="E942" t="s">
        <v>78</v>
      </c>
      <c r="F942" t="s">
        <v>238</v>
      </c>
      <c r="G942" t="s">
        <v>58</v>
      </c>
      <c r="H942">
        <v>0.6</v>
      </c>
      <c r="I942">
        <v>8.6</v>
      </c>
      <c r="J942" t="s">
        <v>156</v>
      </c>
      <c r="K942" t="s">
        <v>1801</v>
      </c>
      <c r="L942" t="s">
        <v>60</v>
      </c>
      <c r="M942" t="s">
        <v>127</v>
      </c>
      <c r="N942" t="s">
        <v>100</v>
      </c>
      <c r="O942">
        <v>35</v>
      </c>
      <c r="P942" t="s">
        <v>2265</v>
      </c>
      <c r="Q942">
        <v>0</v>
      </c>
      <c r="R942">
        <v>0</v>
      </c>
      <c r="S942" t="s">
        <v>2265</v>
      </c>
      <c r="T942" t="s">
        <v>136</v>
      </c>
      <c r="U942" t="s">
        <v>39</v>
      </c>
      <c r="V942" t="s">
        <v>52</v>
      </c>
      <c r="W942" t="s">
        <v>39</v>
      </c>
      <c r="X942">
        <v>2024</v>
      </c>
      <c r="Y942" t="s">
        <v>63</v>
      </c>
      <c r="Z942" t="s">
        <v>64</v>
      </c>
    </row>
    <row r="943" spans="1:26">
      <c r="A943" t="s">
        <v>1934</v>
      </c>
      <c r="B943" t="s">
        <v>66</v>
      </c>
      <c r="C943" t="s">
        <v>121</v>
      </c>
      <c r="D943" t="s">
        <v>29</v>
      </c>
      <c r="E943" t="s">
        <v>56</v>
      </c>
      <c r="F943" t="s">
        <v>160</v>
      </c>
      <c r="G943" t="s">
        <v>58</v>
      </c>
      <c r="H943">
        <v>6.9</v>
      </c>
      <c r="I943">
        <v>32.799999999999997</v>
      </c>
      <c r="J943" t="s">
        <v>144</v>
      </c>
      <c r="K943" t="s">
        <v>1688</v>
      </c>
      <c r="L943" t="s">
        <v>140</v>
      </c>
      <c r="M943" t="s">
        <v>249</v>
      </c>
      <c r="N943" t="s">
        <v>61</v>
      </c>
      <c r="O943">
        <v>75</v>
      </c>
      <c r="P943" t="s">
        <v>2265</v>
      </c>
      <c r="Q943">
        <v>0</v>
      </c>
      <c r="R943">
        <v>0</v>
      </c>
      <c r="S943" t="s">
        <v>2265</v>
      </c>
      <c r="T943" t="s">
        <v>62</v>
      </c>
      <c r="U943" t="s">
        <v>52</v>
      </c>
      <c r="V943" t="s">
        <v>52</v>
      </c>
      <c r="W943" t="s">
        <v>52</v>
      </c>
      <c r="X943">
        <v>2022</v>
      </c>
      <c r="Y943" t="s">
        <v>53</v>
      </c>
      <c r="Z943" t="s">
        <v>54</v>
      </c>
    </row>
    <row r="944" spans="1:26">
      <c r="A944" t="s">
        <v>1935</v>
      </c>
      <c r="B944" t="s">
        <v>27</v>
      </c>
      <c r="C944" t="s">
        <v>44</v>
      </c>
      <c r="D944" t="s">
        <v>29</v>
      </c>
      <c r="E944" t="s">
        <v>195</v>
      </c>
      <c r="F944" t="s">
        <v>31</v>
      </c>
      <c r="G944" t="s">
        <v>58</v>
      </c>
      <c r="H944">
        <v>1.8</v>
      </c>
      <c r="I944">
        <v>27.5</v>
      </c>
      <c r="J944" t="s">
        <v>33</v>
      </c>
      <c r="K944" t="s">
        <v>1299</v>
      </c>
      <c r="L944" t="s">
        <v>60</v>
      </c>
      <c r="M944" t="s">
        <v>209</v>
      </c>
      <c r="N944" t="s">
        <v>61</v>
      </c>
      <c r="O944">
        <v>23</v>
      </c>
      <c r="P944" t="s">
        <v>2265</v>
      </c>
      <c r="Q944">
        <v>0</v>
      </c>
      <c r="R944">
        <v>0</v>
      </c>
      <c r="S944" t="s">
        <v>2265</v>
      </c>
      <c r="T944" t="s">
        <v>62</v>
      </c>
      <c r="U944" t="s">
        <v>39</v>
      </c>
      <c r="V944" t="s">
        <v>52</v>
      </c>
      <c r="W944" t="s">
        <v>39</v>
      </c>
      <c r="X944">
        <v>2024</v>
      </c>
      <c r="Y944" t="s">
        <v>40</v>
      </c>
      <c r="Z944" t="s">
        <v>41</v>
      </c>
    </row>
    <row r="945" spans="1:26">
      <c r="A945" t="s">
        <v>1936</v>
      </c>
      <c r="B945" t="s">
        <v>43</v>
      </c>
      <c r="C945" t="s">
        <v>173</v>
      </c>
      <c r="D945" t="s">
        <v>29</v>
      </c>
      <c r="E945" t="s">
        <v>56</v>
      </c>
      <c r="F945" t="s">
        <v>68</v>
      </c>
      <c r="G945" t="s">
        <v>32</v>
      </c>
      <c r="H945">
        <v>2.2999999999999998</v>
      </c>
      <c r="I945">
        <v>27.4</v>
      </c>
      <c r="J945" t="s">
        <v>144</v>
      </c>
      <c r="K945" t="s">
        <v>373</v>
      </c>
      <c r="L945" t="s">
        <v>140</v>
      </c>
      <c r="M945" t="s">
        <v>1548</v>
      </c>
      <c r="N945" t="s">
        <v>37</v>
      </c>
      <c r="O945">
        <v>45</v>
      </c>
      <c r="P945" t="s">
        <v>2265</v>
      </c>
      <c r="Q945">
        <v>0</v>
      </c>
      <c r="R945">
        <v>0</v>
      </c>
      <c r="S945" t="s">
        <v>2265</v>
      </c>
      <c r="T945" t="s">
        <v>62</v>
      </c>
      <c r="U945" t="s">
        <v>39</v>
      </c>
      <c r="V945" t="s">
        <v>52</v>
      </c>
      <c r="W945" t="s">
        <v>39</v>
      </c>
      <c r="X945">
        <v>2023</v>
      </c>
      <c r="Y945" t="s">
        <v>82</v>
      </c>
      <c r="Z945" t="s">
        <v>83</v>
      </c>
    </row>
    <row r="946" spans="1:26">
      <c r="A946" t="s">
        <v>1937</v>
      </c>
      <c r="B946" t="s">
        <v>66</v>
      </c>
      <c r="C946" t="s">
        <v>121</v>
      </c>
      <c r="D946" t="s">
        <v>29</v>
      </c>
      <c r="E946" t="s">
        <v>117</v>
      </c>
      <c r="F946" t="s">
        <v>68</v>
      </c>
      <c r="G946" t="s">
        <v>58</v>
      </c>
      <c r="H946">
        <v>5.0999999999999996</v>
      </c>
      <c r="I946">
        <v>31.3</v>
      </c>
      <c r="J946" t="s">
        <v>33</v>
      </c>
      <c r="K946" t="s">
        <v>1327</v>
      </c>
      <c r="L946" t="s">
        <v>140</v>
      </c>
      <c r="M946" t="s">
        <v>1359</v>
      </c>
      <c r="N946" t="s">
        <v>71</v>
      </c>
      <c r="O946">
        <v>102</v>
      </c>
      <c r="P946" t="s">
        <v>89</v>
      </c>
      <c r="Q946">
        <v>3372</v>
      </c>
      <c r="R946">
        <v>5000</v>
      </c>
      <c r="S946" t="s">
        <v>113</v>
      </c>
      <c r="T946" t="s">
        <v>51</v>
      </c>
      <c r="U946" t="s">
        <v>39</v>
      </c>
      <c r="V946" t="s">
        <v>52</v>
      </c>
      <c r="W946" t="s">
        <v>52</v>
      </c>
      <c r="X946">
        <v>2022</v>
      </c>
      <c r="Y946" t="s">
        <v>128</v>
      </c>
      <c r="Z946" t="s">
        <v>64</v>
      </c>
    </row>
    <row r="947" spans="1:26">
      <c r="A947" t="s">
        <v>1938</v>
      </c>
      <c r="B947" t="s">
        <v>43</v>
      </c>
      <c r="C947" t="s">
        <v>44</v>
      </c>
      <c r="D947" t="s">
        <v>29</v>
      </c>
      <c r="E947" t="s">
        <v>45</v>
      </c>
      <c r="F947" t="s">
        <v>46</v>
      </c>
      <c r="G947" t="s">
        <v>58</v>
      </c>
      <c r="H947">
        <v>10.7</v>
      </c>
      <c r="I947">
        <v>4.5999999999999996</v>
      </c>
      <c r="J947" t="s">
        <v>20</v>
      </c>
      <c r="K947" t="s">
        <v>1489</v>
      </c>
      <c r="L947" t="s">
        <v>48</v>
      </c>
      <c r="M947" t="s">
        <v>1939</v>
      </c>
      <c r="N947" t="s">
        <v>71</v>
      </c>
      <c r="O947">
        <v>73</v>
      </c>
      <c r="P947" t="s">
        <v>112</v>
      </c>
      <c r="Q947">
        <v>2911</v>
      </c>
      <c r="R947">
        <v>500</v>
      </c>
      <c r="S947" t="s">
        <v>152</v>
      </c>
      <c r="T947" t="s">
        <v>62</v>
      </c>
      <c r="U947" t="s">
        <v>39</v>
      </c>
      <c r="V947" t="s">
        <v>52</v>
      </c>
      <c r="W947" t="s">
        <v>52</v>
      </c>
      <c r="X947">
        <v>2022</v>
      </c>
      <c r="Y947" t="s">
        <v>82</v>
      </c>
      <c r="Z947" t="s">
        <v>83</v>
      </c>
    </row>
    <row r="948" spans="1:26">
      <c r="A948" t="s">
        <v>1940</v>
      </c>
      <c r="B948" t="s">
        <v>43</v>
      </c>
      <c r="C948" t="s">
        <v>76</v>
      </c>
      <c r="D948" t="s">
        <v>29</v>
      </c>
      <c r="E948" t="s">
        <v>195</v>
      </c>
      <c r="F948" t="s">
        <v>109</v>
      </c>
      <c r="G948" t="s">
        <v>32</v>
      </c>
      <c r="H948">
        <v>4.2</v>
      </c>
      <c r="I948">
        <v>22.2</v>
      </c>
      <c r="J948" t="s">
        <v>96</v>
      </c>
      <c r="K948" t="s">
        <v>829</v>
      </c>
      <c r="L948" t="s">
        <v>126</v>
      </c>
      <c r="M948" t="s">
        <v>1415</v>
      </c>
      <c r="N948" t="s">
        <v>100</v>
      </c>
      <c r="O948">
        <v>147</v>
      </c>
      <c r="P948" t="s">
        <v>2265</v>
      </c>
      <c r="Q948">
        <v>0</v>
      </c>
      <c r="R948">
        <v>0</v>
      </c>
      <c r="S948" t="s">
        <v>2265</v>
      </c>
      <c r="T948" t="s">
        <v>38</v>
      </c>
      <c r="U948" t="s">
        <v>39</v>
      </c>
      <c r="V948" t="s">
        <v>39</v>
      </c>
      <c r="W948" t="s">
        <v>52</v>
      </c>
      <c r="X948">
        <v>2024</v>
      </c>
      <c r="Y948" t="s">
        <v>82</v>
      </c>
      <c r="Z948" t="s">
        <v>83</v>
      </c>
    </row>
    <row r="949" spans="1:26">
      <c r="A949" t="s">
        <v>1941</v>
      </c>
      <c r="B949" t="s">
        <v>27</v>
      </c>
      <c r="C949" t="s">
        <v>173</v>
      </c>
      <c r="D949" t="s">
        <v>77</v>
      </c>
      <c r="E949" t="s">
        <v>260</v>
      </c>
      <c r="F949" t="s">
        <v>109</v>
      </c>
      <c r="G949" t="s">
        <v>32</v>
      </c>
      <c r="H949">
        <v>4.8</v>
      </c>
      <c r="I949">
        <v>5.6</v>
      </c>
      <c r="J949" t="s">
        <v>156</v>
      </c>
      <c r="K949" t="s">
        <v>1661</v>
      </c>
      <c r="L949" t="s">
        <v>35</v>
      </c>
      <c r="M949" t="s">
        <v>1364</v>
      </c>
      <c r="N949" t="s">
        <v>37</v>
      </c>
      <c r="O949">
        <v>65</v>
      </c>
      <c r="P949" t="s">
        <v>2265</v>
      </c>
      <c r="Q949">
        <v>0</v>
      </c>
      <c r="R949">
        <v>500</v>
      </c>
      <c r="S949" t="s">
        <v>2265</v>
      </c>
      <c r="T949" t="s">
        <v>38</v>
      </c>
      <c r="U949" t="s">
        <v>39</v>
      </c>
      <c r="V949" t="s">
        <v>52</v>
      </c>
      <c r="W949" t="s">
        <v>52</v>
      </c>
      <c r="X949">
        <v>2022</v>
      </c>
      <c r="Y949" t="s">
        <v>114</v>
      </c>
      <c r="Z949" t="s">
        <v>41</v>
      </c>
    </row>
    <row r="950" spans="1:26">
      <c r="A950" t="s">
        <v>1942</v>
      </c>
      <c r="B950" t="s">
        <v>116</v>
      </c>
      <c r="C950" t="s">
        <v>28</v>
      </c>
      <c r="D950" t="s">
        <v>77</v>
      </c>
      <c r="E950" t="s">
        <v>220</v>
      </c>
      <c r="F950" t="s">
        <v>57</v>
      </c>
      <c r="G950" t="s">
        <v>58</v>
      </c>
      <c r="H950">
        <v>10.9</v>
      </c>
      <c r="I950">
        <v>13.9</v>
      </c>
      <c r="J950" t="s">
        <v>33</v>
      </c>
      <c r="K950" t="s">
        <v>125</v>
      </c>
      <c r="L950" t="s">
        <v>35</v>
      </c>
      <c r="M950" t="s">
        <v>127</v>
      </c>
      <c r="N950" t="s">
        <v>100</v>
      </c>
      <c r="O950">
        <v>112</v>
      </c>
      <c r="P950" t="s">
        <v>2265</v>
      </c>
      <c r="Q950">
        <v>0</v>
      </c>
      <c r="R950">
        <v>0</v>
      </c>
      <c r="S950" t="s">
        <v>2265</v>
      </c>
      <c r="T950" t="s">
        <v>81</v>
      </c>
      <c r="U950" t="s">
        <v>39</v>
      </c>
      <c r="V950" t="s">
        <v>39</v>
      </c>
      <c r="W950" t="s">
        <v>39</v>
      </c>
      <c r="X950">
        <v>2024</v>
      </c>
      <c r="Y950" t="s">
        <v>128</v>
      </c>
      <c r="Z950" t="s">
        <v>64</v>
      </c>
    </row>
    <row r="951" spans="1:26">
      <c r="A951" t="s">
        <v>1943</v>
      </c>
      <c r="B951" t="s">
        <v>116</v>
      </c>
      <c r="C951" t="s">
        <v>67</v>
      </c>
      <c r="D951" t="s">
        <v>29</v>
      </c>
      <c r="E951" t="s">
        <v>117</v>
      </c>
      <c r="F951" t="s">
        <v>238</v>
      </c>
      <c r="G951" t="s">
        <v>32</v>
      </c>
      <c r="H951">
        <v>1.1000000000000001</v>
      </c>
      <c r="I951">
        <v>22.2</v>
      </c>
      <c r="J951" t="s">
        <v>144</v>
      </c>
      <c r="K951" t="s">
        <v>1715</v>
      </c>
      <c r="L951" t="s">
        <v>48</v>
      </c>
      <c r="M951" t="s">
        <v>127</v>
      </c>
      <c r="N951" t="s">
        <v>61</v>
      </c>
      <c r="O951">
        <v>15</v>
      </c>
      <c r="P951" t="s">
        <v>2265</v>
      </c>
      <c r="Q951">
        <v>0</v>
      </c>
      <c r="R951">
        <v>0</v>
      </c>
      <c r="S951" t="s">
        <v>2265</v>
      </c>
      <c r="T951" t="s">
        <v>62</v>
      </c>
      <c r="U951" t="s">
        <v>39</v>
      </c>
      <c r="V951" t="s">
        <v>52</v>
      </c>
      <c r="W951" t="s">
        <v>52</v>
      </c>
      <c r="X951">
        <v>2024</v>
      </c>
      <c r="Y951" t="s">
        <v>63</v>
      </c>
      <c r="Z951" t="s">
        <v>64</v>
      </c>
    </row>
    <row r="952" spans="1:26">
      <c r="A952" t="s">
        <v>1944</v>
      </c>
      <c r="B952" t="s">
        <v>108</v>
      </c>
      <c r="C952" t="s">
        <v>121</v>
      </c>
      <c r="D952" t="s">
        <v>85</v>
      </c>
      <c r="E952" t="s">
        <v>208</v>
      </c>
      <c r="F952" t="s">
        <v>31</v>
      </c>
      <c r="G952" t="s">
        <v>32</v>
      </c>
      <c r="H952">
        <v>3.3</v>
      </c>
      <c r="I952">
        <v>31.4</v>
      </c>
      <c r="J952" t="s">
        <v>144</v>
      </c>
      <c r="K952" t="s">
        <v>923</v>
      </c>
      <c r="L952" t="s">
        <v>48</v>
      </c>
      <c r="M952" t="s">
        <v>327</v>
      </c>
      <c r="N952" t="s">
        <v>37</v>
      </c>
      <c r="O952">
        <v>95</v>
      </c>
      <c r="P952" t="s">
        <v>2265</v>
      </c>
      <c r="Q952">
        <v>0</v>
      </c>
      <c r="R952">
        <v>500</v>
      </c>
      <c r="S952" t="s">
        <v>2265</v>
      </c>
      <c r="T952" t="s">
        <v>38</v>
      </c>
      <c r="U952" t="s">
        <v>52</v>
      </c>
      <c r="V952" t="s">
        <v>39</v>
      </c>
      <c r="W952" t="s">
        <v>52</v>
      </c>
      <c r="X952">
        <v>2022</v>
      </c>
      <c r="Y952" t="s">
        <v>74</v>
      </c>
      <c r="Z952" t="s">
        <v>54</v>
      </c>
    </row>
    <row r="953" spans="1:26">
      <c r="A953" t="s">
        <v>1945</v>
      </c>
      <c r="B953" t="s">
        <v>66</v>
      </c>
      <c r="C953" t="s">
        <v>121</v>
      </c>
      <c r="D953" t="s">
        <v>85</v>
      </c>
      <c r="E953" t="s">
        <v>208</v>
      </c>
      <c r="F953" t="s">
        <v>57</v>
      </c>
      <c r="G953" t="s">
        <v>58</v>
      </c>
      <c r="H953">
        <v>1.2</v>
      </c>
      <c r="I953">
        <v>30.6</v>
      </c>
      <c r="J953" t="s">
        <v>33</v>
      </c>
      <c r="K953" t="s">
        <v>1419</v>
      </c>
      <c r="L953" t="s">
        <v>140</v>
      </c>
      <c r="M953" t="s">
        <v>394</v>
      </c>
      <c r="N953" t="s">
        <v>71</v>
      </c>
      <c r="O953">
        <v>89</v>
      </c>
      <c r="P953" t="s">
        <v>105</v>
      </c>
      <c r="Q953">
        <v>2775</v>
      </c>
      <c r="R953">
        <v>5000</v>
      </c>
      <c r="S953" t="s">
        <v>73</v>
      </c>
      <c r="T953" t="s">
        <v>51</v>
      </c>
      <c r="U953" t="s">
        <v>39</v>
      </c>
      <c r="V953" t="s">
        <v>52</v>
      </c>
      <c r="W953" t="s">
        <v>52</v>
      </c>
      <c r="X953">
        <v>2022</v>
      </c>
      <c r="Y953" t="s">
        <v>91</v>
      </c>
      <c r="Z953" t="s">
        <v>64</v>
      </c>
    </row>
    <row r="954" spans="1:26">
      <c r="A954" t="s">
        <v>1946</v>
      </c>
      <c r="B954" t="s">
        <v>93</v>
      </c>
      <c r="C954" t="s">
        <v>67</v>
      </c>
      <c r="D954" t="s">
        <v>29</v>
      </c>
      <c r="E954" t="s">
        <v>45</v>
      </c>
      <c r="F954" t="s">
        <v>68</v>
      </c>
      <c r="G954" t="s">
        <v>58</v>
      </c>
      <c r="H954">
        <v>1.2</v>
      </c>
      <c r="I954">
        <v>5.0999999999999996</v>
      </c>
      <c r="J954" t="s">
        <v>33</v>
      </c>
      <c r="K954" t="s">
        <v>1083</v>
      </c>
      <c r="L954" t="s">
        <v>126</v>
      </c>
      <c r="M954" t="s">
        <v>1400</v>
      </c>
      <c r="N954" t="s">
        <v>50</v>
      </c>
      <c r="O954">
        <v>52</v>
      </c>
      <c r="P954" t="s">
        <v>2265</v>
      </c>
      <c r="Q954">
        <v>0</v>
      </c>
      <c r="R954">
        <v>0</v>
      </c>
      <c r="S954" t="s">
        <v>2265</v>
      </c>
      <c r="T954" t="s">
        <v>38</v>
      </c>
      <c r="U954" t="s">
        <v>52</v>
      </c>
      <c r="V954" t="s">
        <v>52</v>
      </c>
      <c r="W954" t="s">
        <v>39</v>
      </c>
      <c r="X954">
        <v>2023</v>
      </c>
      <c r="Y954" t="s">
        <v>82</v>
      </c>
      <c r="Z954" t="s">
        <v>83</v>
      </c>
    </row>
    <row r="955" spans="1:26">
      <c r="A955" t="s">
        <v>1947</v>
      </c>
      <c r="B955" t="s">
        <v>43</v>
      </c>
      <c r="C955" t="s">
        <v>44</v>
      </c>
      <c r="D955" t="s">
        <v>77</v>
      </c>
      <c r="E955" t="s">
        <v>220</v>
      </c>
      <c r="F955" t="s">
        <v>124</v>
      </c>
      <c r="G955" t="s">
        <v>32</v>
      </c>
      <c r="H955">
        <v>2</v>
      </c>
      <c r="I955">
        <v>13.6</v>
      </c>
      <c r="J955" t="s">
        <v>33</v>
      </c>
      <c r="K955" t="s">
        <v>1359</v>
      </c>
      <c r="L955" t="s">
        <v>126</v>
      </c>
      <c r="M955" t="s">
        <v>941</v>
      </c>
      <c r="N955" t="s">
        <v>71</v>
      </c>
      <c r="O955">
        <v>43</v>
      </c>
      <c r="P955" t="s">
        <v>112</v>
      </c>
      <c r="Q955">
        <v>3643</v>
      </c>
      <c r="R955">
        <v>1000</v>
      </c>
      <c r="S955" t="s">
        <v>152</v>
      </c>
      <c r="T955" t="s">
        <v>136</v>
      </c>
      <c r="U955" t="s">
        <v>39</v>
      </c>
      <c r="V955" t="s">
        <v>39</v>
      </c>
      <c r="W955" t="s">
        <v>52</v>
      </c>
      <c r="X955">
        <v>2023</v>
      </c>
      <c r="Y955" t="s">
        <v>82</v>
      </c>
      <c r="Z955" t="s">
        <v>83</v>
      </c>
    </row>
    <row r="956" spans="1:26">
      <c r="A956" t="s">
        <v>1948</v>
      </c>
      <c r="B956" t="s">
        <v>43</v>
      </c>
      <c r="C956" t="s">
        <v>67</v>
      </c>
      <c r="D956" t="s">
        <v>77</v>
      </c>
      <c r="E956" t="s">
        <v>143</v>
      </c>
      <c r="F956" t="s">
        <v>238</v>
      </c>
      <c r="G956" t="s">
        <v>58</v>
      </c>
      <c r="H956">
        <v>7.2</v>
      </c>
      <c r="I956">
        <v>25.5</v>
      </c>
      <c r="J956" t="s">
        <v>96</v>
      </c>
      <c r="K956" t="s">
        <v>1241</v>
      </c>
      <c r="L956" t="s">
        <v>126</v>
      </c>
      <c r="M956" t="s">
        <v>588</v>
      </c>
      <c r="N956" t="s">
        <v>61</v>
      </c>
      <c r="O956">
        <v>79</v>
      </c>
      <c r="P956" t="s">
        <v>2265</v>
      </c>
      <c r="Q956">
        <v>0</v>
      </c>
      <c r="R956">
        <v>0</v>
      </c>
      <c r="S956" t="s">
        <v>2265</v>
      </c>
      <c r="T956" t="s">
        <v>51</v>
      </c>
      <c r="U956" t="s">
        <v>39</v>
      </c>
      <c r="V956" t="s">
        <v>39</v>
      </c>
      <c r="W956" t="s">
        <v>52</v>
      </c>
      <c r="X956">
        <v>2023</v>
      </c>
      <c r="Y956" t="s">
        <v>211</v>
      </c>
      <c r="Z956" t="s">
        <v>41</v>
      </c>
    </row>
    <row r="957" spans="1:26">
      <c r="A957" t="s">
        <v>1949</v>
      </c>
      <c r="B957" t="s">
        <v>108</v>
      </c>
      <c r="C957" t="s">
        <v>121</v>
      </c>
      <c r="D957" t="s">
        <v>29</v>
      </c>
      <c r="E957" t="s">
        <v>56</v>
      </c>
      <c r="F957" t="s">
        <v>109</v>
      </c>
      <c r="G957" t="s">
        <v>58</v>
      </c>
      <c r="H957">
        <v>8.1999999999999993</v>
      </c>
      <c r="I957">
        <v>29.2</v>
      </c>
      <c r="J957" t="s">
        <v>33</v>
      </c>
      <c r="K957" t="s">
        <v>1939</v>
      </c>
      <c r="L957" t="s">
        <v>126</v>
      </c>
      <c r="M957" t="s">
        <v>549</v>
      </c>
      <c r="N957" t="s">
        <v>50</v>
      </c>
      <c r="O957">
        <v>61</v>
      </c>
      <c r="P957" t="s">
        <v>2265</v>
      </c>
      <c r="Q957">
        <v>0</v>
      </c>
      <c r="R957">
        <v>0</v>
      </c>
      <c r="S957" t="s">
        <v>2265</v>
      </c>
      <c r="T957" t="s">
        <v>136</v>
      </c>
      <c r="U957" t="s">
        <v>39</v>
      </c>
      <c r="V957" t="s">
        <v>39</v>
      </c>
      <c r="W957" t="s">
        <v>39</v>
      </c>
      <c r="X957">
        <v>2022</v>
      </c>
      <c r="Y957" t="s">
        <v>74</v>
      </c>
      <c r="Z957" t="s">
        <v>54</v>
      </c>
    </row>
    <row r="958" spans="1:26">
      <c r="A958" t="s">
        <v>1950</v>
      </c>
      <c r="B958" t="s">
        <v>108</v>
      </c>
      <c r="C958" t="s">
        <v>164</v>
      </c>
      <c r="D958" t="s">
        <v>77</v>
      </c>
      <c r="E958" t="s">
        <v>216</v>
      </c>
      <c r="F958" t="s">
        <v>31</v>
      </c>
      <c r="G958" t="s">
        <v>32</v>
      </c>
      <c r="H958">
        <v>2.4</v>
      </c>
      <c r="I958">
        <v>18.399999999999999</v>
      </c>
      <c r="J958" t="s">
        <v>156</v>
      </c>
      <c r="K958" t="s">
        <v>956</v>
      </c>
      <c r="L958" t="s">
        <v>126</v>
      </c>
      <c r="M958" t="s">
        <v>184</v>
      </c>
      <c r="N958" t="s">
        <v>71</v>
      </c>
      <c r="O958">
        <v>126</v>
      </c>
      <c r="P958" t="s">
        <v>105</v>
      </c>
      <c r="Q958">
        <v>3838</v>
      </c>
      <c r="R958">
        <v>2000</v>
      </c>
      <c r="S958" t="s">
        <v>90</v>
      </c>
      <c r="T958" t="s">
        <v>81</v>
      </c>
      <c r="U958" t="s">
        <v>52</v>
      </c>
      <c r="V958" t="s">
        <v>39</v>
      </c>
      <c r="W958" t="s">
        <v>52</v>
      </c>
      <c r="X958">
        <v>2022</v>
      </c>
      <c r="Y958" t="s">
        <v>40</v>
      </c>
      <c r="Z958" t="s">
        <v>41</v>
      </c>
    </row>
    <row r="959" spans="1:26">
      <c r="A959" t="s">
        <v>1951</v>
      </c>
      <c r="B959" t="s">
        <v>27</v>
      </c>
      <c r="C959" t="s">
        <v>121</v>
      </c>
      <c r="D959" t="s">
        <v>29</v>
      </c>
      <c r="E959" t="s">
        <v>195</v>
      </c>
      <c r="F959" t="s">
        <v>238</v>
      </c>
      <c r="G959" t="s">
        <v>32</v>
      </c>
      <c r="H959">
        <v>5</v>
      </c>
      <c r="I959">
        <v>12.2</v>
      </c>
      <c r="J959" t="s">
        <v>96</v>
      </c>
      <c r="K959" t="s">
        <v>1064</v>
      </c>
      <c r="L959" t="s">
        <v>98</v>
      </c>
      <c r="M959" t="s">
        <v>127</v>
      </c>
      <c r="N959" t="s">
        <v>171</v>
      </c>
      <c r="O959">
        <v>46</v>
      </c>
      <c r="P959" t="s">
        <v>2265</v>
      </c>
      <c r="Q959">
        <v>0</v>
      </c>
      <c r="R959">
        <v>0</v>
      </c>
      <c r="S959" t="s">
        <v>2265</v>
      </c>
      <c r="T959" t="s">
        <v>62</v>
      </c>
      <c r="U959" t="s">
        <v>52</v>
      </c>
      <c r="V959" t="s">
        <v>52</v>
      </c>
      <c r="W959" t="s">
        <v>39</v>
      </c>
      <c r="X959">
        <v>2024</v>
      </c>
      <c r="Y959" t="s">
        <v>128</v>
      </c>
      <c r="Z959" t="s">
        <v>64</v>
      </c>
    </row>
    <row r="960" spans="1:26">
      <c r="A960" t="s">
        <v>1952</v>
      </c>
      <c r="B960" t="s">
        <v>43</v>
      </c>
      <c r="C960" t="s">
        <v>76</v>
      </c>
      <c r="D960" t="s">
        <v>77</v>
      </c>
      <c r="E960" t="s">
        <v>78</v>
      </c>
      <c r="F960" t="s">
        <v>46</v>
      </c>
      <c r="G960" t="s">
        <v>58</v>
      </c>
      <c r="H960">
        <v>10.8</v>
      </c>
      <c r="I960">
        <v>18.399999999999999</v>
      </c>
      <c r="J960" t="s">
        <v>144</v>
      </c>
      <c r="K960" t="s">
        <v>682</v>
      </c>
      <c r="L960" t="s">
        <v>140</v>
      </c>
      <c r="M960" t="s">
        <v>99</v>
      </c>
      <c r="N960" t="s">
        <v>50</v>
      </c>
      <c r="O960">
        <v>104</v>
      </c>
      <c r="P960" t="s">
        <v>2265</v>
      </c>
      <c r="Q960">
        <v>0</v>
      </c>
      <c r="R960">
        <v>0</v>
      </c>
      <c r="S960" t="s">
        <v>2265</v>
      </c>
      <c r="T960" t="s">
        <v>81</v>
      </c>
      <c r="U960" t="s">
        <v>39</v>
      </c>
      <c r="V960" t="s">
        <v>52</v>
      </c>
      <c r="W960" t="s">
        <v>52</v>
      </c>
      <c r="X960">
        <v>2022</v>
      </c>
      <c r="Y960" t="s">
        <v>53</v>
      </c>
      <c r="Z960" t="s">
        <v>54</v>
      </c>
    </row>
    <row r="961" spans="1:26">
      <c r="A961" t="s">
        <v>1953</v>
      </c>
      <c r="B961" t="s">
        <v>116</v>
      </c>
      <c r="C961" t="s">
        <v>67</v>
      </c>
      <c r="D961" t="s">
        <v>77</v>
      </c>
      <c r="E961" t="s">
        <v>363</v>
      </c>
      <c r="F961" t="s">
        <v>109</v>
      </c>
      <c r="G961" t="s">
        <v>32</v>
      </c>
      <c r="H961">
        <v>8.1999999999999993</v>
      </c>
      <c r="I961">
        <v>23.3</v>
      </c>
      <c r="J961" t="s">
        <v>33</v>
      </c>
      <c r="K961" t="s">
        <v>1954</v>
      </c>
      <c r="L961" t="s">
        <v>98</v>
      </c>
      <c r="M961" t="s">
        <v>1123</v>
      </c>
      <c r="N961" t="s">
        <v>71</v>
      </c>
      <c r="O961">
        <v>84</v>
      </c>
      <c r="P961" t="s">
        <v>72</v>
      </c>
      <c r="Q961">
        <v>3706</v>
      </c>
      <c r="R961">
        <v>500</v>
      </c>
      <c r="S961" t="s">
        <v>90</v>
      </c>
      <c r="T961" t="s">
        <v>62</v>
      </c>
      <c r="U961" t="s">
        <v>39</v>
      </c>
      <c r="V961" t="s">
        <v>52</v>
      </c>
      <c r="W961" t="s">
        <v>39</v>
      </c>
      <c r="X961">
        <v>2023</v>
      </c>
      <c r="Y961" t="s">
        <v>63</v>
      </c>
      <c r="Z961" t="s">
        <v>64</v>
      </c>
    </row>
    <row r="962" spans="1:26">
      <c r="A962" t="s">
        <v>1955</v>
      </c>
      <c r="B962" t="s">
        <v>27</v>
      </c>
      <c r="C962" t="s">
        <v>76</v>
      </c>
      <c r="D962" t="s">
        <v>29</v>
      </c>
      <c r="E962" t="s">
        <v>94</v>
      </c>
      <c r="F962" t="s">
        <v>109</v>
      </c>
      <c r="G962" t="s">
        <v>32</v>
      </c>
      <c r="H962">
        <v>4.8</v>
      </c>
      <c r="I962">
        <v>16.3</v>
      </c>
      <c r="J962" t="s">
        <v>33</v>
      </c>
      <c r="K962" t="s">
        <v>608</v>
      </c>
      <c r="L962" t="s">
        <v>126</v>
      </c>
      <c r="M962" t="s">
        <v>1094</v>
      </c>
      <c r="N962" t="s">
        <v>71</v>
      </c>
      <c r="O962">
        <v>19</v>
      </c>
      <c r="P962" t="s">
        <v>105</v>
      </c>
      <c r="Q962">
        <v>2840</v>
      </c>
      <c r="R962">
        <v>1000</v>
      </c>
      <c r="S962" t="s">
        <v>152</v>
      </c>
      <c r="T962" t="s">
        <v>62</v>
      </c>
      <c r="U962" t="s">
        <v>39</v>
      </c>
      <c r="V962" t="s">
        <v>39</v>
      </c>
      <c r="W962" t="s">
        <v>52</v>
      </c>
      <c r="X962">
        <v>2022</v>
      </c>
      <c r="Y962" t="s">
        <v>63</v>
      </c>
      <c r="Z962" t="s">
        <v>64</v>
      </c>
    </row>
    <row r="963" spans="1:26">
      <c r="A963" t="s">
        <v>1956</v>
      </c>
      <c r="B963" t="s">
        <v>66</v>
      </c>
      <c r="C963" t="s">
        <v>173</v>
      </c>
      <c r="D963" t="s">
        <v>77</v>
      </c>
      <c r="E963" t="s">
        <v>260</v>
      </c>
      <c r="F963" t="s">
        <v>109</v>
      </c>
      <c r="G963" t="s">
        <v>32</v>
      </c>
      <c r="H963">
        <v>11.7</v>
      </c>
      <c r="I963">
        <v>21.1</v>
      </c>
      <c r="J963" t="s">
        <v>156</v>
      </c>
      <c r="K963" t="s">
        <v>1957</v>
      </c>
      <c r="L963" t="s">
        <v>48</v>
      </c>
      <c r="M963" t="s">
        <v>1958</v>
      </c>
      <c r="N963" t="s">
        <v>37</v>
      </c>
      <c r="O963">
        <v>155</v>
      </c>
      <c r="P963" t="s">
        <v>2265</v>
      </c>
      <c r="Q963">
        <v>0</v>
      </c>
      <c r="R963">
        <v>1000</v>
      </c>
      <c r="S963" t="s">
        <v>2265</v>
      </c>
      <c r="T963" t="s">
        <v>51</v>
      </c>
      <c r="U963" t="s">
        <v>39</v>
      </c>
      <c r="V963" t="s">
        <v>52</v>
      </c>
      <c r="W963" t="s">
        <v>39</v>
      </c>
      <c r="X963">
        <v>2022</v>
      </c>
      <c r="Y963" t="s">
        <v>312</v>
      </c>
      <c r="Z963" t="s">
        <v>83</v>
      </c>
    </row>
    <row r="964" spans="1:26">
      <c r="A964" t="s">
        <v>1959</v>
      </c>
      <c r="B964" t="s">
        <v>93</v>
      </c>
      <c r="C964" t="s">
        <v>164</v>
      </c>
      <c r="D964" t="s">
        <v>29</v>
      </c>
      <c r="E964" t="s">
        <v>56</v>
      </c>
      <c r="F964" t="s">
        <v>124</v>
      </c>
      <c r="G964" t="s">
        <v>32</v>
      </c>
      <c r="H964">
        <v>8.4</v>
      </c>
      <c r="I964">
        <v>15.7</v>
      </c>
      <c r="J964" t="s">
        <v>144</v>
      </c>
      <c r="K964" t="s">
        <v>1809</v>
      </c>
      <c r="L964" t="s">
        <v>126</v>
      </c>
      <c r="M964" t="s">
        <v>689</v>
      </c>
      <c r="N964" t="s">
        <v>50</v>
      </c>
      <c r="O964">
        <v>116</v>
      </c>
      <c r="P964" t="s">
        <v>2265</v>
      </c>
      <c r="Q964">
        <v>0</v>
      </c>
      <c r="R964">
        <v>0</v>
      </c>
      <c r="S964" t="s">
        <v>2265</v>
      </c>
      <c r="T964" t="s">
        <v>136</v>
      </c>
      <c r="U964" t="s">
        <v>39</v>
      </c>
      <c r="V964" t="s">
        <v>52</v>
      </c>
      <c r="W964" t="s">
        <v>52</v>
      </c>
      <c r="X964">
        <v>2023</v>
      </c>
      <c r="Y964" t="s">
        <v>63</v>
      </c>
      <c r="Z964" t="s">
        <v>64</v>
      </c>
    </row>
    <row r="965" spans="1:26">
      <c r="A965" t="s">
        <v>1960</v>
      </c>
      <c r="B965" t="s">
        <v>108</v>
      </c>
      <c r="C965" t="s">
        <v>121</v>
      </c>
      <c r="D965" t="s">
        <v>77</v>
      </c>
      <c r="E965" t="s">
        <v>78</v>
      </c>
      <c r="F965" t="s">
        <v>57</v>
      </c>
      <c r="G965" t="s">
        <v>58</v>
      </c>
      <c r="H965">
        <v>7.6</v>
      </c>
      <c r="I965">
        <v>34.1</v>
      </c>
      <c r="J965" t="s">
        <v>96</v>
      </c>
      <c r="K965" t="s">
        <v>1411</v>
      </c>
      <c r="L965" t="s">
        <v>140</v>
      </c>
      <c r="M965" t="s">
        <v>1961</v>
      </c>
      <c r="N965" t="s">
        <v>71</v>
      </c>
      <c r="O965">
        <v>98</v>
      </c>
      <c r="P965" t="s">
        <v>105</v>
      </c>
      <c r="Q965">
        <v>3520</v>
      </c>
      <c r="R965">
        <v>2000</v>
      </c>
      <c r="S965" t="s">
        <v>90</v>
      </c>
      <c r="T965" t="s">
        <v>62</v>
      </c>
      <c r="U965" t="s">
        <v>52</v>
      </c>
      <c r="V965" t="s">
        <v>52</v>
      </c>
      <c r="W965" t="s">
        <v>52</v>
      </c>
      <c r="X965">
        <v>2023</v>
      </c>
      <c r="Y965" t="s">
        <v>40</v>
      </c>
      <c r="Z965" t="s">
        <v>41</v>
      </c>
    </row>
    <row r="966" spans="1:26">
      <c r="A966" t="s">
        <v>1962</v>
      </c>
      <c r="B966" t="s">
        <v>66</v>
      </c>
      <c r="C966" t="s">
        <v>67</v>
      </c>
      <c r="D966" t="s">
        <v>77</v>
      </c>
      <c r="E966" t="s">
        <v>260</v>
      </c>
      <c r="F966" t="s">
        <v>109</v>
      </c>
      <c r="G966" t="s">
        <v>58</v>
      </c>
      <c r="H966">
        <v>11.9</v>
      </c>
      <c r="I966">
        <v>1.8</v>
      </c>
      <c r="J966" t="s">
        <v>144</v>
      </c>
      <c r="K966" t="s">
        <v>890</v>
      </c>
      <c r="L966" t="s">
        <v>98</v>
      </c>
      <c r="M966" t="s">
        <v>127</v>
      </c>
      <c r="N966" t="s">
        <v>37</v>
      </c>
      <c r="O966">
        <v>148</v>
      </c>
      <c r="P966" t="s">
        <v>2265</v>
      </c>
      <c r="Q966">
        <v>0</v>
      </c>
      <c r="R966">
        <v>1000</v>
      </c>
      <c r="S966" t="s">
        <v>2265</v>
      </c>
      <c r="T966" t="s">
        <v>81</v>
      </c>
      <c r="U966" t="s">
        <v>39</v>
      </c>
      <c r="V966" t="s">
        <v>52</v>
      </c>
      <c r="W966" t="s">
        <v>39</v>
      </c>
      <c r="X966">
        <v>2024</v>
      </c>
      <c r="Y966" t="s">
        <v>128</v>
      </c>
      <c r="Z966" t="s">
        <v>64</v>
      </c>
    </row>
    <row r="967" spans="1:26">
      <c r="A967" t="s">
        <v>1963</v>
      </c>
      <c r="B967" t="s">
        <v>108</v>
      </c>
      <c r="C967" t="s">
        <v>76</v>
      </c>
      <c r="D967" t="s">
        <v>29</v>
      </c>
      <c r="E967" t="s">
        <v>30</v>
      </c>
      <c r="F967" t="s">
        <v>238</v>
      </c>
      <c r="G967" t="s">
        <v>58</v>
      </c>
      <c r="H967">
        <v>8.8000000000000007</v>
      </c>
      <c r="I967">
        <v>11.9</v>
      </c>
      <c r="J967" t="s">
        <v>33</v>
      </c>
      <c r="K967" t="s">
        <v>1008</v>
      </c>
      <c r="L967" t="s">
        <v>60</v>
      </c>
      <c r="M967" t="s">
        <v>664</v>
      </c>
      <c r="N967" t="s">
        <v>100</v>
      </c>
      <c r="O967">
        <v>100</v>
      </c>
      <c r="P967" t="s">
        <v>2265</v>
      </c>
      <c r="Q967">
        <v>0</v>
      </c>
      <c r="R967">
        <v>0</v>
      </c>
      <c r="S967" t="s">
        <v>2265</v>
      </c>
      <c r="T967" t="s">
        <v>62</v>
      </c>
      <c r="U967" t="s">
        <v>39</v>
      </c>
      <c r="V967" t="s">
        <v>52</v>
      </c>
      <c r="W967" t="s">
        <v>52</v>
      </c>
      <c r="X967">
        <v>2024</v>
      </c>
      <c r="Y967" t="s">
        <v>106</v>
      </c>
      <c r="Z967" t="s">
        <v>83</v>
      </c>
    </row>
    <row r="968" spans="1:26">
      <c r="A968" t="s">
        <v>1964</v>
      </c>
      <c r="B968" t="s">
        <v>43</v>
      </c>
      <c r="C968" t="s">
        <v>67</v>
      </c>
      <c r="D968" t="s">
        <v>122</v>
      </c>
      <c r="E968" t="s">
        <v>155</v>
      </c>
      <c r="F968" t="s">
        <v>31</v>
      </c>
      <c r="G968" t="s">
        <v>32</v>
      </c>
      <c r="H968">
        <v>5.6</v>
      </c>
      <c r="I968">
        <v>14.1</v>
      </c>
      <c r="J968" t="s">
        <v>33</v>
      </c>
      <c r="K968" t="s">
        <v>1965</v>
      </c>
      <c r="L968" t="s">
        <v>98</v>
      </c>
      <c r="M968" t="s">
        <v>1305</v>
      </c>
      <c r="N968" t="s">
        <v>100</v>
      </c>
      <c r="O968">
        <v>47</v>
      </c>
      <c r="P968" t="s">
        <v>2265</v>
      </c>
      <c r="Q968">
        <v>0</v>
      </c>
      <c r="R968">
        <v>0</v>
      </c>
      <c r="S968" t="s">
        <v>2265</v>
      </c>
      <c r="T968" t="s">
        <v>81</v>
      </c>
      <c r="U968" t="s">
        <v>39</v>
      </c>
      <c r="V968" t="s">
        <v>52</v>
      </c>
      <c r="W968" t="s">
        <v>52</v>
      </c>
      <c r="X968">
        <v>2023</v>
      </c>
      <c r="Y968" t="s">
        <v>53</v>
      </c>
      <c r="Z968" t="s">
        <v>54</v>
      </c>
    </row>
    <row r="969" spans="1:26">
      <c r="A969" t="s">
        <v>1966</v>
      </c>
      <c r="B969" t="s">
        <v>66</v>
      </c>
      <c r="C969" t="s">
        <v>67</v>
      </c>
      <c r="D969" t="s">
        <v>85</v>
      </c>
      <c r="E969" t="s">
        <v>208</v>
      </c>
      <c r="F969" t="s">
        <v>68</v>
      </c>
      <c r="G969" t="s">
        <v>32</v>
      </c>
      <c r="H969">
        <v>2.1</v>
      </c>
      <c r="I969">
        <v>3.2</v>
      </c>
      <c r="J969" t="s">
        <v>156</v>
      </c>
      <c r="K969" t="s">
        <v>373</v>
      </c>
      <c r="L969" t="s">
        <v>126</v>
      </c>
      <c r="M969" t="s">
        <v>587</v>
      </c>
      <c r="N969" t="s">
        <v>71</v>
      </c>
      <c r="O969">
        <v>140</v>
      </c>
      <c r="P969" t="s">
        <v>89</v>
      </c>
      <c r="Q969">
        <v>1893</v>
      </c>
      <c r="R969">
        <v>500</v>
      </c>
      <c r="S969" t="s">
        <v>152</v>
      </c>
      <c r="T969" t="s">
        <v>136</v>
      </c>
      <c r="U969" t="s">
        <v>39</v>
      </c>
      <c r="V969" t="s">
        <v>52</v>
      </c>
      <c r="W969" t="s">
        <v>52</v>
      </c>
      <c r="X969">
        <v>2023</v>
      </c>
      <c r="Y969" t="s">
        <v>82</v>
      </c>
      <c r="Z969" t="s">
        <v>83</v>
      </c>
    </row>
    <row r="970" spans="1:26">
      <c r="A970" t="s">
        <v>1967</v>
      </c>
      <c r="B970" t="s">
        <v>93</v>
      </c>
      <c r="C970" t="s">
        <v>28</v>
      </c>
      <c r="D970" t="s">
        <v>85</v>
      </c>
      <c r="E970" t="s">
        <v>138</v>
      </c>
      <c r="F970" t="s">
        <v>124</v>
      </c>
      <c r="G970" t="s">
        <v>58</v>
      </c>
      <c r="H970">
        <v>6.4</v>
      </c>
      <c r="I970">
        <v>27.5</v>
      </c>
      <c r="J970" t="s">
        <v>20</v>
      </c>
      <c r="K970" t="s">
        <v>176</v>
      </c>
      <c r="L970" t="s">
        <v>98</v>
      </c>
      <c r="M970" t="s">
        <v>875</v>
      </c>
      <c r="N970" t="s">
        <v>37</v>
      </c>
      <c r="O970">
        <v>178</v>
      </c>
      <c r="P970" t="s">
        <v>2265</v>
      </c>
      <c r="Q970">
        <v>0</v>
      </c>
      <c r="R970">
        <v>500</v>
      </c>
      <c r="S970" t="s">
        <v>2265</v>
      </c>
      <c r="T970" t="s">
        <v>136</v>
      </c>
      <c r="U970" t="s">
        <v>39</v>
      </c>
      <c r="V970" t="s">
        <v>52</v>
      </c>
      <c r="W970" t="s">
        <v>39</v>
      </c>
      <c r="X970">
        <v>2023</v>
      </c>
      <c r="Y970" t="s">
        <v>312</v>
      </c>
      <c r="Z970" t="s">
        <v>83</v>
      </c>
    </row>
    <row r="971" spans="1:26">
      <c r="A971" t="s">
        <v>1968</v>
      </c>
      <c r="B971" t="s">
        <v>108</v>
      </c>
      <c r="C971" t="s">
        <v>173</v>
      </c>
      <c r="D971" t="s">
        <v>77</v>
      </c>
      <c r="E971" t="s">
        <v>168</v>
      </c>
      <c r="F971" t="s">
        <v>160</v>
      </c>
      <c r="G971" t="s">
        <v>58</v>
      </c>
      <c r="H971">
        <v>0.3</v>
      </c>
      <c r="I971">
        <v>11.6</v>
      </c>
      <c r="J971" t="s">
        <v>33</v>
      </c>
      <c r="K971" t="s">
        <v>870</v>
      </c>
      <c r="L971" t="s">
        <v>48</v>
      </c>
      <c r="M971" t="s">
        <v>279</v>
      </c>
      <c r="N971" t="s">
        <v>171</v>
      </c>
      <c r="O971">
        <v>144</v>
      </c>
      <c r="P971" t="s">
        <v>2265</v>
      </c>
      <c r="Q971">
        <v>0</v>
      </c>
      <c r="R971">
        <v>0</v>
      </c>
      <c r="S971" t="s">
        <v>2265</v>
      </c>
      <c r="T971" t="s">
        <v>51</v>
      </c>
      <c r="U971" t="s">
        <v>39</v>
      </c>
      <c r="V971" t="s">
        <v>52</v>
      </c>
      <c r="W971" t="s">
        <v>39</v>
      </c>
      <c r="X971">
        <v>2024</v>
      </c>
      <c r="Y971" t="s">
        <v>312</v>
      </c>
      <c r="Z971" t="s">
        <v>83</v>
      </c>
    </row>
    <row r="972" spans="1:26">
      <c r="A972" t="s">
        <v>1969</v>
      </c>
      <c r="B972" t="s">
        <v>43</v>
      </c>
      <c r="C972" t="s">
        <v>173</v>
      </c>
      <c r="D972" t="s">
        <v>29</v>
      </c>
      <c r="E972" t="s">
        <v>117</v>
      </c>
      <c r="F972" t="s">
        <v>238</v>
      </c>
      <c r="G972" t="s">
        <v>58</v>
      </c>
      <c r="H972">
        <v>10</v>
      </c>
      <c r="I972">
        <v>12</v>
      </c>
      <c r="J972" t="s">
        <v>96</v>
      </c>
      <c r="K972" t="s">
        <v>1764</v>
      </c>
      <c r="L972" t="s">
        <v>60</v>
      </c>
      <c r="M972" t="s">
        <v>778</v>
      </c>
      <c r="N972" t="s">
        <v>71</v>
      </c>
      <c r="O972">
        <v>43</v>
      </c>
      <c r="P972" t="s">
        <v>89</v>
      </c>
      <c r="Q972">
        <v>2315</v>
      </c>
      <c r="R972">
        <v>1000</v>
      </c>
      <c r="S972" t="s">
        <v>90</v>
      </c>
      <c r="T972" t="s">
        <v>51</v>
      </c>
      <c r="U972" t="s">
        <v>39</v>
      </c>
      <c r="V972" t="s">
        <v>52</v>
      </c>
      <c r="W972" t="s">
        <v>52</v>
      </c>
      <c r="X972">
        <v>2024</v>
      </c>
      <c r="Y972" t="s">
        <v>114</v>
      </c>
      <c r="Z972" t="s">
        <v>41</v>
      </c>
    </row>
    <row r="973" spans="1:26">
      <c r="A973" t="s">
        <v>1970</v>
      </c>
      <c r="B973" t="s">
        <v>27</v>
      </c>
      <c r="C973" t="s">
        <v>102</v>
      </c>
      <c r="D973" t="s">
        <v>77</v>
      </c>
      <c r="E973" t="s">
        <v>143</v>
      </c>
      <c r="F973" t="s">
        <v>57</v>
      </c>
      <c r="G973" t="s">
        <v>32</v>
      </c>
      <c r="H973">
        <v>2.7</v>
      </c>
      <c r="I973">
        <v>6.5</v>
      </c>
      <c r="J973" t="s">
        <v>156</v>
      </c>
      <c r="K973" t="s">
        <v>291</v>
      </c>
      <c r="L973" t="s">
        <v>140</v>
      </c>
      <c r="M973" t="s">
        <v>1074</v>
      </c>
      <c r="N973" t="s">
        <v>37</v>
      </c>
      <c r="O973">
        <v>84</v>
      </c>
      <c r="P973" t="s">
        <v>2265</v>
      </c>
      <c r="Q973">
        <v>0</v>
      </c>
      <c r="R973">
        <v>0</v>
      </c>
      <c r="S973" t="s">
        <v>2265</v>
      </c>
      <c r="T973" t="s">
        <v>38</v>
      </c>
      <c r="U973" t="s">
        <v>39</v>
      </c>
      <c r="V973" t="s">
        <v>52</v>
      </c>
      <c r="W973" t="s">
        <v>52</v>
      </c>
      <c r="X973">
        <v>2023</v>
      </c>
      <c r="Y973" t="s">
        <v>128</v>
      </c>
      <c r="Z973" t="s">
        <v>64</v>
      </c>
    </row>
    <row r="974" spans="1:26">
      <c r="A974" t="s">
        <v>1971</v>
      </c>
      <c r="B974" t="s">
        <v>66</v>
      </c>
      <c r="C974" t="s">
        <v>28</v>
      </c>
      <c r="D974" t="s">
        <v>122</v>
      </c>
      <c r="E974" t="s">
        <v>123</v>
      </c>
      <c r="F974" t="s">
        <v>160</v>
      </c>
      <c r="G974" t="s">
        <v>58</v>
      </c>
      <c r="H974">
        <v>11.4</v>
      </c>
      <c r="I974">
        <v>5.7</v>
      </c>
      <c r="J974" t="s">
        <v>33</v>
      </c>
      <c r="K974" t="s">
        <v>1339</v>
      </c>
      <c r="L974" t="s">
        <v>60</v>
      </c>
      <c r="M974" t="s">
        <v>1493</v>
      </c>
      <c r="N974" t="s">
        <v>61</v>
      </c>
      <c r="O974">
        <v>159</v>
      </c>
      <c r="P974" t="s">
        <v>2265</v>
      </c>
      <c r="Q974">
        <v>0</v>
      </c>
      <c r="R974">
        <v>0</v>
      </c>
      <c r="S974" t="s">
        <v>2265</v>
      </c>
      <c r="T974" t="s">
        <v>81</v>
      </c>
      <c r="U974" t="s">
        <v>52</v>
      </c>
      <c r="V974" t="s">
        <v>52</v>
      </c>
      <c r="W974" t="s">
        <v>39</v>
      </c>
      <c r="X974">
        <v>2022</v>
      </c>
      <c r="Y974" t="s">
        <v>82</v>
      </c>
      <c r="Z974" t="s">
        <v>83</v>
      </c>
    </row>
    <row r="975" spans="1:26">
      <c r="A975" t="s">
        <v>1972</v>
      </c>
      <c r="B975" t="s">
        <v>27</v>
      </c>
      <c r="C975" t="s">
        <v>67</v>
      </c>
      <c r="D975" t="s">
        <v>77</v>
      </c>
      <c r="E975" t="s">
        <v>78</v>
      </c>
      <c r="F975" t="s">
        <v>57</v>
      </c>
      <c r="G975" t="s">
        <v>58</v>
      </c>
      <c r="H975">
        <v>3.3</v>
      </c>
      <c r="I975">
        <v>5</v>
      </c>
      <c r="J975" t="s">
        <v>33</v>
      </c>
      <c r="K975" t="s">
        <v>1973</v>
      </c>
      <c r="L975" t="s">
        <v>60</v>
      </c>
      <c r="M975" t="s">
        <v>1900</v>
      </c>
      <c r="N975" t="s">
        <v>71</v>
      </c>
      <c r="O975">
        <v>155</v>
      </c>
      <c r="P975" t="s">
        <v>105</v>
      </c>
      <c r="Q975">
        <v>6915</v>
      </c>
      <c r="R975">
        <v>0</v>
      </c>
      <c r="S975" t="s">
        <v>90</v>
      </c>
      <c r="T975" t="s">
        <v>136</v>
      </c>
      <c r="U975" t="s">
        <v>39</v>
      </c>
      <c r="V975" t="s">
        <v>52</v>
      </c>
      <c r="W975" t="s">
        <v>52</v>
      </c>
      <c r="X975">
        <v>2022</v>
      </c>
      <c r="Y975" t="s">
        <v>53</v>
      </c>
      <c r="Z975" t="s">
        <v>54</v>
      </c>
    </row>
    <row r="976" spans="1:26">
      <c r="A976" t="s">
        <v>1974</v>
      </c>
      <c r="B976" t="s">
        <v>66</v>
      </c>
      <c r="C976" t="s">
        <v>173</v>
      </c>
      <c r="D976" t="s">
        <v>77</v>
      </c>
      <c r="E976" t="s">
        <v>78</v>
      </c>
      <c r="F976" t="s">
        <v>109</v>
      </c>
      <c r="G976" t="s">
        <v>32</v>
      </c>
      <c r="H976">
        <v>8.5</v>
      </c>
      <c r="I976">
        <v>18.100000000000001</v>
      </c>
      <c r="J976" t="s">
        <v>156</v>
      </c>
      <c r="K976" t="s">
        <v>614</v>
      </c>
      <c r="L976" t="s">
        <v>140</v>
      </c>
      <c r="M976" t="s">
        <v>1007</v>
      </c>
      <c r="N976" t="s">
        <v>71</v>
      </c>
      <c r="O976">
        <v>77</v>
      </c>
      <c r="P976" t="s">
        <v>112</v>
      </c>
      <c r="Q976">
        <v>4132</v>
      </c>
      <c r="R976">
        <v>500</v>
      </c>
      <c r="S976" t="s">
        <v>152</v>
      </c>
      <c r="T976" t="s">
        <v>51</v>
      </c>
      <c r="U976" t="s">
        <v>39</v>
      </c>
      <c r="V976" t="s">
        <v>39</v>
      </c>
      <c r="W976" t="s">
        <v>52</v>
      </c>
      <c r="X976">
        <v>2023</v>
      </c>
      <c r="Y976" t="s">
        <v>40</v>
      </c>
      <c r="Z976" t="s">
        <v>41</v>
      </c>
    </row>
    <row r="977" spans="1:26">
      <c r="A977" t="s">
        <v>1975</v>
      </c>
      <c r="B977" t="s">
        <v>116</v>
      </c>
      <c r="C977" t="s">
        <v>76</v>
      </c>
      <c r="D977" t="s">
        <v>29</v>
      </c>
      <c r="E977" t="s">
        <v>244</v>
      </c>
      <c r="F977" t="s">
        <v>238</v>
      </c>
      <c r="G977" t="s">
        <v>58</v>
      </c>
      <c r="H977">
        <v>11.8</v>
      </c>
      <c r="I977">
        <v>1.4</v>
      </c>
      <c r="J977" t="s">
        <v>96</v>
      </c>
      <c r="K977" t="s">
        <v>712</v>
      </c>
      <c r="L977" t="s">
        <v>60</v>
      </c>
      <c r="M977" t="s">
        <v>1472</v>
      </c>
      <c r="N977" t="s">
        <v>100</v>
      </c>
      <c r="O977">
        <v>22</v>
      </c>
      <c r="P977" t="s">
        <v>2265</v>
      </c>
      <c r="Q977">
        <v>0</v>
      </c>
      <c r="R977">
        <v>0</v>
      </c>
      <c r="S977" t="s">
        <v>2265</v>
      </c>
      <c r="T977" t="s">
        <v>51</v>
      </c>
      <c r="U977" t="s">
        <v>39</v>
      </c>
      <c r="V977" t="s">
        <v>52</v>
      </c>
      <c r="W977" t="s">
        <v>52</v>
      </c>
      <c r="X977">
        <v>2022</v>
      </c>
      <c r="Y977" t="s">
        <v>114</v>
      </c>
      <c r="Z977" t="s">
        <v>41</v>
      </c>
    </row>
    <row r="978" spans="1:26">
      <c r="A978" t="s">
        <v>1976</v>
      </c>
      <c r="B978" t="s">
        <v>116</v>
      </c>
      <c r="C978" t="s">
        <v>67</v>
      </c>
      <c r="D978" t="s">
        <v>29</v>
      </c>
      <c r="E978" t="s">
        <v>45</v>
      </c>
      <c r="F978" t="s">
        <v>46</v>
      </c>
      <c r="G978" t="s">
        <v>32</v>
      </c>
      <c r="H978">
        <v>10.4</v>
      </c>
      <c r="I978">
        <v>2.9</v>
      </c>
      <c r="J978" t="s">
        <v>33</v>
      </c>
      <c r="K978" t="s">
        <v>1032</v>
      </c>
      <c r="L978" t="s">
        <v>140</v>
      </c>
      <c r="M978" t="s">
        <v>560</v>
      </c>
      <c r="N978" t="s">
        <v>71</v>
      </c>
      <c r="O978">
        <v>165</v>
      </c>
      <c r="P978" t="s">
        <v>89</v>
      </c>
      <c r="Q978">
        <v>4773</v>
      </c>
      <c r="R978">
        <v>0</v>
      </c>
      <c r="S978" t="s">
        <v>90</v>
      </c>
      <c r="T978" t="s">
        <v>62</v>
      </c>
      <c r="U978" t="s">
        <v>39</v>
      </c>
      <c r="V978" t="s">
        <v>52</v>
      </c>
      <c r="W978" t="s">
        <v>39</v>
      </c>
      <c r="X978">
        <v>2022</v>
      </c>
      <c r="Y978" t="s">
        <v>114</v>
      </c>
      <c r="Z978" t="s">
        <v>41</v>
      </c>
    </row>
    <row r="979" spans="1:26">
      <c r="A979" t="s">
        <v>1977</v>
      </c>
      <c r="B979" t="s">
        <v>66</v>
      </c>
      <c r="C979" t="s">
        <v>121</v>
      </c>
      <c r="D979" t="s">
        <v>29</v>
      </c>
      <c r="E979" t="s">
        <v>56</v>
      </c>
      <c r="F979" t="s">
        <v>68</v>
      </c>
      <c r="G979" t="s">
        <v>32</v>
      </c>
      <c r="H979">
        <v>4.7</v>
      </c>
      <c r="I979">
        <v>21.9</v>
      </c>
      <c r="J979" t="s">
        <v>96</v>
      </c>
      <c r="K979" t="s">
        <v>785</v>
      </c>
      <c r="L979" t="s">
        <v>98</v>
      </c>
      <c r="M979" t="s">
        <v>1477</v>
      </c>
      <c r="N979" t="s">
        <v>100</v>
      </c>
      <c r="O979">
        <v>134</v>
      </c>
      <c r="P979" t="s">
        <v>2265</v>
      </c>
      <c r="Q979">
        <v>0</v>
      </c>
      <c r="R979">
        <v>0</v>
      </c>
      <c r="S979" t="s">
        <v>2265</v>
      </c>
      <c r="T979" t="s">
        <v>81</v>
      </c>
      <c r="U979" t="s">
        <v>52</v>
      </c>
      <c r="V979" t="s">
        <v>52</v>
      </c>
      <c r="W979" t="s">
        <v>52</v>
      </c>
      <c r="X979">
        <v>2023</v>
      </c>
      <c r="Y979" t="s">
        <v>211</v>
      </c>
      <c r="Z979" t="s">
        <v>41</v>
      </c>
    </row>
    <row r="980" spans="1:26">
      <c r="A980" t="s">
        <v>1978</v>
      </c>
      <c r="B980" t="s">
        <v>66</v>
      </c>
      <c r="C980" t="s">
        <v>164</v>
      </c>
      <c r="D980" t="s">
        <v>29</v>
      </c>
      <c r="E980" t="s">
        <v>94</v>
      </c>
      <c r="F980" t="s">
        <v>46</v>
      </c>
      <c r="G980" t="s">
        <v>32</v>
      </c>
      <c r="H980">
        <v>10.199999999999999</v>
      </c>
      <c r="I980">
        <v>34.5</v>
      </c>
      <c r="J980" t="s">
        <v>33</v>
      </c>
      <c r="K980" t="s">
        <v>264</v>
      </c>
      <c r="L980" t="s">
        <v>35</v>
      </c>
      <c r="M980" t="s">
        <v>1979</v>
      </c>
      <c r="N980" t="s">
        <v>71</v>
      </c>
      <c r="O980">
        <v>39</v>
      </c>
      <c r="P980" t="s">
        <v>105</v>
      </c>
      <c r="Q980">
        <v>2031</v>
      </c>
      <c r="R980">
        <v>0</v>
      </c>
      <c r="S980" t="s">
        <v>113</v>
      </c>
      <c r="T980" t="s">
        <v>81</v>
      </c>
      <c r="U980" t="s">
        <v>39</v>
      </c>
      <c r="V980" t="s">
        <v>52</v>
      </c>
      <c r="W980" t="s">
        <v>52</v>
      </c>
      <c r="X980">
        <v>2024</v>
      </c>
      <c r="Y980" t="s">
        <v>74</v>
      </c>
      <c r="Z980" t="s">
        <v>54</v>
      </c>
    </row>
    <row r="981" spans="1:26">
      <c r="A981" t="s">
        <v>1980</v>
      </c>
      <c r="B981" t="s">
        <v>108</v>
      </c>
      <c r="C981" t="s">
        <v>76</v>
      </c>
      <c r="D981" t="s">
        <v>77</v>
      </c>
      <c r="E981" t="s">
        <v>143</v>
      </c>
      <c r="F981" t="s">
        <v>95</v>
      </c>
      <c r="G981" t="s">
        <v>58</v>
      </c>
      <c r="H981">
        <v>3.7</v>
      </c>
      <c r="I981">
        <v>3.7</v>
      </c>
      <c r="J981" t="s">
        <v>144</v>
      </c>
      <c r="K981" t="s">
        <v>1188</v>
      </c>
      <c r="L981" t="s">
        <v>60</v>
      </c>
      <c r="M981" t="s">
        <v>1035</v>
      </c>
      <c r="N981" t="s">
        <v>71</v>
      </c>
      <c r="O981">
        <v>52</v>
      </c>
      <c r="P981" t="s">
        <v>112</v>
      </c>
      <c r="Q981">
        <v>3058</v>
      </c>
      <c r="R981">
        <v>2000</v>
      </c>
      <c r="S981" t="s">
        <v>113</v>
      </c>
      <c r="T981" t="s">
        <v>81</v>
      </c>
      <c r="U981" t="s">
        <v>52</v>
      </c>
      <c r="V981" t="s">
        <v>52</v>
      </c>
      <c r="W981" t="s">
        <v>39</v>
      </c>
      <c r="X981">
        <v>2022</v>
      </c>
      <c r="Y981" t="s">
        <v>114</v>
      </c>
      <c r="Z981" t="s">
        <v>41</v>
      </c>
    </row>
    <row r="982" spans="1:26">
      <c r="A982" t="s">
        <v>1981</v>
      </c>
      <c r="B982" t="s">
        <v>93</v>
      </c>
      <c r="C982" t="s">
        <v>121</v>
      </c>
      <c r="D982" t="s">
        <v>29</v>
      </c>
      <c r="E982" t="s">
        <v>45</v>
      </c>
      <c r="F982" t="s">
        <v>149</v>
      </c>
      <c r="G982" t="s">
        <v>32</v>
      </c>
      <c r="H982">
        <v>2.2000000000000002</v>
      </c>
      <c r="I982">
        <v>6.7</v>
      </c>
      <c r="J982" t="s">
        <v>33</v>
      </c>
      <c r="K982" t="s">
        <v>439</v>
      </c>
      <c r="L982" t="s">
        <v>98</v>
      </c>
      <c r="M982" t="s">
        <v>1982</v>
      </c>
      <c r="N982" t="s">
        <v>71</v>
      </c>
      <c r="O982">
        <v>104</v>
      </c>
      <c r="P982" t="s">
        <v>72</v>
      </c>
      <c r="Q982">
        <v>4224</v>
      </c>
      <c r="R982">
        <v>500</v>
      </c>
      <c r="S982" t="s">
        <v>152</v>
      </c>
      <c r="T982" t="s">
        <v>136</v>
      </c>
      <c r="U982" t="s">
        <v>39</v>
      </c>
      <c r="V982" t="s">
        <v>52</v>
      </c>
      <c r="W982" t="s">
        <v>52</v>
      </c>
      <c r="X982">
        <v>2024</v>
      </c>
      <c r="Y982" t="s">
        <v>211</v>
      </c>
      <c r="Z982" t="s">
        <v>41</v>
      </c>
    </row>
    <row r="983" spans="1:26">
      <c r="A983" t="s">
        <v>1983</v>
      </c>
      <c r="B983" t="s">
        <v>108</v>
      </c>
      <c r="C983" t="s">
        <v>44</v>
      </c>
      <c r="D983" t="s">
        <v>77</v>
      </c>
      <c r="E983" t="s">
        <v>220</v>
      </c>
      <c r="F983" t="s">
        <v>109</v>
      </c>
      <c r="G983" t="s">
        <v>58</v>
      </c>
      <c r="H983">
        <v>9.3000000000000007</v>
      </c>
      <c r="I983">
        <v>23.6</v>
      </c>
      <c r="J983" t="s">
        <v>156</v>
      </c>
      <c r="K983" t="s">
        <v>271</v>
      </c>
      <c r="L983" t="s">
        <v>35</v>
      </c>
      <c r="M983" t="s">
        <v>1650</v>
      </c>
      <c r="N983" t="s">
        <v>71</v>
      </c>
      <c r="O983">
        <v>37</v>
      </c>
      <c r="P983" t="s">
        <v>112</v>
      </c>
      <c r="Q983">
        <v>7185</v>
      </c>
      <c r="R983">
        <v>5000</v>
      </c>
      <c r="S983" t="s">
        <v>73</v>
      </c>
      <c r="T983" t="s">
        <v>62</v>
      </c>
      <c r="U983" t="s">
        <v>39</v>
      </c>
      <c r="V983" t="s">
        <v>52</v>
      </c>
      <c r="W983" t="s">
        <v>52</v>
      </c>
      <c r="X983">
        <v>2023</v>
      </c>
      <c r="Y983" t="s">
        <v>91</v>
      </c>
      <c r="Z983" t="s">
        <v>64</v>
      </c>
    </row>
    <row r="984" spans="1:26">
      <c r="A984" t="s">
        <v>1984</v>
      </c>
      <c r="B984" t="s">
        <v>66</v>
      </c>
      <c r="C984" t="s">
        <v>102</v>
      </c>
      <c r="D984" t="s">
        <v>29</v>
      </c>
      <c r="E984" t="s">
        <v>94</v>
      </c>
      <c r="F984" t="s">
        <v>31</v>
      </c>
      <c r="G984" t="s">
        <v>58</v>
      </c>
      <c r="H984">
        <v>2.7</v>
      </c>
      <c r="I984">
        <v>15.8</v>
      </c>
      <c r="J984" t="s">
        <v>96</v>
      </c>
      <c r="K984" t="s">
        <v>999</v>
      </c>
      <c r="L984" t="s">
        <v>35</v>
      </c>
      <c r="M984" t="s">
        <v>1104</v>
      </c>
      <c r="N984" t="s">
        <v>71</v>
      </c>
      <c r="O984">
        <v>45</v>
      </c>
      <c r="P984" t="s">
        <v>72</v>
      </c>
      <c r="Q984">
        <v>3372</v>
      </c>
      <c r="R984">
        <v>2000</v>
      </c>
      <c r="S984" t="s">
        <v>113</v>
      </c>
      <c r="T984" t="s">
        <v>81</v>
      </c>
      <c r="U984" t="s">
        <v>39</v>
      </c>
      <c r="V984" t="s">
        <v>52</v>
      </c>
      <c r="W984" t="s">
        <v>52</v>
      </c>
      <c r="X984">
        <v>2024</v>
      </c>
      <c r="Y984" t="s">
        <v>211</v>
      </c>
      <c r="Z984" t="s">
        <v>41</v>
      </c>
    </row>
    <row r="985" spans="1:26">
      <c r="A985" t="s">
        <v>1985</v>
      </c>
      <c r="B985" t="s">
        <v>66</v>
      </c>
      <c r="C985" t="s">
        <v>173</v>
      </c>
      <c r="D985" t="s">
        <v>85</v>
      </c>
      <c r="E985" t="s">
        <v>208</v>
      </c>
      <c r="F985" t="s">
        <v>124</v>
      </c>
      <c r="G985" t="s">
        <v>58</v>
      </c>
      <c r="H985">
        <v>7.9</v>
      </c>
      <c r="I985">
        <v>20.7</v>
      </c>
      <c r="J985" t="s">
        <v>33</v>
      </c>
      <c r="K985" t="s">
        <v>694</v>
      </c>
      <c r="L985" t="s">
        <v>48</v>
      </c>
      <c r="M985" t="s">
        <v>1986</v>
      </c>
      <c r="N985" t="s">
        <v>171</v>
      </c>
      <c r="O985">
        <v>110</v>
      </c>
      <c r="P985" t="s">
        <v>2265</v>
      </c>
      <c r="Q985">
        <v>0</v>
      </c>
      <c r="R985">
        <v>0</v>
      </c>
      <c r="S985" t="s">
        <v>2265</v>
      </c>
      <c r="T985" t="s">
        <v>51</v>
      </c>
      <c r="U985" t="s">
        <v>39</v>
      </c>
      <c r="V985" t="s">
        <v>52</v>
      </c>
      <c r="W985" t="s">
        <v>52</v>
      </c>
      <c r="X985">
        <v>2022</v>
      </c>
      <c r="Y985" t="s">
        <v>40</v>
      </c>
      <c r="Z985" t="s">
        <v>41</v>
      </c>
    </row>
    <row r="986" spans="1:26">
      <c r="A986" t="s">
        <v>1987</v>
      </c>
      <c r="B986" t="s">
        <v>66</v>
      </c>
      <c r="C986" t="s">
        <v>121</v>
      </c>
      <c r="D986" t="s">
        <v>77</v>
      </c>
      <c r="E986" t="s">
        <v>363</v>
      </c>
      <c r="F986" t="s">
        <v>149</v>
      </c>
      <c r="G986" t="s">
        <v>58</v>
      </c>
      <c r="H986">
        <v>3.3</v>
      </c>
      <c r="I986">
        <v>4.7</v>
      </c>
      <c r="J986" t="s">
        <v>33</v>
      </c>
      <c r="K986" t="s">
        <v>1708</v>
      </c>
      <c r="L986" t="s">
        <v>126</v>
      </c>
      <c r="M986" t="s">
        <v>1596</v>
      </c>
      <c r="N986" t="s">
        <v>61</v>
      </c>
      <c r="O986">
        <v>143</v>
      </c>
      <c r="P986" t="s">
        <v>2265</v>
      </c>
      <c r="Q986">
        <v>0</v>
      </c>
      <c r="R986">
        <v>0</v>
      </c>
      <c r="S986" t="s">
        <v>2265</v>
      </c>
      <c r="T986" t="s">
        <v>51</v>
      </c>
      <c r="U986" t="s">
        <v>39</v>
      </c>
      <c r="V986" t="s">
        <v>39</v>
      </c>
      <c r="W986" t="s">
        <v>52</v>
      </c>
      <c r="X986">
        <v>2023</v>
      </c>
      <c r="Y986" t="s">
        <v>91</v>
      </c>
      <c r="Z986" t="s">
        <v>64</v>
      </c>
    </row>
    <row r="987" spans="1:26">
      <c r="A987" t="s">
        <v>1988</v>
      </c>
      <c r="B987" t="s">
        <v>27</v>
      </c>
      <c r="C987" t="s">
        <v>121</v>
      </c>
      <c r="D987" t="s">
        <v>29</v>
      </c>
      <c r="E987" t="s">
        <v>195</v>
      </c>
      <c r="F987" t="s">
        <v>238</v>
      </c>
      <c r="G987" t="s">
        <v>58</v>
      </c>
      <c r="H987">
        <v>2.2000000000000002</v>
      </c>
      <c r="I987">
        <v>15.9</v>
      </c>
      <c r="J987" t="s">
        <v>20</v>
      </c>
      <c r="K987" t="s">
        <v>660</v>
      </c>
      <c r="L987" t="s">
        <v>48</v>
      </c>
      <c r="M987" t="s">
        <v>1495</v>
      </c>
      <c r="N987" t="s">
        <v>50</v>
      </c>
      <c r="O987">
        <v>148</v>
      </c>
      <c r="P987" t="s">
        <v>2265</v>
      </c>
      <c r="Q987">
        <v>0</v>
      </c>
      <c r="R987">
        <v>0</v>
      </c>
      <c r="S987" t="s">
        <v>2265</v>
      </c>
      <c r="T987" t="s">
        <v>136</v>
      </c>
      <c r="U987" t="s">
        <v>39</v>
      </c>
      <c r="V987" t="s">
        <v>39</v>
      </c>
      <c r="W987" t="s">
        <v>39</v>
      </c>
      <c r="X987">
        <v>2023</v>
      </c>
      <c r="Y987" t="s">
        <v>153</v>
      </c>
      <c r="Z987" t="s">
        <v>54</v>
      </c>
    </row>
    <row r="988" spans="1:26">
      <c r="A988" t="s">
        <v>1989</v>
      </c>
      <c r="B988" t="s">
        <v>93</v>
      </c>
      <c r="C988" t="s">
        <v>164</v>
      </c>
      <c r="D988" t="s">
        <v>122</v>
      </c>
      <c r="E988" t="s">
        <v>148</v>
      </c>
      <c r="F988" t="s">
        <v>31</v>
      </c>
      <c r="G988" t="s">
        <v>58</v>
      </c>
      <c r="H988">
        <v>2.6</v>
      </c>
      <c r="I988">
        <v>24.9</v>
      </c>
      <c r="J988" t="s">
        <v>33</v>
      </c>
      <c r="K988" t="s">
        <v>926</v>
      </c>
      <c r="L988" t="s">
        <v>48</v>
      </c>
      <c r="M988" t="s">
        <v>670</v>
      </c>
      <c r="N988" t="s">
        <v>50</v>
      </c>
      <c r="O988">
        <v>135</v>
      </c>
      <c r="P988" t="s">
        <v>2265</v>
      </c>
      <c r="Q988">
        <v>0</v>
      </c>
      <c r="R988">
        <v>0</v>
      </c>
      <c r="S988" t="s">
        <v>2265</v>
      </c>
      <c r="T988" t="s">
        <v>38</v>
      </c>
      <c r="U988" t="s">
        <v>39</v>
      </c>
      <c r="V988" t="s">
        <v>39</v>
      </c>
      <c r="W988" t="s">
        <v>52</v>
      </c>
      <c r="X988">
        <v>2024</v>
      </c>
      <c r="Y988" t="s">
        <v>211</v>
      </c>
      <c r="Z988" t="s">
        <v>41</v>
      </c>
    </row>
    <row r="989" spans="1:26">
      <c r="A989" t="s">
        <v>1990</v>
      </c>
      <c r="B989" t="s">
        <v>66</v>
      </c>
      <c r="C989" t="s">
        <v>121</v>
      </c>
      <c r="D989" t="s">
        <v>85</v>
      </c>
      <c r="E989" t="s">
        <v>174</v>
      </c>
      <c r="F989" t="s">
        <v>109</v>
      </c>
      <c r="G989" t="s">
        <v>32</v>
      </c>
      <c r="H989">
        <v>9.1999999999999993</v>
      </c>
      <c r="I989">
        <v>17.399999999999999</v>
      </c>
      <c r="J989" t="s">
        <v>33</v>
      </c>
      <c r="K989" t="s">
        <v>621</v>
      </c>
      <c r="L989" t="s">
        <v>98</v>
      </c>
      <c r="M989" t="s">
        <v>1991</v>
      </c>
      <c r="N989" t="s">
        <v>71</v>
      </c>
      <c r="O989">
        <v>45</v>
      </c>
      <c r="P989" t="s">
        <v>89</v>
      </c>
      <c r="Q989">
        <v>682</v>
      </c>
      <c r="R989">
        <v>0</v>
      </c>
      <c r="S989" t="s">
        <v>152</v>
      </c>
      <c r="T989" t="s">
        <v>62</v>
      </c>
      <c r="U989" t="s">
        <v>39</v>
      </c>
      <c r="V989" t="s">
        <v>39</v>
      </c>
      <c r="W989" t="s">
        <v>52</v>
      </c>
      <c r="X989">
        <v>2023</v>
      </c>
      <c r="Y989" t="s">
        <v>106</v>
      </c>
      <c r="Z989" t="s">
        <v>83</v>
      </c>
    </row>
    <row r="990" spans="1:26">
      <c r="A990" t="s">
        <v>1992</v>
      </c>
      <c r="B990" t="s">
        <v>108</v>
      </c>
      <c r="C990" t="s">
        <v>28</v>
      </c>
      <c r="D990" t="s">
        <v>29</v>
      </c>
      <c r="E990" t="s">
        <v>117</v>
      </c>
      <c r="F990" t="s">
        <v>31</v>
      </c>
      <c r="G990" t="s">
        <v>32</v>
      </c>
      <c r="H990">
        <v>3.4</v>
      </c>
      <c r="I990">
        <v>10.9</v>
      </c>
      <c r="J990" t="s">
        <v>33</v>
      </c>
      <c r="K990" t="s">
        <v>1297</v>
      </c>
      <c r="L990" t="s">
        <v>126</v>
      </c>
      <c r="M990" t="s">
        <v>582</v>
      </c>
      <c r="N990" t="s">
        <v>37</v>
      </c>
      <c r="O990">
        <v>11</v>
      </c>
      <c r="P990" t="s">
        <v>2265</v>
      </c>
      <c r="Q990">
        <v>0</v>
      </c>
      <c r="R990">
        <v>0</v>
      </c>
      <c r="S990" t="s">
        <v>2265</v>
      </c>
      <c r="T990" t="s">
        <v>38</v>
      </c>
      <c r="U990" t="s">
        <v>39</v>
      </c>
      <c r="V990" t="s">
        <v>39</v>
      </c>
      <c r="W990" t="s">
        <v>52</v>
      </c>
      <c r="X990">
        <v>2022</v>
      </c>
      <c r="Y990" t="s">
        <v>53</v>
      </c>
      <c r="Z990" t="s">
        <v>54</v>
      </c>
    </row>
    <row r="991" spans="1:26">
      <c r="A991" t="s">
        <v>1993</v>
      </c>
      <c r="B991" t="s">
        <v>93</v>
      </c>
      <c r="C991" t="s">
        <v>102</v>
      </c>
      <c r="D991" t="s">
        <v>77</v>
      </c>
      <c r="E991" t="s">
        <v>143</v>
      </c>
      <c r="F991" t="s">
        <v>149</v>
      </c>
      <c r="G991" t="s">
        <v>32</v>
      </c>
      <c r="H991">
        <v>4.2</v>
      </c>
      <c r="I991">
        <v>1.3</v>
      </c>
      <c r="J991" t="s">
        <v>156</v>
      </c>
      <c r="K991" t="s">
        <v>1994</v>
      </c>
      <c r="L991" t="s">
        <v>98</v>
      </c>
      <c r="M991" t="s">
        <v>887</v>
      </c>
      <c r="N991" t="s">
        <v>71</v>
      </c>
      <c r="O991">
        <v>39</v>
      </c>
      <c r="P991" t="s">
        <v>105</v>
      </c>
      <c r="Q991">
        <v>7807</v>
      </c>
      <c r="R991">
        <v>2000</v>
      </c>
      <c r="S991" t="s">
        <v>113</v>
      </c>
      <c r="T991" t="s">
        <v>38</v>
      </c>
      <c r="U991" t="s">
        <v>39</v>
      </c>
      <c r="V991" t="s">
        <v>39</v>
      </c>
      <c r="W991" t="s">
        <v>52</v>
      </c>
      <c r="X991">
        <v>2022</v>
      </c>
      <c r="Y991" t="s">
        <v>82</v>
      </c>
      <c r="Z991" t="s">
        <v>83</v>
      </c>
    </row>
    <row r="992" spans="1:26">
      <c r="A992" t="s">
        <v>1995</v>
      </c>
      <c r="B992" t="s">
        <v>108</v>
      </c>
      <c r="C992" t="s">
        <v>76</v>
      </c>
      <c r="D992" t="s">
        <v>77</v>
      </c>
      <c r="E992" t="s">
        <v>143</v>
      </c>
      <c r="F992" t="s">
        <v>68</v>
      </c>
      <c r="G992" t="s">
        <v>58</v>
      </c>
      <c r="H992">
        <v>7.3</v>
      </c>
      <c r="I992">
        <v>4.5</v>
      </c>
      <c r="J992" t="s">
        <v>33</v>
      </c>
      <c r="K992" t="s">
        <v>1991</v>
      </c>
      <c r="L992" t="s">
        <v>48</v>
      </c>
      <c r="M992" t="s">
        <v>1996</v>
      </c>
      <c r="N992" t="s">
        <v>50</v>
      </c>
      <c r="O992">
        <v>176</v>
      </c>
      <c r="P992" t="s">
        <v>2265</v>
      </c>
      <c r="Q992">
        <v>0</v>
      </c>
      <c r="R992">
        <v>0</v>
      </c>
      <c r="S992" t="s">
        <v>2265</v>
      </c>
      <c r="T992" t="s">
        <v>81</v>
      </c>
      <c r="U992" t="s">
        <v>39</v>
      </c>
      <c r="V992" t="s">
        <v>52</v>
      </c>
      <c r="W992" t="s">
        <v>52</v>
      </c>
      <c r="X992">
        <v>2023</v>
      </c>
      <c r="Y992" t="s">
        <v>312</v>
      </c>
      <c r="Z992" t="s">
        <v>83</v>
      </c>
    </row>
    <row r="993" spans="1:26">
      <c r="A993" t="s">
        <v>1997</v>
      </c>
      <c r="B993" t="s">
        <v>116</v>
      </c>
      <c r="C993" t="s">
        <v>44</v>
      </c>
      <c r="D993" t="s">
        <v>85</v>
      </c>
      <c r="E993" t="s">
        <v>86</v>
      </c>
      <c r="F993" t="s">
        <v>57</v>
      </c>
      <c r="G993" t="s">
        <v>58</v>
      </c>
      <c r="H993">
        <v>9</v>
      </c>
      <c r="I993">
        <v>3.6</v>
      </c>
      <c r="J993" t="s">
        <v>33</v>
      </c>
      <c r="K993" t="s">
        <v>1455</v>
      </c>
      <c r="L993" t="s">
        <v>48</v>
      </c>
      <c r="M993" t="s">
        <v>443</v>
      </c>
      <c r="N993" t="s">
        <v>71</v>
      </c>
      <c r="O993">
        <v>14</v>
      </c>
      <c r="P993" t="s">
        <v>230</v>
      </c>
      <c r="Q993">
        <v>2981</v>
      </c>
      <c r="R993">
        <v>5000</v>
      </c>
      <c r="S993" t="s">
        <v>73</v>
      </c>
      <c r="T993" t="s">
        <v>62</v>
      </c>
      <c r="U993" t="s">
        <v>39</v>
      </c>
      <c r="V993" t="s">
        <v>52</v>
      </c>
      <c r="W993" t="s">
        <v>52</v>
      </c>
      <c r="X993">
        <v>2022</v>
      </c>
      <c r="Y993" t="s">
        <v>91</v>
      </c>
      <c r="Z993" t="s">
        <v>64</v>
      </c>
    </row>
    <row r="994" spans="1:26">
      <c r="A994" t="s">
        <v>1998</v>
      </c>
      <c r="B994" t="s">
        <v>108</v>
      </c>
      <c r="C994" t="s">
        <v>44</v>
      </c>
      <c r="D994" t="s">
        <v>122</v>
      </c>
      <c r="E994" t="s">
        <v>202</v>
      </c>
      <c r="F994" t="s">
        <v>46</v>
      </c>
      <c r="G994" t="s">
        <v>58</v>
      </c>
      <c r="H994">
        <v>0.5</v>
      </c>
      <c r="I994">
        <v>20.2</v>
      </c>
      <c r="J994" t="s">
        <v>20</v>
      </c>
      <c r="K994" t="s">
        <v>1524</v>
      </c>
      <c r="L994" t="s">
        <v>35</v>
      </c>
      <c r="M994" t="s">
        <v>999</v>
      </c>
      <c r="N994" t="s">
        <v>37</v>
      </c>
      <c r="O994">
        <v>64</v>
      </c>
      <c r="P994" t="s">
        <v>2265</v>
      </c>
      <c r="Q994">
        <v>0</v>
      </c>
      <c r="R994">
        <v>0</v>
      </c>
      <c r="S994" t="s">
        <v>2265</v>
      </c>
      <c r="T994" t="s">
        <v>81</v>
      </c>
      <c r="U994" t="s">
        <v>52</v>
      </c>
      <c r="V994" t="s">
        <v>52</v>
      </c>
      <c r="W994" t="s">
        <v>52</v>
      </c>
      <c r="X994">
        <v>2024</v>
      </c>
      <c r="Y994" t="s">
        <v>153</v>
      </c>
      <c r="Z994" t="s">
        <v>54</v>
      </c>
    </row>
    <row r="995" spans="1:26">
      <c r="A995" t="s">
        <v>1999</v>
      </c>
      <c r="B995" t="s">
        <v>66</v>
      </c>
      <c r="C995" t="s">
        <v>44</v>
      </c>
      <c r="D995" t="s">
        <v>29</v>
      </c>
      <c r="E995" t="s">
        <v>30</v>
      </c>
      <c r="F995" t="s">
        <v>109</v>
      </c>
      <c r="G995" t="s">
        <v>58</v>
      </c>
      <c r="H995">
        <v>3.5</v>
      </c>
      <c r="I995">
        <v>27.7</v>
      </c>
      <c r="J995" t="s">
        <v>33</v>
      </c>
      <c r="K995" t="s">
        <v>707</v>
      </c>
      <c r="L995" t="s">
        <v>35</v>
      </c>
      <c r="M995" t="s">
        <v>835</v>
      </c>
      <c r="N995" t="s">
        <v>71</v>
      </c>
      <c r="O995">
        <v>73</v>
      </c>
      <c r="P995" t="s">
        <v>105</v>
      </c>
      <c r="Q995">
        <v>1911</v>
      </c>
      <c r="R995">
        <v>0</v>
      </c>
      <c r="S995" t="s">
        <v>152</v>
      </c>
      <c r="T995" t="s">
        <v>81</v>
      </c>
      <c r="U995" t="s">
        <v>39</v>
      </c>
      <c r="V995" t="s">
        <v>52</v>
      </c>
      <c r="W995" t="s">
        <v>52</v>
      </c>
      <c r="X995">
        <v>2022</v>
      </c>
      <c r="Y995" t="s">
        <v>128</v>
      </c>
      <c r="Z995" t="s">
        <v>64</v>
      </c>
    </row>
    <row r="996" spans="1:26">
      <c r="A996" t="s">
        <v>2000</v>
      </c>
      <c r="B996" t="s">
        <v>108</v>
      </c>
      <c r="C996" t="s">
        <v>28</v>
      </c>
      <c r="D996" t="s">
        <v>85</v>
      </c>
      <c r="E996" t="s">
        <v>208</v>
      </c>
      <c r="F996" t="s">
        <v>238</v>
      </c>
      <c r="G996" t="s">
        <v>58</v>
      </c>
      <c r="H996">
        <v>11.9</v>
      </c>
      <c r="I996">
        <v>12.6</v>
      </c>
      <c r="J996" t="s">
        <v>156</v>
      </c>
      <c r="K996" t="s">
        <v>1489</v>
      </c>
      <c r="L996" t="s">
        <v>98</v>
      </c>
      <c r="M996" t="s">
        <v>1742</v>
      </c>
      <c r="N996" t="s">
        <v>37</v>
      </c>
      <c r="O996">
        <v>152</v>
      </c>
      <c r="P996" t="s">
        <v>2265</v>
      </c>
      <c r="Q996">
        <v>0</v>
      </c>
      <c r="R996">
        <v>500</v>
      </c>
      <c r="S996" t="s">
        <v>2265</v>
      </c>
      <c r="T996" t="s">
        <v>62</v>
      </c>
      <c r="U996" t="s">
        <v>39</v>
      </c>
      <c r="V996" t="s">
        <v>39</v>
      </c>
      <c r="W996" t="s">
        <v>52</v>
      </c>
      <c r="X996">
        <v>2022</v>
      </c>
      <c r="Y996" t="s">
        <v>82</v>
      </c>
      <c r="Z996" t="s">
        <v>83</v>
      </c>
    </row>
    <row r="997" spans="1:26">
      <c r="A997" t="s">
        <v>2001</v>
      </c>
      <c r="B997" t="s">
        <v>27</v>
      </c>
      <c r="C997" t="s">
        <v>67</v>
      </c>
      <c r="D997" t="s">
        <v>77</v>
      </c>
      <c r="E997" t="s">
        <v>143</v>
      </c>
      <c r="F997" t="s">
        <v>109</v>
      </c>
      <c r="G997" t="s">
        <v>32</v>
      </c>
      <c r="H997">
        <v>2.4</v>
      </c>
      <c r="I997">
        <v>32.799999999999997</v>
      </c>
      <c r="J997" t="s">
        <v>144</v>
      </c>
      <c r="K997" t="s">
        <v>1307</v>
      </c>
      <c r="L997" t="s">
        <v>60</v>
      </c>
      <c r="M997" t="s">
        <v>1462</v>
      </c>
      <c r="N997" t="s">
        <v>71</v>
      </c>
      <c r="O997">
        <v>117</v>
      </c>
      <c r="P997" t="s">
        <v>89</v>
      </c>
      <c r="Q997">
        <v>4162</v>
      </c>
      <c r="R997">
        <v>0</v>
      </c>
      <c r="S997" t="s">
        <v>113</v>
      </c>
      <c r="T997" t="s">
        <v>38</v>
      </c>
      <c r="U997" t="s">
        <v>39</v>
      </c>
      <c r="V997" t="s">
        <v>39</v>
      </c>
      <c r="W997" t="s">
        <v>52</v>
      </c>
      <c r="X997">
        <v>2023</v>
      </c>
      <c r="Y997" t="s">
        <v>74</v>
      </c>
      <c r="Z997" t="s">
        <v>54</v>
      </c>
    </row>
    <row r="998" spans="1:26">
      <c r="A998" t="s">
        <v>2002</v>
      </c>
      <c r="B998" t="s">
        <v>108</v>
      </c>
      <c r="C998" t="s">
        <v>102</v>
      </c>
      <c r="D998" t="s">
        <v>77</v>
      </c>
      <c r="E998" t="s">
        <v>216</v>
      </c>
      <c r="F998" t="s">
        <v>109</v>
      </c>
      <c r="G998" t="s">
        <v>32</v>
      </c>
      <c r="H998">
        <v>1.6</v>
      </c>
      <c r="I998">
        <v>21.7</v>
      </c>
      <c r="J998" t="s">
        <v>33</v>
      </c>
      <c r="K998" t="s">
        <v>2003</v>
      </c>
      <c r="L998" t="s">
        <v>35</v>
      </c>
      <c r="M998" t="s">
        <v>1271</v>
      </c>
      <c r="N998" t="s">
        <v>100</v>
      </c>
      <c r="O998">
        <v>14</v>
      </c>
      <c r="P998" t="s">
        <v>2265</v>
      </c>
      <c r="Q998">
        <v>0</v>
      </c>
      <c r="R998">
        <v>0</v>
      </c>
      <c r="S998" t="s">
        <v>2265</v>
      </c>
      <c r="T998" t="s">
        <v>81</v>
      </c>
      <c r="U998" t="s">
        <v>39</v>
      </c>
      <c r="V998" t="s">
        <v>52</v>
      </c>
      <c r="W998" t="s">
        <v>39</v>
      </c>
      <c r="X998">
        <v>2024</v>
      </c>
      <c r="Y998" t="s">
        <v>114</v>
      </c>
      <c r="Z998" t="s">
        <v>41</v>
      </c>
    </row>
    <row r="999" spans="1:26">
      <c r="A999" t="s">
        <v>2004</v>
      </c>
      <c r="B999" t="s">
        <v>66</v>
      </c>
      <c r="C999" t="s">
        <v>28</v>
      </c>
      <c r="D999" t="s">
        <v>85</v>
      </c>
      <c r="E999" t="s">
        <v>86</v>
      </c>
      <c r="F999" t="s">
        <v>46</v>
      </c>
      <c r="G999" t="s">
        <v>32</v>
      </c>
      <c r="H999">
        <v>1.6</v>
      </c>
      <c r="I999">
        <v>10.199999999999999</v>
      </c>
      <c r="J999" t="s">
        <v>33</v>
      </c>
      <c r="K999" t="s">
        <v>2005</v>
      </c>
      <c r="L999" t="s">
        <v>48</v>
      </c>
      <c r="M999" t="s">
        <v>409</v>
      </c>
      <c r="N999" t="s">
        <v>37</v>
      </c>
      <c r="O999">
        <v>106</v>
      </c>
      <c r="P999" t="s">
        <v>2265</v>
      </c>
      <c r="Q999">
        <v>0</v>
      </c>
      <c r="R999">
        <v>0</v>
      </c>
      <c r="S999" t="s">
        <v>2265</v>
      </c>
      <c r="T999" t="s">
        <v>38</v>
      </c>
      <c r="U999" t="s">
        <v>39</v>
      </c>
      <c r="V999" t="s">
        <v>52</v>
      </c>
      <c r="W999" t="s">
        <v>52</v>
      </c>
      <c r="X999">
        <v>2022</v>
      </c>
      <c r="Y999" t="s">
        <v>82</v>
      </c>
      <c r="Z999" t="s">
        <v>83</v>
      </c>
    </row>
    <row r="1000" spans="1:26">
      <c r="A1000" t="s">
        <v>2006</v>
      </c>
      <c r="B1000" t="s">
        <v>66</v>
      </c>
      <c r="C1000" t="s">
        <v>121</v>
      </c>
      <c r="D1000" t="s">
        <v>77</v>
      </c>
      <c r="E1000" t="s">
        <v>363</v>
      </c>
      <c r="F1000" t="s">
        <v>46</v>
      </c>
      <c r="G1000" t="s">
        <v>32</v>
      </c>
      <c r="H1000">
        <v>11.5</v>
      </c>
      <c r="I1000">
        <v>20</v>
      </c>
      <c r="J1000" t="s">
        <v>96</v>
      </c>
      <c r="K1000" t="s">
        <v>1652</v>
      </c>
      <c r="L1000" t="s">
        <v>60</v>
      </c>
      <c r="M1000" t="s">
        <v>602</v>
      </c>
      <c r="N1000" t="s">
        <v>71</v>
      </c>
      <c r="O1000">
        <v>32</v>
      </c>
      <c r="P1000" t="s">
        <v>105</v>
      </c>
      <c r="Q1000">
        <v>5975</v>
      </c>
      <c r="R1000">
        <v>500</v>
      </c>
      <c r="S1000" t="s">
        <v>73</v>
      </c>
      <c r="T1000" t="s">
        <v>51</v>
      </c>
      <c r="U1000" t="s">
        <v>52</v>
      </c>
      <c r="V1000" t="s">
        <v>52</v>
      </c>
      <c r="W1000" t="s">
        <v>52</v>
      </c>
      <c r="X1000">
        <v>2022</v>
      </c>
      <c r="Y1000" t="s">
        <v>53</v>
      </c>
      <c r="Z1000" t="s">
        <v>54</v>
      </c>
    </row>
    <row r="1001" spans="1:26">
      <c r="A1001" t="s">
        <v>2007</v>
      </c>
      <c r="B1001" t="s">
        <v>93</v>
      </c>
      <c r="C1001" t="s">
        <v>121</v>
      </c>
      <c r="D1001" t="s">
        <v>122</v>
      </c>
      <c r="E1001" t="s">
        <v>155</v>
      </c>
      <c r="F1001" t="s">
        <v>57</v>
      </c>
      <c r="G1001" t="s">
        <v>58</v>
      </c>
      <c r="H1001">
        <v>5.8</v>
      </c>
      <c r="I1001">
        <v>4.2</v>
      </c>
      <c r="J1001" t="s">
        <v>33</v>
      </c>
      <c r="K1001" t="s">
        <v>196</v>
      </c>
      <c r="L1001" t="s">
        <v>35</v>
      </c>
      <c r="M1001" t="s">
        <v>1753</v>
      </c>
      <c r="N1001" t="s">
        <v>37</v>
      </c>
      <c r="O1001">
        <v>45</v>
      </c>
      <c r="P1001" t="s">
        <v>2265</v>
      </c>
      <c r="Q1001">
        <v>0</v>
      </c>
      <c r="R1001">
        <v>500</v>
      </c>
      <c r="S1001" t="s">
        <v>2265</v>
      </c>
      <c r="T1001" t="s">
        <v>62</v>
      </c>
      <c r="U1001" t="s">
        <v>39</v>
      </c>
      <c r="V1001" t="s">
        <v>39</v>
      </c>
      <c r="W1001" t="s">
        <v>39</v>
      </c>
      <c r="X1001">
        <v>2024</v>
      </c>
      <c r="Y1001" t="s">
        <v>53</v>
      </c>
      <c r="Z1001" t="s">
        <v>54</v>
      </c>
    </row>
    <row r="1002" spans="1:26">
      <c r="A1002" t="s">
        <v>2008</v>
      </c>
      <c r="B1002" t="s">
        <v>116</v>
      </c>
      <c r="C1002" t="s">
        <v>121</v>
      </c>
      <c r="D1002" t="s">
        <v>77</v>
      </c>
      <c r="E1002" t="s">
        <v>363</v>
      </c>
      <c r="F1002" t="s">
        <v>68</v>
      </c>
      <c r="G1002" t="s">
        <v>32</v>
      </c>
      <c r="H1002">
        <v>5.4</v>
      </c>
      <c r="I1002">
        <v>10</v>
      </c>
      <c r="J1002" t="s">
        <v>20</v>
      </c>
      <c r="K1002" t="s">
        <v>2009</v>
      </c>
      <c r="L1002" t="s">
        <v>35</v>
      </c>
      <c r="M1002" t="s">
        <v>1498</v>
      </c>
      <c r="N1002" t="s">
        <v>37</v>
      </c>
      <c r="O1002">
        <v>106</v>
      </c>
      <c r="P1002" t="s">
        <v>2265</v>
      </c>
      <c r="Q1002">
        <v>0</v>
      </c>
      <c r="R1002">
        <v>0</v>
      </c>
      <c r="S1002" t="s">
        <v>2265</v>
      </c>
      <c r="T1002" t="s">
        <v>62</v>
      </c>
      <c r="U1002" t="s">
        <v>39</v>
      </c>
      <c r="V1002" t="s">
        <v>52</v>
      </c>
      <c r="W1002" t="s">
        <v>39</v>
      </c>
      <c r="X1002">
        <v>2022</v>
      </c>
      <c r="Y1002" t="s">
        <v>82</v>
      </c>
      <c r="Z1002" t="s">
        <v>83</v>
      </c>
    </row>
    <row r="1003" spans="1:26">
      <c r="A1003" t="s">
        <v>2010</v>
      </c>
      <c r="B1003" t="s">
        <v>43</v>
      </c>
      <c r="C1003" t="s">
        <v>76</v>
      </c>
      <c r="D1003" t="s">
        <v>122</v>
      </c>
      <c r="E1003" t="s">
        <v>130</v>
      </c>
      <c r="F1003" t="s">
        <v>57</v>
      </c>
      <c r="G1003" t="s">
        <v>32</v>
      </c>
      <c r="H1003">
        <v>8.5</v>
      </c>
      <c r="I1003">
        <v>16.5</v>
      </c>
      <c r="J1003" t="s">
        <v>33</v>
      </c>
      <c r="K1003" t="s">
        <v>1447</v>
      </c>
      <c r="L1003" t="s">
        <v>48</v>
      </c>
      <c r="M1003" t="s">
        <v>1245</v>
      </c>
      <c r="N1003" t="s">
        <v>71</v>
      </c>
      <c r="O1003">
        <v>38</v>
      </c>
      <c r="P1003" t="s">
        <v>230</v>
      </c>
      <c r="Q1003">
        <v>943</v>
      </c>
      <c r="R1003">
        <v>0</v>
      </c>
      <c r="S1003" t="s">
        <v>90</v>
      </c>
      <c r="T1003" t="s">
        <v>81</v>
      </c>
      <c r="U1003" t="s">
        <v>39</v>
      </c>
      <c r="V1003" t="s">
        <v>39</v>
      </c>
      <c r="W1003" t="s">
        <v>39</v>
      </c>
      <c r="X1003">
        <v>2022</v>
      </c>
      <c r="Y1003" t="s">
        <v>211</v>
      </c>
      <c r="Z1003" t="s">
        <v>41</v>
      </c>
    </row>
    <row r="1004" spans="1:26">
      <c r="A1004" t="s">
        <v>2011</v>
      </c>
      <c r="B1004" t="s">
        <v>116</v>
      </c>
      <c r="C1004" t="s">
        <v>102</v>
      </c>
      <c r="D1004" t="s">
        <v>29</v>
      </c>
      <c r="E1004" t="s">
        <v>56</v>
      </c>
      <c r="F1004" t="s">
        <v>238</v>
      </c>
      <c r="G1004" t="s">
        <v>58</v>
      </c>
      <c r="H1004">
        <v>2.5</v>
      </c>
      <c r="I1004">
        <v>14.3</v>
      </c>
      <c r="J1004" t="s">
        <v>20</v>
      </c>
      <c r="K1004" t="s">
        <v>1616</v>
      </c>
      <c r="L1004" t="s">
        <v>126</v>
      </c>
      <c r="M1004" t="s">
        <v>127</v>
      </c>
      <c r="N1004" t="s">
        <v>50</v>
      </c>
      <c r="O1004">
        <v>71</v>
      </c>
      <c r="P1004" t="s">
        <v>2265</v>
      </c>
      <c r="Q1004">
        <v>0</v>
      </c>
      <c r="R1004">
        <v>500</v>
      </c>
      <c r="S1004" t="s">
        <v>2265</v>
      </c>
      <c r="T1004" t="s">
        <v>81</v>
      </c>
      <c r="U1004" t="s">
        <v>39</v>
      </c>
      <c r="V1004" t="s">
        <v>52</v>
      </c>
      <c r="W1004" t="s">
        <v>52</v>
      </c>
      <c r="X1004">
        <v>2024</v>
      </c>
      <c r="Y1004" t="s">
        <v>63</v>
      </c>
      <c r="Z1004" t="s">
        <v>64</v>
      </c>
    </row>
    <row r="1005" spans="1:26">
      <c r="A1005" t="s">
        <v>2012</v>
      </c>
      <c r="B1005" t="s">
        <v>27</v>
      </c>
      <c r="C1005" t="s">
        <v>76</v>
      </c>
      <c r="D1005" t="s">
        <v>77</v>
      </c>
      <c r="E1005" t="s">
        <v>94</v>
      </c>
      <c r="F1005" t="s">
        <v>46</v>
      </c>
      <c r="G1005" t="s">
        <v>58</v>
      </c>
      <c r="H1005">
        <v>6</v>
      </c>
      <c r="I1005">
        <v>7.6</v>
      </c>
      <c r="J1005" t="s">
        <v>156</v>
      </c>
      <c r="K1005" t="s">
        <v>1526</v>
      </c>
      <c r="L1005" t="s">
        <v>48</v>
      </c>
      <c r="M1005" t="s">
        <v>475</v>
      </c>
      <c r="N1005" t="s">
        <v>61</v>
      </c>
      <c r="O1005">
        <v>153</v>
      </c>
      <c r="P1005" t="s">
        <v>2265</v>
      </c>
      <c r="Q1005">
        <v>0</v>
      </c>
      <c r="R1005">
        <v>0</v>
      </c>
      <c r="S1005" t="s">
        <v>2265</v>
      </c>
      <c r="T1005" t="s">
        <v>62</v>
      </c>
      <c r="U1005" t="s">
        <v>52</v>
      </c>
      <c r="V1005" t="s">
        <v>39</v>
      </c>
      <c r="W1005" t="s">
        <v>52</v>
      </c>
      <c r="X1005">
        <v>2024</v>
      </c>
      <c r="Y1005" t="s">
        <v>53</v>
      </c>
      <c r="Z1005" t="s">
        <v>54</v>
      </c>
    </row>
    <row r="1006" spans="1:26">
      <c r="A1006" t="s">
        <v>2013</v>
      </c>
      <c r="B1006" t="s">
        <v>27</v>
      </c>
      <c r="C1006" t="s">
        <v>28</v>
      </c>
      <c r="D1006" t="s">
        <v>29</v>
      </c>
      <c r="E1006" t="s">
        <v>195</v>
      </c>
      <c r="F1006" t="s">
        <v>109</v>
      </c>
      <c r="G1006" t="s">
        <v>58</v>
      </c>
      <c r="H1006">
        <v>9.9</v>
      </c>
      <c r="I1006">
        <v>3.2</v>
      </c>
      <c r="J1006" t="s">
        <v>96</v>
      </c>
      <c r="K1006" t="s">
        <v>1149</v>
      </c>
      <c r="L1006" t="s">
        <v>48</v>
      </c>
      <c r="M1006" t="s">
        <v>139</v>
      </c>
      <c r="N1006" t="s">
        <v>100</v>
      </c>
      <c r="O1006">
        <v>101</v>
      </c>
      <c r="P1006" t="s">
        <v>2265</v>
      </c>
      <c r="Q1006">
        <v>0</v>
      </c>
      <c r="R1006">
        <v>0</v>
      </c>
      <c r="S1006" t="s">
        <v>2265</v>
      </c>
      <c r="T1006" t="s">
        <v>136</v>
      </c>
      <c r="U1006" t="s">
        <v>39</v>
      </c>
      <c r="V1006" t="s">
        <v>39</v>
      </c>
      <c r="W1006" t="s">
        <v>39</v>
      </c>
      <c r="X1006">
        <v>2024</v>
      </c>
      <c r="Y1006" t="s">
        <v>153</v>
      </c>
      <c r="Z1006" t="s">
        <v>54</v>
      </c>
    </row>
    <row r="1007" spans="1:26">
      <c r="A1007" t="s">
        <v>2014</v>
      </c>
      <c r="B1007" t="s">
        <v>116</v>
      </c>
      <c r="C1007" t="s">
        <v>28</v>
      </c>
      <c r="D1007" t="s">
        <v>29</v>
      </c>
      <c r="E1007" t="s">
        <v>117</v>
      </c>
      <c r="F1007" t="s">
        <v>238</v>
      </c>
      <c r="G1007" t="s">
        <v>32</v>
      </c>
      <c r="H1007">
        <v>7.6</v>
      </c>
      <c r="I1007">
        <v>1.4</v>
      </c>
      <c r="J1007" t="s">
        <v>20</v>
      </c>
      <c r="K1007" t="s">
        <v>598</v>
      </c>
      <c r="L1007" t="s">
        <v>126</v>
      </c>
      <c r="M1007" t="s">
        <v>2015</v>
      </c>
      <c r="N1007" t="s">
        <v>71</v>
      </c>
      <c r="O1007">
        <v>109</v>
      </c>
      <c r="P1007" t="s">
        <v>112</v>
      </c>
      <c r="Q1007">
        <v>2772</v>
      </c>
      <c r="R1007">
        <v>0</v>
      </c>
      <c r="S1007" t="s">
        <v>73</v>
      </c>
      <c r="T1007" t="s">
        <v>51</v>
      </c>
      <c r="U1007" t="s">
        <v>39</v>
      </c>
      <c r="V1007" t="s">
        <v>39</v>
      </c>
      <c r="W1007" t="s">
        <v>52</v>
      </c>
      <c r="X1007">
        <v>2024</v>
      </c>
      <c r="Y1007" t="s">
        <v>74</v>
      </c>
      <c r="Z1007" t="s">
        <v>54</v>
      </c>
    </row>
    <row r="1008" spans="1:26">
      <c r="A1008" t="s">
        <v>2016</v>
      </c>
      <c r="B1008" t="s">
        <v>66</v>
      </c>
      <c r="C1008" t="s">
        <v>28</v>
      </c>
      <c r="D1008" t="s">
        <v>77</v>
      </c>
      <c r="E1008" t="s">
        <v>363</v>
      </c>
      <c r="F1008" t="s">
        <v>46</v>
      </c>
      <c r="G1008" t="s">
        <v>58</v>
      </c>
      <c r="H1008">
        <v>6.9</v>
      </c>
      <c r="I1008">
        <v>11.4</v>
      </c>
      <c r="J1008" t="s">
        <v>33</v>
      </c>
      <c r="K1008" t="s">
        <v>145</v>
      </c>
      <c r="L1008" t="s">
        <v>60</v>
      </c>
      <c r="M1008" t="s">
        <v>1214</v>
      </c>
      <c r="N1008" t="s">
        <v>61</v>
      </c>
      <c r="O1008">
        <v>145</v>
      </c>
      <c r="P1008" t="s">
        <v>2265</v>
      </c>
      <c r="Q1008">
        <v>0</v>
      </c>
      <c r="R1008">
        <v>0</v>
      </c>
      <c r="S1008" t="s">
        <v>2265</v>
      </c>
      <c r="T1008" t="s">
        <v>62</v>
      </c>
      <c r="U1008" t="s">
        <v>39</v>
      </c>
      <c r="V1008" t="s">
        <v>52</v>
      </c>
      <c r="W1008" t="s">
        <v>52</v>
      </c>
      <c r="X1008">
        <v>2022</v>
      </c>
      <c r="Y1008" t="s">
        <v>53</v>
      </c>
      <c r="Z1008" t="s">
        <v>54</v>
      </c>
    </row>
    <row r="1009" spans="1:26">
      <c r="A1009" t="s">
        <v>2017</v>
      </c>
      <c r="B1009" t="s">
        <v>27</v>
      </c>
      <c r="C1009" t="s">
        <v>121</v>
      </c>
      <c r="D1009" t="s">
        <v>77</v>
      </c>
      <c r="E1009" t="s">
        <v>78</v>
      </c>
      <c r="F1009" t="s">
        <v>95</v>
      </c>
      <c r="G1009" t="s">
        <v>32</v>
      </c>
      <c r="H1009">
        <v>7.8</v>
      </c>
      <c r="I1009">
        <v>7.4</v>
      </c>
      <c r="J1009" t="s">
        <v>144</v>
      </c>
      <c r="K1009" t="s">
        <v>612</v>
      </c>
      <c r="L1009" t="s">
        <v>140</v>
      </c>
      <c r="M1009" t="s">
        <v>461</v>
      </c>
      <c r="N1009" t="s">
        <v>50</v>
      </c>
      <c r="O1009">
        <v>156</v>
      </c>
      <c r="P1009" t="s">
        <v>2265</v>
      </c>
      <c r="Q1009">
        <v>0</v>
      </c>
      <c r="R1009">
        <v>0</v>
      </c>
      <c r="S1009" t="s">
        <v>2265</v>
      </c>
      <c r="T1009" t="s">
        <v>62</v>
      </c>
      <c r="U1009" t="s">
        <v>39</v>
      </c>
      <c r="V1009" t="s">
        <v>39</v>
      </c>
      <c r="W1009" t="s">
        <v>52</v>
      </c>
      <c r="X1009">
        <v>2024</v>
      </c>
      <c r="Y1009" t="s">
        <v>312</v>
      </c>
      <c r="Z1009" t="s">
        <v>83</v>
      </c>
    </row>
    <row r="1010" spans="1:26">
      <c r="A1010" t="s">
        <v>2018</v>
      </c>
      <c r="B1010" t="s">
        <v>27</v>
      </c>
      <c r="C1010" t="s">
        <v>173</v>
      </c>
      <c r="D1010" t="s">
        <v>85</v>
      </c>
      <c r="E1010" t="s">
        <v>174</v>
      </c>
      <c r="F1010" t="s">
        <v>124</v>
      </c>
      <c r="G1010" t="s">
        <v>58</v>
      </c>
      <c r="H1010">
        <v>11.4</v>
      </c>
      <c r="I1010">
        <v>17.2</v>
      </c>
      <c r="J1010" t="s">
        <v>96</v>
      </c>
      <c r="K1010" t="s">
        <v>499</v>
      </c>
      <c r="L1010" t="s">
        <v>48</v>
      </c>
      <c r="M1010" t="s">
        <v>88</v>
      </c>
      <c r="N1010" t="s">
        <v>50</v>
      </c>
      <c r="O1010">
        <v>56</v>
      </c>
      <c r="P1010" t="s">
        <v>2265</v>
      </c>
      <c r="Q1010">
        <v>0</v>
      </c>
      <c r="R1010">
        <v>500</v>
      </c>
      <c r="S1010" t="s">
        <v>2265</v>
      </c>
      <c r="T1010" t="s">
        <v>51</v>
      </c>
      <c r="U1010" t="s">
        <v>52</v>
      </c>
      <c r="V1010" t="s">
        <v>39</v>
      </c>
      <c r="W1010" t="s">
        <v>52</v>
      </c>
      <c r="X1010">
        <v>2022</v>
      </c>
      <c r="Y1010" t="s">
        <v>128</v>
      </c>
      <c r="Z1010" t="s">
        <v>64</v>
      </c>
    </row>
    <row r="1011" spans="1:26">
      <c r="A1011" t="s">
        <v>2019</v>
      </c>
      <c r="B1011" t="s">
        <v>93</v>
      </c>
      <c r="C1011" t="s">
        <v>164</v>
      </c>
      <c r="D1011" t="s">
        <v>29</v>
      </c>
      <c r="E1011" t="s">
        <v>94</v>
      </c>
      <c r="F1011" t="s">
        <v>57</v>
      </c>
      <c r="G1011" t="s">
        <v>58</v>
      </c>
      <c r="H1011">
        <v>9.6999999999999993</v>
      </c>
      <c r="I1011">
        <v>2.8</v>
      </c>
      <c r="J1011" t="s">
        <v>33</v>
      </c>
      <c r="K1011" t="s">
        <v>2020</v>
      </c>
      <c r="L1011" t="s">
        <v>48</v>
      </c>
      <c r="M1011" t="s">
        <v>2021</v>
      </c>
      <c r="N1011" t="s">
        <v>71</v>
      </c>
      <c r="O1011">
        <v>150</v>
      </c>
      <c r="P1011" t="s">
        <v>112</v>
      </c>
      <c r="Q1011">
        <v>4000</v>
      </c>
      <c r="R1011">
        <v>500</v>
      </c>
      <c r="S1011" t="s">
        <v>73</v>
      </c>
      <c r="T1011" t="s">
        <v>62</v>
      </c>
      <c r="U1011" t="s">
        <v>52</v>
      </c>
      <c r="V1011" t="s">
        <v>52</v>
      </c>
      <c r="W1011" t="s">
        <v>52</v>
      </c>
      <c r="X1011">
        <v>2023</v>
      </c>
      <c r="Y1011" t="s">
        <v>211</v>
      </c>
      <c r="Z1011" t="s">
        <v>41</v>
      </c>
    </row>
    <row r="1012" spans="1:26">
      <c r="A1012" t="s">
        <v>2022</v>
      </c>
      <c r="B1012" t="s">
        <v>66</v>
      </c>
      <c r="C1012" t="s">
        <v>173</v>
      </c>
      <c r="D1012" t="s">
        <v>29</v>
      </c>
      <c r="E1012" t="s">
        <v>30</v>
      </c>
      <c r="F1012" t="s">
        <v>95</v>
      </c>
      <c r="G1012" t="s">
        <v>58</v>
      </c>
      <c r="H1012">
        <v>7.9</v>
      </c>
      <c r="I1012">
        <v>22.3</v>
      </c>
      <c r="J1012" t="s">
        <v>33</v>
      </c>
      <c r="K1012" t="s">
        <v>131</v>
      </c>
      <c r="L1012" t="s">
        <v>60</v>
      </c>
      <c r="M1012" t="s">
        <v>1413</v>
      </c>
      <c r="N1012" t="s">
        <v>71</v>
      </c>
      <c r="O1012">
        <v>15</v>
      </c>
      <c r="P1012" t="s">
        <v>105</v>
      </c>
      <c r="Q1012">
        <v>4206</v>
      </c>
      <c r="R1012">
        <v>2000</v>
      </c>
      <c r="S1012" t="s">
        <v>90</v>
      </c>
      <c r="T1012" t="s">
        <v>81</v>
      </c>
      <c r="U1012" t="s">
        <v>39</v>
      </c>
      <c r="V1012" t="s">
        <v>39</v>
      </c>
      <c r="W1012" t="s">
        <v>52</v>
      </c>
      <c r="X1012">
        <v>2024</v>
      </c>
      <c r="Y1012" t="s">
        <v>74</v>
      </c>
      <c r="Z1012" t="s">
        <v>54</v>
      </c>
    </row>
    <row r="1013" spans="1:26">
      <c r="A1013" t="s">
        <v>2023</v>
      </c>
      <c r="B1013" t="s">
        <v>43</v>
      </c>
      <c r="C1013" t="s">
        <v>164</v>
      </c>
      <c r="D1013" t="s">
        <v>77</v>
      </c>
      <c r="E1013" t="s">
        <v>168</v>
      </c>
      <c r="F1013" t="s">
        <v>95</v>
      </c>
      <c r="G1013" t="s">
        <v>32</v>
      </c>
      <c r="H1013">
        <v>10.7</v>
      </c>
      <c r="I1013">
        <v>11</v>
      </c>
      <c r="J1013" t="s">
        <v>33</v>
      </c>
      <c r="K1013" t="s">
        <v>718</v>
      </c>
      <c r="L1013" t="s">
        <v>140</v>
      </c>
      <c r="M1013" t="s">
        <v>2024</v>
      </c>
      <c r="N1013" t="s">
        <v>71</v>
      </c>
      <c r="O1013">
        <v>8</v>
      </c>
      <c r="P1013" t="s">
        <v>105</v>
      </c>
      <c r="Q1013">
        <v>7477</v>
      </c>
      <c r="R1013">
        <v>500</v>
      </c>
      <c r="S1013" t="s">
        <v>113</v>
      </c>
      <c r="T1013" t="s">
        <v>62</v>
      </c>
      <c r="U1013" t="s">
        <v>52</v>
      </c>
      <c r="V1013" t="s">
        <v>52</v>
      </c>
      <c r="W1013" t="s">
        <v>52</v>
      </c>
      <c r="X1013">
        <v>2024</v>
      </c>
      <c r="Y1013" t="s">
        <v>128</v>
      </c>
      <c r="Z1013" t="s">
        <v>64</v>
      </c>
    </row>
    <row r="1014" spans="1:26">
      <c r="A1014" t="s">
        <v>2025</v>
      </c>
      <c r="B1014" t="s">
        <v>108</v>
      </c>
      <c r="C1014" t="s">
        <v>28</v>
      </c>
      <c r="D1014" t="s">
        <v>77</v>
      </c>
      <c r="E1014" t="s">
        <v>220</v>
      </c>
      <c r="F1014" t="s">
        <v>68</v>
      </c>
      <c r="G1014" t="s">
        <v>58</v>
      </c>
      <c r="H1014">
        <v>0.7</v>
      </c>
      <c r="I1014">
        <v>16.899999999999999</v>
      </c>
      <c r="J1014" t="s">
        <v>144</v>
      </c>
      <c r="K1014" t="s">
        <v>354</v>
      </c>
      <c r="L1014" t="s">
        <v>140</v>
      </c>
      <c r="M1014" t="s">
        <v>394</v>
      </c>
      <c r="N1014" t="s">
        <v>71</v>
      </c>
      <c r="O1014">
        <v>16</v>
      </c>
      <c r="P1014" t="s">
        <v>230</v>
      </c>
      <c r="Q1014">
        <v>5125</v>
      </c>
      <c r="R1014">
        <v>1000</v>
      </c>
      <c r="S1014" t="s">
        <v>152</v>
      </c>
      <c r="T1014" t="s">
        <v>62</v>
      </c>
      <c r="U1014" t="s">
        <v>52</v>
      </c>
      <c r="V1014" t="s">
        <v>39</v>
      </c>
      <c r="W1014" t="s">
        <v>39</v>
      </c>
      <c r="X1014">
        <v>2022</v>
      </c>
      <c r="Y1014" t="s">
        <v>63</v>
      </c>
      <c r="Z1014" t="s">
        <v>64</v>
      </c>
    </row>
    <row r="1015" spans="1:26">
      <c r="A1015" t="s">
        <v>2026</v>
      </c>
      <c r="B1015" t="s">
        <v>108</v>
      </c>
      <c r="C1015" t="s">
        <v>44</v>
      </c>
      <c r="D1015" t="s">
        <v>77</v>
      </c>
      <c r="E1015" t="s">
        <v>78</v>
      </c>
      <c r="F1015" t="s">
        <v>31</v>
      </c>
      <c r="G1015" t="s">
        <v>32</v>
      </c>
      <c r="H1015">
        <v>6.8</v>
      </c>
      <c r="I1015">
        <v>17.899999999999999</v>
      </c>
      <c r="J1015" t="s">
        <v>156</v>
      </c>
      <c r="K1015" t="s">
        <v>226</v>
      </c>
      <c r="L1015" t="s">
        <v>98</v>
      </c>
      <c r="M1015" t="s">
        <v>793</v>
      </c>
      <c r="N1015" t="s">
        <v>100</v>
      </c>
      <c r="O1015">
        <v>43</v>
      </c>
      <c r="P1015" t="s">
        <v>2265</v>
      </c>
      <c r="Q1015">
        <v>0</v>
      </c>
      <c r="R1015">
        <v>0</v>
      </c>
      <c r="S1015" t="s">
        <v>2265</v>
      </c>
      <c r="T1015" t="s">
        <v>38</v>
      </c>
      <c r="U1015" t="s">
        <v>39</v>
      </c>
      <c r="V1015" t="s">
        <v>39</v>
      </c>
      <c r="W1015" t="s">
        <v>52</v>
      </c>
      <c r="X1015">
        <v>2023</v>
      </c>
      <c r="Y1015" t="s">
        <v>40</v>
      </c>
      <c r="Z1015" t="s">
        <v>41</v>
      </c>
    </row>
    <row r="1016" spans="1:26">
      <c r="A1016" t="s">
        <v>2027</v>
      </c>
      <c r="B1016" t="s">
        <v>108</v>
      </c>
      <c r="C1016" t="s">
        <v>102</v>
      </c>
      <c r="D1016" t="s">
        <v>77</v>
      </c>
      <c r="E1016" t="s">
        <v>143</v>
      </c>
      <c r="F1016" t="s">
        <v>68</v>
      </c>
      <c r="G1016" t="s">
        <v>32</v>
      </c>
      <c r="H1016">
        <v>1.4</v>
      </c>
      <c r="I1016">
        <v>15.2</v>
      </c>
      <c r="J1016" t="s">
        <v>33</v>
      </c>
      <c r="K1016" t="s">
        <v>1625</v>
      </c>
      <c r="L1016" t="s">
        <v>98</v>
      </c>
      <c r="M1016" t="s">
        <v>1116</v>
      </c>
      <c r="N1016" t="s">
        <v>100</v>
      </c>
      <c r="O1016">
        <v>23</v>
      </c>
      <c r="P1016" t="s">
        <v>2265</v>
      </c>
      <c r="Q1016">
        <v>0</v>
      </c>
      <c r="R1016">
        <v>0</v>
      </c>
      <c r="S1016" t="s">
        <v>2265</v>
      </c>
      <c r="T1016" t="s">
        <v>62</v>
      </c>
      <c r="U1016" t="s">
        <v>39</v>
      </c>
      <c r="V1016" t="s">
        <v>52</v>
      </c>
      <c r="W1016" t="s">
        <v>52</v>
      </c>
      <c r="X1016">
        <v>2023</v>
      </c>
      <c r="Y1016" t="s">
        <v>153</v>
      </c>
      <c r="Z1016" t="s">
        <v>54</v>
      </c>
    </row>
    <row r="1017" spans="1:26">
      <c r="A1017" t="s">
        <v>2028</v>
      </c>
      <c r="B1017" t="s">
        <v>27</v>
      </c>
      <c r="C1017" t="s">
        <v>44</v>
      </c>
      <c r="D1017" t="s">
        <v>122</v>
      </c>
      <c r="E1017" t="s">
        <v>123</v>
      </c>
      <c r="F1017" t="s">
        <v>160</v>
      </c>
      <c r="G1017" t="s">
        <v>32</v>
      </c>
      <c r="H1017">
        <v>2.2999999999999998</v>
      </c>
      <c r="I1017">
        <v>22.6</v>
      </c>
      <c r="J1017" t="s">
        <v>144</v>
      </c>
      <c r="K1017" t="s">
        <v>651</v>
      </c>
      <c r="L1017" t="s">
        <v>140</v>
      </c>
      <c r="M1017" t="s">
        <v>294</v>
      </c>
      <c r="N1017" t="s">
        <v>100</v>
      </c>
      <c r="O1017">
        <v>149</v>
      </c>
      <c r="P1017" t="s">
        <v>2265</v>
      </c>
      <c r="Q1017">
        <v>0</v>
      </c>
      <c r="R1017">
        <v>0</v>
      </c>
      <c r="S1017" t="s">
        <v>2265</v>
      </c>
      <c r="T1017" t="s">
        <v>81</v>
      </c>
      <c r="U1017" t="s">
        <v>39</v>
      </c>
      <c r="V1017" t="s">
        <v>52</v>
      </c>
      <c r="W1017" t="s">
        <v>52</v>
      </c>
      <c r="X1017">
        <v>2024</v>
      </c>
      <c r="Y1017" t="s">
        <v>40</v>
      </c>
      <c r="Z1017" t="s">
        <v>41</v>
      </c>
    </row>
    <row r="1018" spans="1:26">
      <c r="A1018" t="s">
        <v>2029</v>
      </c>
      <c r="B1018" t="s">
        <v>43</v>
      </c>
      <c r="C1018" t="s">
        <v>67</v>
      </c>
      <c r="D1018" t="s">
        <v>77</v>
      </c>
      <c r="E1018" t="s">
        <v>168</v>
      </c>
      <c r="F1018" t="s">
        <v>95</v>
      </c>
      <c r="G1018" t="s">
        <v>32</v>
      </c>
      <c r="H1018">
        <v>1.9</v>
      </c>
      <c r="I1018">
        <v>15.8</v>
      </c>
      <c r="J1018" t="s">
        <v>33</v>
      </c>
      <c r="K1018" t="s">
        <v>197</v>
      </c>
      <c r="L1018" t="s">
        <v>48</v>
      </c>
      <c r="M1018" t="s">
        <v>1553</v>
      </c>
      <c r="N1018" t="s">
        <v>61</v>
      </c>
      <c r="O1018">
        <v>131</v>
      </c>
      <c r="P1018" t="s">
        <v>2265</v>
      </c>
      <c r="Q1018">
        <v>0</v>
      </c>
      <c r="R1018">
        <v>0</v>
      </c>
      <c r="S1018" t="s">
        <v>2265</v>
      </c>
      <c r="T1018" t="s">
        <v>51</v>
      </c>
      <c r="U1018" t="s">
        <v>39</v>
      </c>
      <c r="V1018" t="s">
        <v>52</v>
      </c>
      <c r="W1018" t="s">
        <v>52</v>
      </c>
      <c r="X1018">
        <v>2024</v>
      </c>
      <c r="Y1018" t="s">
        <v>40</v>
      </c>
      <c r="Z1018" t="s">
        <v>41</v>
      </c>
    </row>
    <row r="1019" spans="1:26">
      <c r="A1019" t="s">
        <v>2030</v>
      </c>
      <c r="B1019" t="s">
        <v>27</v>
      </c>
      <c r="C1019" t="s">
        <v>102</v>
      </c>
      <c r="D1019" t="s">
        <v>29</v>
      </c>
      <c r="E1019" t="s">
        <v>244</v>
      </c>
      <c r="F1019" t="s">
        <v>31</v>
      </c>
      <c r="G1019" t="s">
        <v>58</v>
      </c>
      <c r="H1019">
        <v>6.5</v>
      </c>
      <c r="I1019">
        <v>18.899999999999999</v>
      </c>
      <c r="J1019" t="s">
        <v>144</v>
      </c>
      <c r="K1019" t="s">
        <v>1034</v>
      </c>
      <c r="L1019" t="s">
        <v>48</v>
      </c>
      <c r="M1019" t="s">
        <v>1245</v>
      </c>
      <c r="N1019" t="s">
        <v>37</v>
      </c>
      <c r="O1019">
        <v>1</v>
      </c>
      <c r="P1019" t="s">
        <v>2265</v>
      </c>
      <c r="Q1019">
        <v>0</v>
      </c>
      <c r="R1019">
        <v>500</v>
      </c>
      <c r="S1019" t="s">
        <v>2265</v>
      </c>
      <c r="T1019" t="s">
        <v>51</v>
      </c>
      <c r="U1019" t="s">
        <v>52</v>
      </c>
      <c r="V1019" t="s">
        <v>52</v>
      </c>
      <c r="W1019" t="s">
        <v>52</v>
      </c>
      <c r="X1019">
        <v>2022</v>
      </c>
      <c r="Y1019" t="s">
        <v>114</v>
      </c>
      <c r="Z1019" t="s">
        <v>41</v>
      </c>
    </row>
    <row r="1020" spans="1:26">
      <c r="A1020" t="s">
        <v>2031</v>
      </c>
      <c r="B1020" t="s">
        <v>43</v>
      </c>
      <c r="C1020" t="s">
        <v>28</v>
      </c>
      <c r="D1020" t="s">
        <v>29</v>
      </c>
      <c r="E1020" t="s">
        <v>117</v>
      </c>
      <c r="F1020" t="s">
        <v>31</v>
      </c>
      <c r="G1020" t="s">
        <v>58</v>
      </c>
      <c r="H1020">
        <v>0.9</v>
      </c>
      <c r="I1020">
        <v>10.8</v>
      </c>
      <c r="J1020" t="s">
        <v>33</v>
      </c>
      <c r="K1020" t="s">
        <v>145</v>
      </c>
      <c r="L1020" t="s">
        <v>98</v>
      </c>
      <c r="M1020" t="s">
        <v>1540</v>
      </c>
      <c r="N1020" t="s">
        <v>71</v>
      </c>
      <c r="O1020">
        <v>109</v>
      </c>
      <c r="P1020" t="s">
        <v>105</v>
      </c>
      <c r="Q1020">
        <v>4052</v>
      </c>
      <c r="R1020">
        <v>5000</v>
      </c>
      <c r="S1020" t="s">
        <v>113</v>
      </c>
      <c r="T1020" t="s">
        <v>81</v>
      </c>
      <c r="U1020" t="s">
        <v>52</v>
      </c>
      <c r="V1020" t="s">
        <v>39</v>
      </c>
      <c r="W1020" t="s">
        <v>52</v>
      </c>
      <c r="X1020">
        <v>2022</v>
      </c>
      <c r="Y1020" t="s">
        <v>53</v>
      </c>
      <c r="Z1020" t="s">
        <v>54</v>
      </c>
    </row>
    <row r="1021" spans="1:26">
      <c r="A1021" t="s">
        <v>2032</v>
      </c>
      <c r="B1021" t="s">
        <v>93</v>
      </c>
      <c r="C1021" t="s">
        <v>67</v>
      </c>
      <c r="D1021" t="s">
        <v>77</v>
      </c>
      <c r="E1021" t="s">
        <v>78</v>
      </c>
      <c r="F1021" t="s">
        <v>109</v>
      </c>
      <c r="G1021" t="s">
        <v>58</v>
      </c>
      <c r="H1021">
        <v>2.2999999999999998</v>
      </c>
      <c r="I1021">
        <v>9.1</v>
      </c>
      <c r="J1021" t="s">
        <v>144</v>
      </c>
      <c r="K1021" t="s">
        <v>2033</v>
      </c>
      <c r="L1021" t="s">
        <v>60</v>
      </c>
      <c r="M1021" t="s">
        <v>1464</v>
      </c>
      <c r="N1021" t="s">
        <v>171</v>
      </c>
      <c r="O1021">
        <v>1</v>
      </c>
      <c r="P1021" t="s">
        <v>2265</v>
      </c>
      <c r="Q1021">
        <v>0</v>
      </c>
      <c r="R1021">
        <v>0</v>
      </c>
      <c r="S1021" t="s">
        <v>2265</v>
      </c>
      <c r="T1021" t="s">
        <v>38</v>
      </c>
      <c r="U1021" t="s">
        <v>39</v>
      </c>
      <c r="V1021" t="s">
        <v>52</v>
      </c>
      <c r="W1021" t="s">
        <v>52</v>
      </c>
      <c r="X1021">
        <v>2024</v>
      </c>
      <c r="Y1021" t="s">
        <v>74</v>
      </c>
      <c r="Z1021" t="s">
        <v>54</v>
      </c>
    </row>
    <row r="1022" spans="1:26">
      <c r="A1022" t="s">
        <v>2034</v>
      </c>
      <c r="B1022" t="s">
        <v>43</v>
      </c>
      <c r="C1022" t="s">
        <v>173</v>
      </c>
      <c r="D1022" t="s">
        <v>29</v>
      </c>
      <c r="E1022" t="s">
        <v>117</v>
      </c>
      <c r="F1022" t="s">
        <v>160</v>
      </c>
      <c r="G1022" t="s">
        <v>58</v>
      </c>
      <c r="H1022">
        <v>5.2</v>
      </c>
      <c r="I1022">
        <v>22.9</v>
      </c>
      <c r="J1022" t="s">
        <v>96</v>
      </c>
      <c r="K1022" t="s">
        <v>2035</v>
      </c>
      <c r="L1022" t="s">
        <v>140</v>
      </c>
      <c r="M1022" t="s">
        <v>355</v>
      </c>
      <c r="N1022" t="s">
        <v>71</v>
      </c>
      <c r="O1022">
        <v>68</v>
      </c>
      <c r="P1022" t="s">
        <v>112</v>
      </c>
      <c r="Q1022">
        <v>4024</v>
      </c>
      <c r="R1022">
        <v>0</v>
      </c>
      <c r="S1022" t="s">
        <v>90</v>
      </c>
      <c r="T1022" t="s">
        <v>38</v>
      </c>
      <c r="U1022" t="s">
        <v>52</v>
      </c>
      <c r="V1022" t="s">
        <v>52</v>
      </c>
      <c r="W1022" t="s">
        <v>52</v>
      </c>
      <c r="X1022">
        <v>2022</v>
      </c>
      <c r="Y1022" t="s">
        <v>91</v>
      </c>
      <c r="Z1022" t="s">
        <v>64</v>
      </c>
    </row>
    <row r="1023" spans="1:26">
      <c r="A1023" t="s">
        <v>2036</v>
      </c>
      <c r="B1023" t="s">
        <v>27</v>
      </c>
      <c r="C1023" t="s">
        <v>76</v>
      </c>
      <c r="D1023" t="s">
        <v>29</v>
      </c>
      <c r="E1023" t="s">
        <v>195</v>
      </c>
      <c r="F1023" t="s">
        <v>109</v>
      </c>
      <c r="G1023" t="s">
        <v>58</v>
      </c>
      <c r="H1023">
        <v>7.2</v>
      </c>
      <c r="I1023">
        <v>20.3</v>
      </c>
      <c r="J1023" t="s">
        <v>96</v>
      </c>
      <c r="K1023" t="s">
        <v>539</v>
      </c>
      <c r="L1023" t="s">
        <v>126</v>
      </c>
      <c r="M1023" t="s">
        <v>710</v>
      </c>
      <c r="N1023" t="s">
        <v>61</v>
      </c>
      <c r="O1023">
        <v>33</v>
      </c>
      <c r="P1023" t="s">
        <v>2265</v>
      </c>
      <c r="Q1023">
        <v>0</v>
      </c>
      <c r="R1023">
        <v>0</v>
      </c>
      <c r="S1023" t="s">
        <v>2265</v>
      </c>
      <c r="T1023" t="s">
        <v>136</v>
      </c>
      <c r="U1023" t="s">
        <v>39</v>
      </c>
      <c r="V1023" t="s">
        <v>39</v>
      </c>
      <c r="W1023" t="s">
        <v>52</v>
      </c>
      <c r="X1023">
        <v>2024</v>
      </c>
      <c r="Y1023" t="s">
        <v>128</v>
      </c>
      <c r="Z1023" t="s">
        <v>64</v>
      </c>
    </row>
    <row r="1024" spans="1:26">
      <c r="A1024" t="s">
        <v>2037</v>
      </c>
      <c r="B1024" t="s">
        <v>108</v>
      </c>
      <c r="C1024" t="s">
        <v>44</v>
      </c>
      <c r="D1024" t="s">
        <v>29</v>
      </c>
      <c r="E1024" t="s">
        <v>117</v>
      </c>
      <c r="F1024" t="s">
        <v>160</v>
      </c>
      <c r="G1024" t="s">
        <v>32</v>
      </c>
      <c r="H1024">
        <v>10.1</v>
      </c>
      <c r="I1024">
        <v>22</v>
      </c>
      <c r="J1024" t="s">
        <v>20</v>
      </c>
      <c r="K1024" t="s">
        <v>1605</v>
      </c>
      <c r="L1024" t="s">
        <v>98</v>
      </c>
      <c r="M1024" t="s">
        <v>1961</v>
      </c>
      <c r="N1024" t="s">
        <v>71</v>
      </c>
      <c r="O1024">
        <v>106</v>
      </c>
      <c r="P1024" t="s">
        <v>105</v>
      </c>
      <c r="Q1024">
        <v>4724</v>
      </c>
      <c r="R1024">
        <v>0</v>
      </c>
      <c r="S1024" t="s">
        <v>113</v>
      </c>
      <c r="T1024" t="s">
        <v>62</v>
      </c>
      <c r="U1024" t="s">
        <v>52</v>
      </c>
      <c r="V1024" t="s">
        <v>52</v>
      </c>
      <c r="W1024" t="s">
        <v>52</v>
      </c>
      <c r="X1024">
        <v>2023</v>
      </c>
      <c r="Y1024" t="s">
        <v>40</v>
      </c>
      <c r="Z1024" t="s">
        <v>41</v>
      </c>
    </row>
    <row r="1025" spans="1:26">
      <c r="A1025" t="s">
        <v>2038</v>
      </c>
      <c r="B1025" t="s">
        <v>93</v>
      </c>
      <c r="C1025" t="s">
        <v>67</v>
      </c>
      <c r="D1025" t="s">
        <v>29</v>
      </c>
      <c r="E1025" t="s">
        <v>244</v>
      </c>
      <c r="F1025" t="s">
        <v>31</v>
      </c>
      <c r="G1025" t="s">
        <v>32</v>
      </c>
      <c r="H1025">
        <v>8.3000000000000007</v>
      </c>
      <c r="I1025">
        <v>30.4</v>
      </c>
      <c r="J1025" t="s">
        <v>33</v>
      </c>
      <c r="K1025" t="s">
        <v>773</v>
      </c>
      <c r="L1025" t="s">
        <v>98</v>
      </c>
      <c r="M1025" t="s">
        <v>2039</v>
      </c>
      <c r="N1025" t="s">
        <v>61</v>
      </c>
      <c r="O1025">
        <v>146</v>
      </c>
      <c r="P1025" t="s">
        <v>2265</v>
      </c>
      <c r="Q1025">
        <v>0</v>
      </c>
      <c r="R1025">
        <v>0</v>
      </c>
      <c r="S1025" t="s">
        <v>2265</v>
      </c>
      <c r="T1025" t="s">
        <v>38</v>
      </c>
      <c r="U1025" t="s">
        <v>39</v>
      </c>
      <c r="V1025" t="s">
        <v>39</v>
      </c>
      <c r="W1025" t="s">
        <v>52</v>
      </c>
      <c r="X1025">
        <v>2024</v>
      </c>
      <c r="Y1025" t="s">
        <v>82</v>
      </c>
      <c r="Z1025" t="s">
        <v>83</v>
      </c>
    </row>
    <row r="1026" spans="1:26">
      <c r="A1026" t="s">
        <v>2040</v>
      </c>
      <c r="B1026" t="s">
        <v>66</v>
      </c>
      <c r="C1026" t="s">
        <v>76</v>
      </c>
      <c r="D1026" t="s">
        <v>77</v>
      </c>
      <c r="E1026" t="s">
        <v>216</v>
      </c>
      <c r="F1026" t="s">
        <v>46</v>
      </c>
      <c r="G1026" t="s">
        <v>58</v>
      </c>
      <c r="H1026">
        <v>3</v>
      </c>
      <c r="I1026">
        <v>32.5</v>
      </c>
      <c r="J1026" t="s">
        <v>33</v>
      </c>
      <c r="K1026" t="s">
        <v>2041</v>
      </c>
      <c r="L1026" t="s">
        <v>126</v>
      </c>
      <c r="M1026" t="s">
        <v>2042</v>
      </c>
      <c r="N1026" t="s">
        <v>50</v>
      </c>
      <c r="O1026">
        <v>176</v>
      </c>
      <c r="P1026" t="s">
        <v>2265</v>
      </c>
      <c r="Q1026">
        <v>0</v>
      </c>
      <c r="R1026">
        <v>500</v>
      </c>
      <c r="S1026" t="s">
        <v>2265</v>
      </c>
      <c r="T1026" t="s">
        <v>38</v>
      </c>
      <c r="U1026" t="s">
        <v>52</v>
      </c>
      <c r="V1026" t="s">
        <v>52</v>
      </c>
      <c r="W1026" t="s">
        <v>39</v>
      </c>
      <c r="X1026">
        <v>2022</v>
      </c>
      <c r="Y1026" t="s">
        <v>74</v>
      </c>
      <c r="Z1026" t="s">
        <v>54</v>
      </c>
    </row>
    <row r="1027" spans="1:26">
      <c r="A1027" t="s">
        <v>2043</v>
      </c>
      <c r="B1027" t="s">
        <v>66</v>
      </c>
      <c r="C1027" t="s">
        <v>164</v>
      </c>
      <c r="D1027" t="s">
        <v>77</v>
      </c>
      <c r="E1027" t="s">
        <v>94</v>
      </c>
      <c r="F1027" t="s">
        <v>95</v>
      </c>
      <c r="G1027" t="s">
        <v>32</v>
      </c>
      <c r="H1027">
        <v>3.1</v>
      </c>
      <c r="I1027">
        <v>34.200000000000003</v>
      </c>
      <c r="J1027" t="s">
        <v>33</v>
      </c>
      <c r="K1027" t="s">
        <v>389</v>
      </c>
      <c r="L1027" t="s">
        <v>60</v>
      </c>
      <c r="M1027" t="s">
        <v>1897</v>
      </c>
      <c r="N1027" t="s">
        <v>171</v>
      </c>
      <c r="O1027">
        <v>108</v>
      </c>
      <c r="P1027" t="s">
        <v>2265</v>
      </c>
      <c r="Q1027">
        <v>0</v>
      </c>
      <c r="R1027">
        <v>0</v>
      </c>
      <c r="S1027" t="s">
        <v>2265</v>
      </c>
      <c r="T1027" t="s">
        <v>62</v>
      </c>
      <c r="U1027" t="s">
        <v>39</v>
      </c>
      <c r="V1027" t="s">
        <v>52</v>
      </c>
      <c r="W1027" t="s">
        <v>52</v>
      </c>
      <c r="X1027">
        <v>2023</v>
      </c>
      <c r="Y1027" t="s">
        <v>312</v>
      </c>
      <c r="Z1027" t="s">
        <v>83</v>
      </c>
    </row>
    <row r="1028" spans="1:26">
      <c r="A1028" t="s">
        <v>2044</v>
      </c>
      <c r="B1028" t="s">
        <v>27</v>
      </c>
      <c r="C1028" t="s">
        <v>173</v>
      </c>
      <c r="D1028" t="s">
        <v>77</v>
      </c>
      <c r="E1028" t="s">
        <v>220</v>
      </c>
      <c r="F1028" t="s">
        <v>68</v>
      </c>
      <c r="G1028" t="s">
        <v>58</v>
      </c>
      <c r="H1028">
        <v>9.6999999999999993</v>
      </c>
      <c r="I1028">
        <v>10.8</v>
      </c>
      <c r="J1028" t="s">
        <v>33</v>
      </c>
      <c r="K1028" t="s">
        <v>2045</v>
      </c>
      <c r="L1028" t="s">
        <v>126</v>
      </c>
      <c r="M1028" t="s">
        <v>957</v>
      </c>
      <c r="N1028" t="s">
        <v>61</v>
      </c>
      <c r="O1028">
        <v>153</v>
      </c>
      <c r="P1028" t="s">
        <v>2265</v>
      </c>
      <c r="Q1028">
        <v>0</v>
      </c>
      <c r="R1028">
        <v>0</v>
      </c>
      <c r="S1028" t="s">
        <v>2265</v>
      </c>
      <c r="T1028" t="s">
        <v>136</v>
      </c>
      <c r="U1028" t="s">
        <v>39</v>
      </c>
      <c r="V1028" t="s">
        <v>52</v>
      </c>
      <c r="W1028" t="s">
        <v>52</v>
      </c>
      <c r="X1028">
        <v>2022</v>
      </c>
      <c r="Y1028" t="s">
        <v>82</v>
      </c>
      <c r="Z1028" t="s">
        <v>83</v>
      </c>
    </row>
    <row r="1029" spans="1:26">
      <c r="A1029" t="s">
        <v>2046</v>
      </c>
      <c r="B1029" t="s">
        <v>116</v>
      </c>
      <c r="C1029" t="s">
        <v>173</v>
      </c>
      <c r="D1029" t="s">
        <v>85</v>
      </c>
      <c r="E1029" t="s">
        <v>86</v>
      </c>
      <c r="F1029" t="s">
        <v>46</v>
      </c>
      <c r="G1029" t="s">
        <v>32</v>
      </c>
      <c r="H1029">
        <v>9.5</v>
      </c>
      <c r="I1029">
        <v>9.5</v>
      </c>
      <c r="J1029" t="s">
        <v>96</v>
      </c>
      <c r="K1029" t="s">
        <v>1722</v>
      </c>
      <c r="L1029" t="s">
        <v>60</v>
      </c>
      <c r="M1029" t="s">
        <v>428</v>
      </c>
      <c r="N1029" t="s">
        <v>171</v>
      </c>
      <c r="O1029">
        <v>13</v>
      </c>
      <c r="P1029" t="s">
        <v>2265</v>
      </c>
      <c r="Q1029">
        <v>0</v>
      </c>
      <c r="R1029">
        <v>0</v>
      </c>
      <c r="S1029" t="s">
        <v>2265</v>
      </c>
      <c r="T1029" t="s">
        <v>136</v>
      </c>
      <c r="U1029" t="s">
        <v>52</v>
      </c>
      <c r="V1029" t="s">
        <v>52</v>
      </c>
      <c r="W1029" t="s">
        <v>39</v>
      </c>
      <c r="X1029">
        <v>2024</v>
      </c>
      <c r="Y1029" t="s">
        <v>74</v>
      </c>
      <c r="Z1029" t="s">
        <v>54</v>
      </c>
    </row>
    <row r="1030" spans="1:26">
      <c r="A1030" t="s">
        <v>2047</v>
      </c>
      <c r="B1030" t="s">
        <v>116</v>
      </c>
      <c r="C1030" t="s">
        <v>44</v>
      </c>
      <c r="D1030" t="s">
        <v>77</v>
      </c>
      <c r="E1030" t="s">
        <v>78</v>
      </c>
      <c r="F1030" t="s">
        <v>68</v>
      </c>
      <c r="G1030" t="s">
        <v>58</v>
      </c>
      <c r="H1030">
        <v>9.4</v>
      </c>
      <c r="I1030">
        <v>28.3</v>
      </c>
      <c r="J1030" t="s">
        <v>96</v>
      </c>
      <c r="K1030" t="s">
        <v>875</v>
      </c>
      <c r="L1030" t="s">
        <v>60</v>
      </c>
      <c r="M1030" t="s">
        <v>1375</v>
      </c>
      <c r="N1030" t="s">
        <v>37</v>
      </c>
      <c r="O1030">
        <v>82</v>
      </c>
      <c r="P1030" t="s">
        <v>2265</v>
      </c>
      <c r="Q1030">
        <v>0</v>
      </c>
      <c r="R1030">
        <v>0</v>
      </c>
      <c r="S1030" t="s">
        <v>2265</v>
      </c>
      <c r="T1030" t="s">
        <v>51</v>
      </c>
      <c r="U1030" t="s">
        <v>52</v>
      </c>
      <c r="V1030" t="s">
        <v>52</v>
      </c>
      <c r="W1030" t="s">
        <v>52</v>
      </c>
      <c r="X1030">
        <v>2023</v>
      </c>
      <c r="Y1030" t="s">
        <v>114</v>
      </c>
      <c r="Z1030" t="s">
        <v>41</v>
      </c>
    </row>
    <row r="1031" spans="1:26">
      <c r="A1031" t="s">
        <v>2048</v>
      </c>
      <c r="B1031" t="s">
        <v>93</v>
      </c>
      <c r="C1031" t="s">
        <v>67</v>
      </c>
      <c r="D1031" t="s">
        <v>77</v>
      </c>
      <c r="E1031" t="s">
        <v>94</v>
      </c>
      <c r="F1031" t="s">
        <v>124</v>
      </c>
      <c r="G1031" t="s">
        <v>58</v>
      </c>
      <c r="H1031">
        <v>0.7</v>
      </c>
      <c r="I1031">
        <v>14.2</v>
      </c>
      <c r="J1031" t="s">
        <v>33</v>
      </c>
      <c r="K1031" t="s">
        <v>2049</v>
      </c>
      <c r="L1031" t="s">
        <v>98</v>
      </c>
      <c r="M1031" t="s">
        <v>724</v>
      </c>
      <c r="N1031" t="s">
        <v>61</v>
      </c>
      <c r="O1031">
        <v>180</v>
      </c>
      <c r="P1031" t="s">
        <v>2265</v>
      </c>
      <c r="Q1031">
        <v>0</v>
      </c>
      <c r="R1031">
        <v>0</v>
      </c>
      <c r="S1031" t="s">
        <v>2265</v>
      </c>
      <c r="T1031" t="s">
        <v>136</v>
      </c>
      <c r="U1031" t="s">
        <v>39</v>
      </c>
      <c r="V1031" t="s">
        <v>39</v>
      </c>
      <c r="W1031" t="s">
        <v>39</v>
      </c>
      <c r="X1031">
        <v>2023</v>
      </c>
      <c r="Y1031" t="s">
        <v>128</v>
      </c>
      <c r="Z1031" t="s">
        <v>64</v>
      </c>
    </row>
    <row r="1032" spans="1:26">
      <c r="A1032" t="s">
        <v>2050</v>
      </c>
      <c r="B1032" t="s">
        <v>66</v>
      </c>
      <c r="C1032" t="s">
        <v>121</v>
      </c>
      <c r="D1032" t="s">
        <v>77</v>
      </c>
      <c r="E1032" t="s">
        <v>216</v>
      </c>
      <c r="F1032" t="s">
        <v>160</v>
      </c>
      <c r="G1032" t="s">
        <v>32</v>
      </c>
      <c r="H1032">
        <v>11.6</v>
      </c>
      <c r="I1032">
        <v>17</v>
      </c>
      <c r="J1032" t="s">
        <v>33</v>
      </c>
      <c r="K1032" t="s">
        <v>1432</v>
      </c>
      <c r="L1032" t="s">
        <v>60</v>
      </c>
      <c r="M1032" t="s">
        <v>1007</v>
      </c>
      <c r="N1032" t="s">
        <v>50</v>
      </c>
      <c r="O1032">
        <v>47</v>
      </c>
      <c r="P1032" t="s">
        <v>2265</v>
      </c>
      <c r="Q1032">
        <v>0</v>
      </c>
      <c r="R1032">
        <v>1000</v>
      </c>
      <c r="S1032" t="s">
        <v>2265</v>
      </c>
      <c r="T1032" t="s">
        <v>62</v>
      </c>
      <c r="U1032" t="s">
        <v>39</v>
      </c>
      <c r="V1032" t="s">
        <v>52</v>
      </c>
      <c r="W1032" t="s">
        <v>39</v>
      </c>
      <c r="X1032">
        <v>2023</v>
      </c>
      <c r="Y1032" t="s">
        <v>211</v>
      </c>
      <c r="Z1032" t="s">
        <v>41</v>
      </c>
    </row>
    <row r="1033" spans="1:26">
      <c r="A1033" t="s">
        <v>2051</v>
      </c>
      <c r="B1033" t="s">
        <v>93</v>
      </c>
      <c r="C1033" t="s">
        <v>44</v>
      </c>
      <c r="D1033" t="s">
        <v>29</v>
      </c>
      <c r="E1033" t="s">
        <v>30</v>
      </c>
      <c r="F1033" t="s">
        <v>238</v>
      </c>
      <c r="G1033" t="s">
        <v>58</v>
      </c>
      <c r="H1033">
        <v>10.9</v>
      </c>
      <c r="I1033">
        <v>29.9</v>
      </c>
      <c r="J1033" t="s">
        <v>96</v>
      </c>
      <c r="K1033" t="s">
        <v>1698</v>
      </c>
      <c r="L1033" t="s">
        <v>140</v>
      </c>
      <c r="M1033" t="s">
        <v>310</v>
      </c>
      <c r="N1033" t="s">
        <v>71</v>
      </c>
      <c r="O1033">
        <v>72</v>
      </c>
      <c r="P1033" t="s">
        <v>230</v>
      </c>
      <c r="Q1033">
        <v>1878</v>
      </c>
      <c r="R1033">
        <v>0</v>
      </c>
      <c r="S1033" t="s">
        <v>73</v>
      </c>
      <c r="T1033" t="s">
        <v>136</v>
      </c>
      <c r="U1033" t="s">
        <v>52</v>
      </c>
      <c r="V1033" t="s">
        <v>52</v>
      </c>
      <c r="W1033" t="s">
        <v>52</v>
      </c>
      <c r="X1033">
        <v>2022</v>
      </c>
      <c r="Y1033" t="s">
        <v>63</v>
      </c>
      <c r="Z1033" t="s">
        <v>64</v>
      </c>
    </row>
    <row r="1034" spans="1:26">
      <c r="A1034" t="s">
        <v>2052</v>
      </c>
      <c r="B1034" t="s">
        <v>116</v>
      </c>
      <c r="C1034" t="s">
        <v>173</v>
      </c>
      <c r="D1034" t="s">
        <v>29</v>
      </c>
      <c r="E1034" t="s">
        <v>45</v>
      </c>
      <c r="F1034" t="s">
        <v>149</v>
      </c>
      <c r="G1034" t="s">
        <v>58</v>
      </c>
      <c r="H1034">
        <v>10.6</v>
      </c>
      <c r="I1034">
        <v>12.9</v>
      </c>
      <c r="J1034" t="s">
        <v>156</v>
      </c>
      <c r="K1034" t="s">
        <v>861</v>
      </c>
      <c r="L1034" t="s">
        <v>126</v>
      </c>
      <c r="M1034" t="s">
        <v>1189</v>
      </c>
      <c r="N1034" t="s">
        <v>71</v>
      </c>
      <c r="O1034">
        <v>21</v>
      </c>
      <c r="P1034" t="s">
        <v>72</v>
      </c>
      <c r="Q1034">
        <v>3866</v>
      </c>
      <c r="R1034">
        <v>1000</v>
      </c>
      <c r="S1034" t="s">
        <v>113</v>
      </c>
      <c r="T1034" t="s">
        <v>136</v>
      </c>
      <c r="U1034" t="s">
        <v>39</v>
      </c>
      <c r="V1034" t="s">
        <v>39</v>
      </c>
      <c r="W1034" t="s">
        <v>39</v>
      </c>
      <c r="X1034">
        <v>2023</v>
      </c>
      <c r="Y1034" t="s">
        <v>82</v>
      </c>
      <c r="Z1034" t="s">
        <v>83</v>
      </c>
    </row>
    <row r="1035" spans="1:26">
      <c r="A1035" t="s">
        <v>2053</v>
      </c>
      <c r="B1035" t="s">
        <v>108</v>
      </c>
      <c r="C1035" t="s">
        <v>67</v>
      </c>
      <c r="D1035" t="s">
        <v>77</v>
      </c>
      <c r="E1035" t="s">
        <v>220</v>
      </c>
      <c r="F1035" t="s">
        <v>124</v>
      </c>
      <c r="G1035" t="s">
        <v>32</v>
      </c>
      <c r="H1035">
        <v>2.8</v>
      </c>
      <c r="I1035">
        <v>26.7</v>
      </c>
      <c r="J1035" t="s">
        <v>33</v>
      </c>
      <c r="K1035" t="s">
        <v>420</v>
      </c>
      <c r="L1035" t="s">
        <v>98</v>
      </c>
      <c r="M1035" t="s">
        <v>226</v>
      </c>
      <c r="N1035" t="s">
        <v>61</v>
      </c>
      <c r="O1035">
        <v>136</v>
      </c>
      <c r="P1035" t="s">
        <v>2265</v>
      </c>
      <c r="Q1035">
        <v>0</v>
      </c>
      <c r="R1035">
        <v>0</v>
      </c>
      <c r="S1035" t="s">
        <v>2265</v>
      </c>
      <c r="T1035" t="s">
        <v>62</v>
      </c>
      <c r="U1035" t="s">
        <v>52</v>
      </c>
      <c r="V1035" t="s">
        <v>52</v>
      </c>
      <c r="W1035" t="s">
        <v>39</v>
      </c>
      <c r="X1035">
        <v>2023</v>
      </c>
      <c r="Y1035" t="s">
        <v>82</v>
      </c>
      <c r="Z1035" t="s">
        <v>83</v>
      </c>
    </row>
    <row r="1036" spans="1:26">
      <c r="A1036" t="s">
        <v>2054</v>
      </c>
      <c r="B1036" t="s">
        <v>43</v>
      </c>
      <c r="C1036" t="s">
        <v>28</v>
      </c>
      <c r="D1036" t="s">
        <v>77</v>
      </c>
      <c r="E1036" t="s">
        <v>260</v>
      </c>
      <c r="F1036" t="s">
        <v>109</v>
      </c>
      <c r="G1036" t="s">
        <v>58</v>
      </c>
      <c r="H1036">
        <v>11.4</v>
      </c>
      <c r="I1036">
        <v>6.5</v>
      </c>
      <c r="J1036" t="s">
        <v>20</v>
      </c>
      <c r="K1036" t="s">
        <v>2055</v>
      </c>
      <c r="L1036" t="s">
        <v>60</v>
      </c>
      <c r="M1036" t="s">
        <v>1627</v>
      </c>
      <c r="N1036" t="s">
        <v>61</v>
      </c>
      <c r="O1036">
        <v>95</v>
      </c>
      <c r="P1036" t="s">
        <v>2265</v>
      </c>
      <c r="Q1036">
        <v>0</v>
      </c>
      <c r="R1036">
        <v>0</v>
      </c>
      <c r="S1036" t="s">
        <v>2265</v>
      </c>
      <c r="T1036" t="s">
        <v>51</v>
      </c>
      <c r="U1036" t="s">
        <v>39</v>
      </c>
      <c r="V1036" t="s">
        <v>52</v>
      </c>
      <c r="W1036" t="s">
        <v>39</v>
      </c>
      <c r="X1036">
        <v>2022</v>
      </c>
      <c r="Y1036" t="s">
        <v>63</v>
      </c>
      <c r="Z1036" t="s">
        <v>64</v>
      </c>
    </row>
    <row r="1037" spans="1:26">
      <c r="A1037" t="s">
        <v>2056</v>
      </c>
      <c r="B1037" t="s">
        <v>66</v>
      </c>
      <c r="C1037" t="s">
        <v>164</v>
      </c>
      <c r="D1037" t="s">
        <v>77</v>
      </c>
      <c r="E1037" t="s">
        <v>94</v>
      </c>
      <c r="F1037" t="s">
        <v>124</v>
      </c>
      <c r="G1037" t="s">
        <v>58</v>
      </c>
      <c r="H1037">
        <v>3.5</v>
      </c>
      <c r="I1037">
        <v>16.600000000000001</v>
      </c>
      <c r="J1037" t="s">
        <v>33</v>
      </c>
      <c r="K1037" t="s">
        <v>218</v>
      </c>
      <c r="L1037" t="s">
        <v>48</v>
      </c>
      <c r="M1037" t="s">
        <v>1906</v>
      </c>
      <c r="N1037" t="s">
        <v>171</v>
      </c>
      <c r="O1037">
        <v>79</v>
      </c>
      <c r="P1037" t="s">
        <v>2265</v>
      </c>
      <c r="Q1037">
        <v>0</v>
      </c>
      <c r="R1037">
        <v>0</v>
      </c>
      <c r="S1037" t="s">
        <v>2265</v>
      </c>
      <c r="T1037" t="s">
        <v>81</v>
      </c>
      <c r="U1037" t="s">
        <v>39</v>
      </c>
      <c r="V1037" t="s">
        <v>52</v>
      </c>
      <c r="W1037" t="s">
        <v>52</v>
      </c>
      <c r="X1037">
        <v>2023</v>
      </c>
      <c r="Y1037" t="s">
        <v>153</v>
      </c>
      <c r="Z1037" t="s">
        <v>54</v>
      </c>
    </row>
    <row r="1038" spans="1:26">
      <c r="A1038" t="s">
        <v>2057</v>
      </c>
      <c r="B1038" t="s">
        <v>43</v>
      </c>
      <c r="C1038" t="s">
        <v>102</v>
      </c>
      <c r="D1038" t="s">
        <v>29</v>
      </c>
      <c r="E1038" t="s">
        <v>195</v>
      </c>
      <c r="F1038" t="s">
        <v>160</v>
      </c>
      <c r="G1038" t="s">
        <v>58</v>
      </c>
      <c r="H1038">
        <v>10.8</v>
      </c>
      <c r="I1038">
        <v>14.2</v>
      </c>
      <c r="J1038" t="s">
        <v>144</v>
      </c>
      <c r="K1038" t="s">
        <v>709</v>
      </c>
      <c r="L1038" t="s">
        <v>48</v>
      </c>
      <c r="M1038" t="s">
        <v>127</v>
      </c>
      <c r="N1038" t="s">
        <v>71</v>
      </c>
      <c r="O1038">
        <v>175</v>
      </c>
      <c r="P1038" t="s">
        <v>230</v>
      </c>
      <c r="Q1038">
        <v>3346</v>
      </c>
      <c r="R1038">
        <v>500</v>
      </c>
      <c r="S1038" t="s">
        <v>113</v>
      </c>
      <c r="T1038" t="s">
        <v>62</v>
      </c>
      <c r="U1038" t="s">
        <v>52</v>
      </c>
      <c r="V1038" t="s">
        <v>52</v>
      </c>
      <c r="W1038" t="s">
        <v>52</v>
      </c>
      <c r="X1038">
        <v>2024</v>
      </c>
      <c r="Y1038" t="s">
        <v>91</v>
      </c>
      <c r="Z1038" t="s">
        <v>64</v>
      </c>
    </row>
    <row r="1039" spans="1:26">
      <c r="A1039" t="s">
        <v>2058</v>
      </c>
      <c r="B1039" t="s">
        <v>43</v>
      </c>
      <c r="C1039" t="s">
        <v>76</v>
      </c>
      <c r="D1039" t="s">
        <v>29</v>
      </c>
      <c r="E1039" t="s">
        <v>117</v>
      </c>
      <c r="F1039" t="s">
        <v>160</v>
      </c>
      <c r="G1039" t="s">
        <v>32</v>
      </c>
      <c r="H1039">
        <v>0.9</v>
      </c>
      <c r="I1039">
        <v>27.5</v>
      </c>
      <c r="J1039" t="s">
        <v>156</v>
      </c>
      <c r="K1039" t="s">
        <v>2059</v>
      </c>
      <c r="L1039" t="s">
        <v>98</v>
      </c>
      <c r="M1039" t="s">
        <v>1521</v>
      </c>
      <c r="N1039" t="s">
        <v>71</v>
      </c>
      <c r="O1039">
        <v>4</v>
      </c>
      <c r="P1039" t="s">
        <v>89</v>
      </c>
      <c r="Q1039">
        <v>4781</v>
      </c>
      <c r="R1039">
        <v>5000</v>
      </c>
      <c r="S1039" t="s">
        <v>73</v>
      </c>
      <c r="T1039" t="s">
        <v>136</v>
      </c>
      <c r="U1039" t="s">
        <v>39</v>
      </c>
      <c r="V1039" t="s">
        <v>52</v>
      </c>
      <c r="W1039" t="s">
        <v>52</v>
      </c>
      <c r="X1039">
        <v>2023</v>
      </c>
      <c r="Y1039" t="s">
        <v>63</v>
      </c>
      <c r="Z1039" t="s">
        <v>64</v>
      </c>
    </row>
    <row r="1040" spans="1:26">
      <c r="A1040" t="s">
        <v>2060</v>
      </c>
      <c r="B1040" t="s">
        <v>66</v>
      </c>
      <c r="C1040" t="s">
        <v>28</v>
      </c>
      <c r="D1040" t="s">
        <v>29</v>
      </c>
      <c r="E1040" t="s">
        <v>244</v>
      </c>
      <c r="F1040" t="s">
        <v>109</v>
      </c>
      <c r="G1040" t="s">
        <v>58</v>
      </c>
      <c r="H1040">
        <v>0.2</v>
      </c>
      <c r="I1040">
        <v>30.1</v>
      </c>
      <c r="J1040" t="s">
        <v>156</v>
      </c>
      <c r="K1040" t="s">
        <v>1895</v>
      </c>
      <c r="L1040" t="s">
        <v>126</v>
      </c>
      <c r="M1040" t="s">
        <v>1605</v>
      </c>
      <c r="N1040" t="s">
        <v>37</v>
      </c>
      <c r="O1040">
        <v>85</v>
      </c>
      <c r="P1040" t="s">
        <v>2265</v>
      </c>
      <c r="Q1040">
        <v>0</v>
      </c>
      <c r="R1040">
        <v>500</v>
      </c>
      <c r="S1040" t="s">
        <v>2265</v>
      </c>
      <c r="T1040" t="s">
        <v>136</v>
      </c>
      <c r="U1040" t="s">
        <v>52</v>
      </c>
      <c r="V1040" t="s">
        <v>52</v>
      </c>
      <c r="W1040" t="s">
        <v>52</v>
      </c>
      <c r="X1040">
        <v>2023</v>
      </c>
      <c r="Y1040" t="s">
        <v>74</v>
      </c>
      <c r="Z1040" t="s">
        <v>54</v>
      </c>
    </row>
    <row r="1041" spans="1:26">
      <c r="A1041" t="s">
        <v>2061</v>
      </c>
      <c r="B1041" t="s">
        <v>93</v>
      </c>
      <c r="C1041" t="s">
        <v>173</v>
      </c>
      <c r="D1041" t="s">
        <v>29</v>
      </c>
      <c r="E1041" t="s">
        <v>30</v>
      </c>
      <c r="F1041" t="s">
        <v>160</v>
      </c>
      <c r="G1041" t="s">
        <v>32</v>
      </c>
      <c r="H1041">
        <v>3.1</v>
      </c>
      <c r="I1041">
        <v>23.6</v>
      </c>
      <c r="J1041" t="s">
        <v>33</v>
      </c>
      <c r="K1041" t="s">
        <v>196</v>
      </c>
      <c r="L1041" t="s">
        <v>140</v>
      </c>
      <c r="M1041" t="s">
        <v>926</v>
      </c>
      <c r="N1041" t="s">
        <v>71</v>
      </c>
      <c r="O1041">
        <v>89</v>
      </c>
      <c r="P1041" t="s">
        <v>89</v>
      </c>
      <c r="Q1041">
        <v>2642</v>
      </c>
      <c r="R1041">
        <v>0</v>
      </c>
      <c r="S1041" t="s">
        <v>152</v>
      </c>
      <c r="T1041" t="s">
        <v>38</v>
      </c>
      <c r="U1041" t="s">
        <v>52</v>
      </c>
      <c r="V1041" t="s">
        <v>52</v>
      </c>
      <c r="W1041" t="s">
        <v>52</v>
      </c>
      <c r="X1041">
        <v>2024</v>
      </c>
      <c r="Y1041" t="s">
        <v>53</v>
      </c>
      <c r="Z1041" t="s">
        <v>54</v>
      </c>
    </row>
    <row r="1042" spans="1:26">
      <c r="A1042" t="s">
        <v>2062</v>
      </c>
      <c r="B1042" t="s">
        <v>43</v>
      </c>
      <c r="C1042" t="s">
        <v>121</v>
      </c>
      <c r="D1042" t="s">
        <v>77</v>
      </c>
      <c r="E1042" t="s">
        <v>143</v>
      </c>
      <c r="F1042" t="s">
        <v>109</v>
      </c>
      <c r="G1042" t="s">
        <v>32</v>
      </c>
      <c r="H1042">
        <v>3</v>
      </c>
      <c r="I1042">
        <v>21.1</v>
      </c>
      <c r="J1042" t="s">
        <v>96</v>
      </c>
      <c r="K1042" t="s">
        <v>2063</v>
      </c>
      <c r="L1042" t="s">
        <v>140</v>
      </c>
      <c r="M1042" t="s">
        <v>1287</v>
      </c>
      <c r="N1042" t="s">
        <v>171</v>
      </c>
      <c r="O1042">
        <v>165</v>
      </c>
      <c r="P1042" t="s">
        <v>2265</v>
      </c>
      <c r="Q1042">
        <v>0</v>
      </c>
      <c r="R1042">
        <v>0</v>
      </c>
      <c r="S1042" t="s">
        <v>2265</v>
      </c>
      <c r="T1042" t="s">
        <v>136</v>
      </c>
      <c r="U1042" t="s">
        <v>52</v>
      </c>
      <c r="V1042" t="s">
        <v>52</v>
      </c>
      <c r="W1042" t="s">
        <v>52</v>
      </c>
      <c r="X1042">
        <v>2022</v>
      </c>
      <c r="Y1042" t="s">
        <v>82</v>
      </c>
      <c r="Z1042" t="s">
        <v>83</v>
      </c>
    </row>
    <row r="1043" spans="1:26">
      <c r="A1043" t="s">
        <v>2064</v>
      </c>
      <c r="B1043" t="s">
        <v>108</v>
      </c>
      <c r="C1043" t="s">
        <v>164</v>
      </c>
      <c r="D1043" t="s">
        <v>77</v>
      </c>
      <c r="E1043" t="s">
        <v>220</v>
      </c>
      <c r="F1043" t="s">
        <v>160</v>
      </c>
      <c r="G1043" t="s">
        <v>32</v>
      </c>
      <c r="H1043">
        <v>10.1</v>
      </c>
      <c r="I1043">
        <v>4.0999999999999996</v>
      </c>
      <c r="J1043" t="s">
        <v>33</v>
      </c>
      <c r="K1043" t="s">
        <v>36</v>
      </c>
      <c r="L1043" t="s">
        <v>35</v>
      </c>
      <c r="M1043" t="s">
        <v>918</v>
      </c>
      <c r="N1043" t="s">
        <v>50</v>
      </c>
      <c r="O1043">
        <v>81</v>
      </c>
      <c r="P1043" t="s">
        <v>2265</v>
      </c>
      <c r="Q1043">
        <v>0</v>
      </c>
      <c r="R1043">
        <v>0</v>
      </c>
      <c r="S1043" t="s">
        <v>2265</v>
      </c>
      <c r="T1043" t="s">
        <v>38</v>
      </c>
      <c r="U1043" t="s">
        <v>52</v>
      </c>
      <c r="V1043" t="s">
        <v>52</v>
      </c>
      <c r="W1043" t="s">
        <v>52</v>
      </c>
      <c r="X1043">
        <v>2023</v>
      </c>
      <c r="Y1043" t="s">
        <v>114</v>
      </c>
      <c r="Z1043" t="s">
        <v>41</v>
      </c>
    </row>
    <row r="1044" spans="1:26">
      <c r="A1044" t="s">
        <v>2065</v>
      </c>
      <c r="B1044" t="s">
        <v>27</v>
      </c>
      <c r="C1044" t="s">
        <v>28</v>
      </c>
      <c r="D1044" t="s">
        <v>77</v>
      </c>
      <c r="E1044" t="s">
        <v>168</v>
      </c>
      <c r="F1044" t="s">
        <v>68</v>
      </c>
      <c r="G1044" t="s">
        <v>58</v>
      </c>
      <c r="H1044">
        <v>2</v>
      </c>
      <c r="I1044">
        <v>8.6</v>
      </c>
      <c r="J1044" t="s">
        <v>156</v>
      </c>
      <c r="K1044" t="s">
        <v>577</v>
      </c>
      <c r="L1044" t="s">
        <v>98</v>
      </c>
      <c r="M1044" t="s">
        <v>157</v>
      </c>
      <c r="N1044" t="s">
        <v>37</v>
      </c>
      <c r="O1044">
        <v>53</v>
      </c>
      <c r="P1044" t="s">
        <v>2265</v>
      </c>
      <c r="Q1044">
        <v>0</v>
      </c>
      <c r="R1044">
        <v>1000</v>
      </c>
      <c r="S1044" t="s">
        <v>2265</v>
      </c>
      <c r="T1044" t="s">
        <v>62</v>
      </c>
      <c r="U1044" t="s">
        <v>52</v>
      </c>
      <c r="V1044" t="s">
        <v>39</v>
      </c>
      <c r="W1044" t="s">
        <v>52</v>
      </c>
      <c r="X1044">
        <v>2022</v>
      </c>
      <c r="Y1044" t="s">
        <v>114</v>
      </c>
      <c r="Z1044" t="s">
        <v>41</v>
      </c>
    </row>
    <row r="1045" spans="1:26">
      <c r="A1045" t="s">
        <v>2066</v>
      </c>
      <c r="B1045" t="s">
        <v>116</v>
      </c>
      <c r="C1045" t="s">
        <v>76</v>
      </c>
      <c r="D1045" t="s">
        <v>77</v>
      </c>
      <c r="E1045" t="s">
        <v>363</v>
      </c>
      <c r="F1045" t="s">
        <v>95</v>
      </c>
      <c r="G1045" t="s">
        <v>58</v>
      </c>
      <c r="H1045">
        <v>11.1</v>
      </c>
      <c r="I1045">
        <v>6.3</v>
      </c>
      <c r="J1045" t="s">
        <v>33</v>
      </c>
      <c r="K1045" t="s">
        <v>354</v>
      </c>
      <c r="L1045" t="s">
        <v>48</v>
      </c>
      <c r="M1045" t="s">
        <v>636</v>
      </c>
      <c r="N1045" t="s">
        <v>71</v>
      </c>
      <c r="O1045">
        <v>133</v>
      </c>
      <c r="P1045" t="s">
        <v>89</v>
      </c>
      <c r="Q1045">
        <v>7735</v>
      </c>
      <c r="R1045">
        <v>1000</v>
      </c>
      <c r="S1045" t="s">
        <v>73</v>
      </c>
      <c r="T1045" t="s">
        <v>38</v>
      </c>
      <c r="U1045" t="s">
        <v>39</v>
      </c>
      <c r="V1045" t="s">
        <v>52</v>
      </c>
      <c r="W1045" t="s">
        <v>52</v>
      </c>
      <c r="X1045">
        <v>2022</v>
      </c>
      <c r="Y1045" t="s">
        <v>63</v>
      </c>
      <c r="Z1045" t="s">
        <v>64</v>
      </c>
    </row>
    <row r="1046" spans="1:26">
      <c r="A1046" t="s">
        <v>2067</v>
      </c>
      <c r="B1046" t="s">
        <v>27</v>
      </c>
      <c r="C1046" t="s">
        <v>121</v>
      </c>
      <c r="D1046" t="s">
        <v>77</v>
      </c>
      <c r="E1046" t="s">
        <v>94</v>
      </c>
      <c r="F1046" t="s">
        <v>57</v>
      </c>
      <c r="G1046" t="s">
        <v>58</v>
      </c>
      <c r="H1046">
        <v>10.1</v>
      </c>
      <c r="I1046">
        <v>21.1</v>
      </c>
      <c r="J1046" t="s">
        <v>33</v>
      </c>
      <c r="K1046" t="s">
        <v>79</v>
      </c>
      <c r="L1046" t="s">
        <v>140</v>
      </c>
      <c r="M1046" t="s">
        <v>859</v>
      </c>
      <c r="N1046" t="s">
        <v>71</v>
      </c>
      <c r="O1046">
        <v>30</v>
      </c>
      <c r="P1046" t="s">
        <v>230</v>
      </c>
      <c r="Q1046">
        <v>3244</v>
      </c>
      <c r="R1046">
        <v>1000</v>
      </c>
      <c r="S1046" t="s">
        <v>152</v>
      </c>
      <c r="T1046" t="s">
        <v>81</v>
      </c>
      <c r="U1046" t="s">
        <v>39</v>
      </c>
      <c r="V1046" t="s">
        <v>52</v>
      </c>
      <c r="W1046" t="s">
        <v>39</v>
      </c>
      <c r="X1046">
        <v>2024</v>
      </c>
      <c r="Y1046" t="s">
        <v>82</v>
      </c>
      <c r="Z1046" t="s">
        <v>83</v>
      </c>
    </row>
    <row r="1047" spans="1:26">
      <c r="A1047" t="s">
        <v>2068</v>
      </c>
      <c r="B1047" t="s">
        <v>66</v>
      </c>
      <c r="C1047" t="s">
        <v>28</v>
      </c>
      <c r="D1047" t="s">
        <v>29</v>
      </c>
      <c r="E1047" t="s">
        <v>30</v>
      </c>
      <c r="F1047" t="s">
        <v>31</v>
      </c>
      <c r="G1047" t="s">
        <v>58</v>
      </c>
      <c r="H1047">
        <v>11.1</v>
      </c>
      <c r="I1047">
        <v>22.9</v>
      </c>
      <c r="J1047" t="s">
        <v>96</v>
      </c>
      <c r="K1047" t="s">
        <v>933</v>
      </c>
      <c r="L1047" t="s">
        <v>126</v>
      </c>
      <c r="M1047" t="s">
        <v>2069</v>
      </c>
      <c r="N1047" t="s">
        <v>61</v>
      </c>
      <c r="O1047">
        <v>142</v>
      </c>
      <c r="P1047" t="s">
        <v>2265</v>
      </c>
      <c r="Q1047">
        <v>0</v>
      </c>
      <c r="R1047">
        <v>0</v>
      </c>
      <c r="S1047" t="s">
        <v>2265</v>
      </c>
      <c r="T1047" t="s">
        <v>51</v>
      </c>
      <c r="U1047" t="s">
        <v>52</v>
      </c>
      <c r="V1047" t="s">
        <v>52</v>
      </c>
      <c r="W1047" t="s">
        <v>52</v>
      </c>
      <c r="X1047">
        <v>2023</v>
      </c>
      <c r="Y1047" t="s">
        <v>74</v>
      </c>
      <c r="Z1047" t="s">
        <v>54</v>
      </c>
    </row>
    <row r="1048" spans="1:26">
      <c r="A1048" t="s">
        <v>2070</v>
      </c>
      <c r="B1048" t="s">
        <v>116</v>
      </c>
      <c r="C1048" t="s">
        <v>76</v>
      </c>
      <c r="D1048" t="s">
        <v>77</v>
      </c>
      <c r="E1048" t="s">
        <v>260</v>
      </c>
      <c r="F1048" t="s">
        <v>124</v>
      </c>
      <c r="G1048" t="s">
        <v>58</v>
      </c>
      <c r="H1048">
        <v>10</v>
      </c>
      <c r="I1048">
        <v>27.8</v>
      </c>
      <c r="J1048" t="s">
        <v>144</v>
      </c>
      <c r="K1048" t="s">
        <v>1018</v>
      </c>
      <c r="L1048" t="s">
        <v>126</v>
      </c>
      <c r="M1048" t="s">
        <v>1008</v>
      </c>
      <c r="N1048" t="s">
        <v>171</v>
      </c>
      <c r="O1048">
        <v>105</v>
      </c>
      <c r="P1048" t="s">
        <v>2265</v>
      </c>
      <c r="Q1048">
        <v>0</v>
      </c>
      <c r="R1048">
        <v>0</v>
      </c>
      <c r="S1048" t="s">
        <v>2265</v>
      </c>
      <c r="T1048" t="s">
        <v>81</v>
      </c>
      <c r="U1048" t="s">
        <v>39</v>
      </c>
      <c r="V1048" t="s">
        <v>52</v>
      </c>
      <c r="W1048" t="s">
        <v>52</v>
      </c>
      <c r="X1048">
        <v>2023</v>
      </c>
      <c r="Y1048" t="s">
        <v>114</v>
      </c>
      <c r="Z1048" t="s">
        <v>41</v>
      </c>
    </row>
    <row r="1049" spans="1:26">
      <c r="A1049" t="s">
        <v>2071</v>
      </c>
      <c r="B1049" t="s">
        <v>108</v>
      </c>
      <c r="C1049" t="s">
        <v>44</v>
      </c>
      <c r="D1049" t="s">
        <v>122</v>
      </c>
      <c r="E1049" t="s">
        <v>202</v>
      </c>
      <c r="F1049" t="s">
        <v>57</v>
      </c>
      <c r="G1049" t="s">
        <v>32</v>
      </c>
      <c r="H1049">
        <v>10.8</v>
      </c>
      <c r="I1049">
        <v>2.1</v>
      </c>
      <c r="J1049" t="s">
        <v>33</v>
      </c>
      <c r="K1049" t="s">
        <v>296</v>
      </c>
      <c r="L1049" t="s">
        <v>35</v>
      </c>
      <c r="M1049" t="s">
        <v>180</v>
      </c>
      <c r="N1049" t="s">
        <v>71</v>
      </c>
      <c r="O1049">
        <v>113</v>
      </c>
      <c r="P1049" t="s">
        <v>230</v>
      </c>
      <c r="Q1049">
        <v>1857</v>
      </c>
      <c r="R1049">
        <v>0</v>
      </c>
      <c r="S1049" t="s">
        <v>90</v>
      </c>
      <c r="T1049" t="s">
        <v>51</v>
      </c>
      <c r="U1049" t="s">
        <v>39</v>
      </c>
      <c r="V1049" t="s">
        <v>39</v>
      </c>
      <c r="W1049" t="s">
        <v>39</v>
      </c>
      <c r="X1049">
        <v>2024</v>
      </c>
      <c r="Y1049" t="s">
        <v>82</v>
      </c>
      <c r="Z1049" t="s">
        <v>83</v>
      </c>
    </row>
    <row r="1050" spans="1:26">
      <c r="A1050" t="s">
        <v>2072</v>
      </c>
      <c r="B1050" t="s">
        <v>27</v>
      </c>
      <c r="C1050" t="s">
        <v>173</v>
      </c>
      <c r="D1050" t="s">
        <v>77</v>
      </c>
      <c r="E1050" t="s">
        <v>168</v>
      </c>
      <c r="F1050" t="s">
        <v>31</v>
      </c>
      <c r="G1050" t="s">
        <v>32</v>
      </c>
      <c r="H1050">
        <v>1.3</v>
      </c>
      <c r="I1050">
        <v>21.7</v>
      </c>
      <c r="J1050" t="s">
        <v>33</v>
      </c>
      <c r="K1050" t="s">
        <v>1278</v>
      </c>
      <c r="L1050" t="s">
        <v>140</v>
      </c>
      <c r="M1050" t="s">
        <v>2073</v>
      </c>
      <c r="N1050" t="s">
        <v>171</v>
      </c>
      <c r="O1050">
        <v>115</v>
      </c>
      <c r="P1050" t="s">
        <v>2265</v>
      </c>
      <c r="Q1050">
        <v>0</v>
      </c>
      <c r="R1050">
        <v>0</v>
      </c>
      <c r="S1050" t="s">
        <v>2265</v>
      </c>
      <c r="T1050" t="s">
        <v>62</v>
      </c>
      <c r="U1050" t="s">
        <v>39</v>
      </c>
      <c r="V1050" t="s">
        <v>52</v>
      </c>
      <c r="W1050" t="s">
        <v>52</v>
      </c>
      <c r="X1050">
        <v>2022</v>
      </c>
      <c r="Y1050" t="s">
        <v>106</v>
      </c>
      <c r="Z1050" t="s">
        <v>83</v>
      </c>
    </row>
    <row r="1051" spans="1:26">
      <c r="A1051" t="s">
        <v>2074</v>
      </c>
      <c r="B1051" t="s">
        <v>108</v>
      </c>
      <c r="C1051" t="s">
        <v>164</v>
      </c>
      <c r="D1051" t="s">
        <v>85</v>
      </c>
      <c r="E1051" t="s">
        <v>86</v>
      </c>
      <c r="F1051" t="s">
        <v>57</v>
      </c>
      <c r="G1051" t="s">
        <v>32</v>
      </c>
      <c r="H1051">
        <v>8.6999999999999993</v>
      </c>
      <c r="I1051">
        <v>20</v>
      </c>
      <c r="J1051" t="s">
        <v>96</v>
      </c>
      <c r="K1051" t="s">
        <v>413</v>
      </c>
      <c r="L1051" t="s">
        <v>35</v>
      </c>
      <c r="M1051" t="s">
        <v>267</v>
      </c>
      <c r="N1051" t="s">
        <v>71</v>
      </c>
      <c r="O1051">
        <v>76</v>
      </c>
      <c r="P1051" t="s">
        <v>105</v>
      </c>
      <c r="Q1051">
        <v>2047</v>
      </c>
      <c r="R1051">
        <v>1000</v>
      </c>
      <c r="S1051" t="s">
        <v>113</v>
      </c>
      <c r="T1051" t="s">
        <v>62</v>
      </c>
      <c r="U1051" t="s">
        <v>52</v>
      </c>
      <c r="V1051" t="s">
        <v>52</v>
      </c>
      <c r="W1051" t="s">
        <v>39</v>
      </c>
      <c r="X1051">
        <v>2023</v>
      </c>
      <c r="Y1051" t="s">
        <v>82</v>
      </c>
      <c r="Z1051" t="s">
        <v>83</v>
      </c>
    </row>
    <row r="1052" spans="1:26">
      <c r="A1052" t="s">
        <v>2075</v>
      </c>
      <c r="B1052" t="s">
        <v>108</v>
      </c>
      <c r="C1052" t="s">
        <v>28</v>
      </c>
      <c r="D1052" t="s">
        <v>77</v>
      </c>
      <c r="E1052" t="s">
        <v>78</v>
      </c>
      <c r="F1052" t="s">
        <v>31</v>
      </c>
      <c r="G1052" t="s">
        <v>32</v>
      </c>
      <c r="H1052">
        <v>7.1</v>
      </c>
      <c r="I1052">
        <v>6.7</v>
      </c>
      <c r="J1052" t="s">
        <v>144</v>
      </c>
      <c r="K1052" t="s">
        <v>898</v>
      </c>
      <c r="L1052" t="s">
        <v>35</v>
      </c>
      <c r="M1052" t="s">
        <v>1142</v>
      </c>
      <c r="N1052" t="s">
        <v>71</v>
      </c>
      <c r="O1052">
        <v>94</v>
      </c>
      <c r="P1052" t="s">
        <v>105</v>
      </c>
      <c r="Q1052">
        <v>6039</v>
      </c>
      <c r="R1052">
        <v>5000</v>
      </c>
      <c r="S1052" t="s">
        <v>113</v>
      </c>
      <c r="T1052" t="s">
        <v>81</v>
      </c>
      <c r="U1052" t="s">
        <v>39</v>
      </c>
      <c r="V1052" t="s">
        <v>39</v>
      </c>
      <c r="W1052" t="s">
        <v>52</v>
      </c>
      <c r="X1052">
        <v>2022</v>
      </c>
      <c r="Y1052" t="s">
        <v>53</v>
      </c>
      <c r="Z1052" t="s">
        <v>54</v>
      </c>
    </row>
    <row r="1053" spans="1:26">
      <c r="A1053" t="s">
        <v>2076</v>
      </c>
      <c r="B1053" t="s">
        <v>116</v>
      </c>
      <c r="C1053" t="s">
        <v>67</v>
      </c>
      <c r="D1053" t="s">
        <v>85</v>
      </c>
      <c r="E1053" t="s">
        <v>402</v>
      </c>
      <c r="F1053" t="s">
        <v>68</v>
      </c>
      <c r="G1053" t="s">
        <v>58</v>
      </c>
      <c r="H1053">
        <v>3.7</v>
      </c>
      <c r="I1053">
        <v>3.2</v>
      </c>
      <c r="J1053" t="s">
        <v>96</v>
      </c>
      <c r="K1053" t="s">
        <v>1415</v>
      </c>
      <c r="L1053" t="s">
        <v>126</v>
      </c>
      <c r="M1053" t="s">
        <v>619</v>
      </c>
      <c r="N1053" t="s">
        <v>71</v>
      </c>
      <c r="O1053">
        <v>162</v>
      </c>
      <c r="P1053" t="s">
        <v>72</v>
      </c>
      <c r="Q1053">
        <v>2057</v>
      </c>
      <c r="R1053">
        <v>0</v>
      </c>
      <c r="S1053" t="s">
        <v>152</v>
      </c>
      <c r="T1053" t="s">
        <v>62</v>
      </c>
      <c r="U1053" t="s">
        <v>39</v>
      </c>
      <c r="V1053" t="s">
        <v>39</v>
      </c>
      <c r="W1053" t="s">
        <v>52</v>
      </c>
      <c r="X1053">
        <v>2024</v>
      </c>
      <c r="Y1053" t="s">
        <v>40</v>
      </c>
      <c r="Z1053" t="s">
        <v>41</v>
      </c>
    </row>
    <row r="1054" spans="1:26">
      <c r="A1054" t="s">
        <v>2077</v>
      </c>
      <c r="B1054" t="s">
        <v>116</v>
      </c>
      <c r="C1054" t="s">
        <v>28</v>
      </c>
      <c r="D1054" t="s">
        <v>77</v>
      </c>
      <c r="E1054" t="s">
        <v>78</v>
      </c>
      <c r="F1054" t="s">
        <v>109</v>
      </c>
      <c r="G1054" t="s">
        <v>58</v>
      </c>
      <c r="H1054">
        <v>4.7</v>
      </c>
      <c r="I1054">
        <v>6.9</v>
      </c>
      <c r="J1054" t="s">
        <v>33</v>
      </c>
      <c r="K1054" t="s">
        <v>782</v>
      </c>
      <c r="L1054" t="s">
        <v>35</v>
      </c>
      <c r="M1054" t="s">
        <v>1086</v>
      </c>
      <c r="N1054" t="s">
        <v>71</v>
      </c>
      <c r="O1054">
        <v>24</v>
      </c>
      <c r="P1054" t="s">
        <v>105</v>
      </c>
      <c r="Q1054">
        <v>6999</v>
      </c>
      <c r="R1054">
        <v>0</v>
      </c>
      <c r="S1054" t="s">
        <v>90</v>
      </c>
      <c r="T1054" t="s">
        <v>81</v>
      </c>
      <c r="U1054" t="s">
        <v>52</v>
      </c>
      <c r="V1054" t="s">
        <v>52</v>
      </c>
      <c r="W1054" t="s">
        <v>52</v>
      </c>
      <c r="X1054">
        <v>2023</v>
      </c>
      <c r="Y1054" t="s">
        <v>211</v>
      </c>
      <c r="Z1054" t="s">
        <v>41</v>
      </c>
    </row>
    <row r="1055" spans="1:26">
      <c r="A1055" t="s">
        <v>2078</v>
      </c>
      <c r="B1055" t="s">
        <v>93</v>
      </c>
      <c r="C1055" t="s">
        <v>67</v>
      </c>
      <c r="D1055" t="s">
        <v>77</v>
      </c>
      <c r="E1055" t="s">
        <v>216</v>
      </c>
      <c r="F1055" t="s">
        <v>160</v>
      </c>
      <c r="G1055" t="s">
        <v>58</v>
      </c>
      <c r="H1055">
        <v>9.8000000000000007</v>
      </c>
      <c r="I1055">
        <v>30.9</v>
      </c>
      <c r="J1055" t="s">
        <v>33</v>
      </c>
      <c r="K1055" t="s">
        <v>435</v>
      </c>
      <c r="L1055" t="s">
        <v>140</v>
      </c>
      <c r="M1055" t="s">
        <v>535</v>
      </c>
      <c r="N1055" t="s">
        <v>71</v>
      </c>
      <c r="O1055">
        <v>86</v>
      </c>
      <c r="P1055" t="s">
        <v>72</v>
      </c>
      <c r="Q1055">
        <v>6680</v>
      </c>
      <c r="R1055">
        <v>0</v>
      </c>
      <c r="S1055" t="s">
        <v>152</v>
      </c>
      <c r="T1055" t="s">
        <v>51</v>
      </c>
      <c r="U1055" t="s">
        <v>52</v>
      </c>
      <c r="V1055" t="s">
        <v>39</v>
      </c>
      <c r="W1055" t="s">
        <v>52</v>
      </c>
      <c r="X1055">
        <v>2024</v>
      </c>
      <c r="Y1055" t="s">
        <v>114</v>
      </c>
      <c r="Z1055" t="s">
        <v>41</v>
      </c>
    </row>
    <row r="1056" spans="1:26">
      <c r="A1056" t="s">
        <v>2079</v>
      </c>
      <c r="B1056" t="s">
        <v>116</v>
      </c>
      <c r="C1056" t="s">
        <v>76</v>
      </c>
      <c r="D1056" t="s">
        <v>85</v>
      </c>
      <c r="E1056" t="s">
        <v>138</v>
      </c>
      <c r="F1056" t="s">
        <v>238</v>
      </c>
      <c r="G1056" t="s">
        <v>58</v>
      </c>
      <c r="H1056">
        <v>10.4</v>
      </c>
      <c r="I1056">
        <v>17.600000000000001</v>
      </c>
      <c r="J1056" t="s">
        <v>156</v>
      </c>
      <c r="K1056" t="s">
        <v>1188</v>
      </c>
      <c r="L1056" t="s">
        <v>126</v>
      </c>
      <c r="M1056" t="s">
        <v>760</v>
      </c>
      <c r="N1056" t="s">
        <v>71</v>
      </c>
      <c r="O1056">
        <v>1</v>
      </c>
      <c r="P1056" t="s">
        <v>89</v>
      </c>
      <c r="Q1056">
        <v>1017</v>
      </c>
      <c r="R1056">
        <v>5000</v>
      </c>
      <c r="S1056" t="s">
        <v>152</v>
      </c>
      <c r="T1056" t="s">
        <v>136</v>
      </c>
      <c r="U1056" t="s">
        <v>39</v>
      </c>
      <c r="V1056" t="s">
        <v>39</v>
      </c>
      <c r="W1056" t="s">
        <v>52</v>
      </c>
      <c r="X1056">
        <v>2022</v>
      </c>
      <c r="Y1056" t="s">
        <v>114</v>
      </c>
      <c r="Z1056" t="s">
        <v>41</v>
      </c>
    </row>
    <row r="1057" spans="1:26">
      <c r="A1057" t="s">
        <v>2080</v>
      </c>
      <c r="B1057" t="s">
        <v>27</v>
      </c>
      <c r="C1057" t="s">
        <v>67</v>
      </c>
      <c r="D1057" t="s">
        <v>77</v>
      </c>
      <c r="E1057" t="s">
        <v>363</v>
      </c>
      <c r="F1057" t="s">
        <v>160</v>
      </c>
      <c r="G1057" t="s">
        <v>58</v>
      </c>
      <c r="H1057">
        <v>6.1</v>
      </c>
      <c r="I1057">
        <v>32.200000000000003</v>
      </c>
      <c r="J1057" t="s">
        <v>33</v>
      </c>
      <c r="K1057" t="s">
        <v>1900</v>
      </c>
      <c r="L1057" t="s">
        <v>35</v>
      </c>
      <c r="M1057" t="s">
        <v>2081</v>
      </c>
      <c r="N1057" t="s">
        <v>50</v>
      </c>
      <c r="O1057">
        <v>72</v>
      </c>
      <c r="P1057" t="s">
        <v>2265</v>
      </c>
      <c r="Q1057">
        <v>0</v>
      </c>
      <c r="R1057">
        <v>0</v>
      </c>
      <c r="S1057" t="s">
        <v>2265</v>
      </c>
      <c r="T1057" t="s">
        <v>136</v>
      </c>
      <c r="U1057" t="s">
        <v>39</v>
      </c>
      <c r="V1057" t="s">
        <v>39</v>
      </c>
      <c r="W1057" t="s">
        <v>52</v>
      </c>
      <c r="X1057">
        <v>2022</v>
      </c>
      <c r="Y1057" t="s">
        <v>91</v>
      </c>
      <c r="Z1057" t="s">
        <v>64</v>
      </c>
    </row>
    <row r="1058" spans="1:26">
      <c r="A1058" t="s">
        <v>2082</v>
      </c>
      <c r="B1058" t="s">
        <v>27</v>
      </c>
      <c r="C1058" t="s">
        <v>67</v>
      </c>
      <c r="D1058" t="s">
        <v>77</v>
      </c>
      <c r="E1058" t="s">
        <v>363</v>
      </c>
      <c r="F1058" t="s">
        <v>238</v>
      </c>
      <c r="G1058" t="s">
        <v>32</v>
      </c>
      <c r="H1058">
        <v>1</v>
      </c>
      <c r="I1058">
        <v>33</v>
      </c>
      <c r="J1058" t="s">
        <v>33</v>
      </c>
      <c r="K1058" t="s">
        <v>410</v>
      </c>
      <c r="L1058" t="s">
        <v>35</v>
      </c>
      <c r="M1058" t="s">
        <v>1447</v>
      </c>
      <c r="N1058" t="s">
        <v>100</v>
      </c>
      <c r="O1058">
        <v>35</v>
      </c>
      <c r="P1058" t="s">
        <v>2265</v>
      </c>
      <c r="Q1058">
        <v>0</v>
      </c>
      <c r="R1058">
        <v>0</v>
      </c>
      <c r="S1058" t="s">
        <v>2265</v>
      </c>
      <c r="T1058" t="s">
        <v>51</v>
      </c>
      <c r="U1058" t="s">
        <v>39</v>
      </c>
      <c r="V1058" t="s">
        <v>39</v>
      </c>
      <c r="W1058" t="s">
        <v>39</v>
      </c>
      <c r="X1058">
        <v>2022</v>
      </c>
      <c r="Y1058" t="s">
        <v>40</v>
      </c>
      <c r="Z1058" t="s">
        <v>41</v>
      </c>
    </row>
    <row r="1059" spans="1:26">
      <c r="A1059" t="s">
        <v>2083</v>
      </c>
      <c r="B1059" t="s">
        <v>116</v>
      </c>
      <c r="C1059" t="s">
        <v>67</v>
      </c>
      <c r="D1059" t="s">
        <v>77</v>
      </c>
      <c r="E1059" t="s">
        <v>260</v>
      </c>
      <c r="F1059" t="s">
        <v>68</v>
      </c>
      <c r="G1059" t="s">
        <v>32</v>
      </c>
      <c r="H1059">
        <v>1.4</v>
      </c>
      <c r="I1059">
        <v>28.7</v>
      </c>
      <c r="J1059" t="s">
        <v>33</v>
      </c>
      <c r="K1059" t="s">
        <v>2084</v>
      </c>
      <c r="L1059" t="s">
        <v>98</v>
      </c>
      <c r="M1059" t="s">
        <v>2085</v>
      </c>
      <c r="N1059" t="s">
        <v>71</v>
      </c>
      <c r="O1059">
        <v>157</v>
      </c>
      <c r="P1059" t="s">
        <v>230</v>
      </c>
      <c r="Q1059">
        <v>6799</v>
      </c>
      <c r="R1059">
        <v>5000</v>
      </c>
      <c r="S1059" t="s">
        <v>152</v>
      </c>
      <c r="T1059" t="s">
        <v>81</v>
      </c>
      <c r="U1059" t="s">
        <v>52</v>
      </c>
      <c r="V1059" t="s">
        <v>39</v>
      </c>
      <c r="W1059" t="s">
        <v>52</v>
      </c>
      <c r="X1059">
        <v>2022</v>
      </c>
      <c r="Y1059" t="s">
        <v>106</v>
      </c>
      <c r="Z1059" t="s">
        <v>83</v>
      </c>
    </row>
    <row r="1060" spans="1:26">
      <c r="A1060" t="s">
        <v>2086</v>
      </c>
      <c r="B1060" t="s">
        <v>108</v>
      </c>
      <c r="C1060" t="s">
        <v>173</v>
      </c>
      <c r="D1060" t="s">
        <v>77</v>
      </c>
      <c r="E1060" t="s">
        <v>220</v>
      </c>
      <c r="F1060" t="s">
        <v>95</v>
      </c>
      <c r="G1060" t="s">
        <v>32</v>
      </c>
      <c r="H1060">
        <v>3.8</v>
      </c>
      <c r="I1060">
        <v>1</v>
      </c>
      <c r="J1060" t="s">
        <v>20</v>
      </c>
      <c r="K1060" t="s">
        <v>2087</v>
      </c>
      <c r="L1060" t="s">
        <v>98</v>
      </c>
      <c r="M1060" t="s">
        <v>2088</v>
      </c>
      <c r="N1060" t="s">
        <v>71</v>
      </c>
      <c r="O1060">
        <v>119</v>
      </c>
      <c r="P1060" t="s">
        <v>72</v>
      </c>
      <c r="Q1060">
        <v>6524</v>
      </c>
      <c r="R1060">
        <v>1000</v>
      </c>
      <c r="S1060" t="s">
        <v>152</v>
      </c>
      <c r="T1060" t="s">
        <v>81</v>
      </c>
      <c r="U1060" t="s">
        <v>39</v>
      </c>
      <c r="V1060" t="s">
        <v>52</v>
      </c>
      <c r="W1060" t="s">
        <v>52</v>
      </c>
      <c r="X1060">
        <v>2022</v>
      </c>
      <c r="Y1060" t="s">
        <v>312</v>
      </c>
      <c r="Z1060" t="s">
        <v>83</v>
      </c>
    </row>
    <row r="1061" spans="1:26">
      <c r="A1061" t="s">
        <v>2089</v>
      </c>
      <c r="B1061" t="s">
        <v>108</v>
      </c>
      <c r="C1061" t="s">
        <v>28</v>
      </c>
      <c r="D1061" t="s">
        <v>85</v>
      </c>
      <c r="E1061" t="s">
        <v>138</v>
      </c>
      <c r="F1061" t="s">
        <v>57</v>
      </c>
      <c r="G1061" t="s">
        <v>58</v>
      </c>
      <c r="H1061">
        <v>1.7</v>
      </c>
      <c r="I1061">
        <v>9.4</v>
      </c>
      <c r="J1061" t="s">
        <v>20</v>
      </c>
      <c r="K1061" t="s">
        <v>158</v>
      </c>
      <c r="L1061" t="s">
        <v>98</v>
      </c>
      <c r="M1061" t="s">
        <v>961</v>
      </c>
      <c r="N1061" t="s">
        <v>171</v>
      </c>
      <c r="O1061">
        <v>106</v>
      </c>
      <c r="P1061" t="s">
        <v>2265</v>
      </c>
      <c r="Q1061">
        <v>0</v>
      </c>
      <c r="R1061">
        <v>0</v>
      </c>
      <c r="S1061" t="s">
        <v>2265</v>
      </c>
      <c r="T1061" t="s">
        <v>62</v>
      </c>
      <c r="U1061" t="s">
        <v>39</v>
      </c>
      <c r="V1061" t="s">
        <v>52</v>
      </c>
      <c r="W1061" t="s">
        <v>52</v>
      </c>
      <c r="X1061">
        <v>2023</v>
      </c>
      <c r="Y1061" t="s">
        <v>312</v>
      </c>
      <c r="Z1061" t="s">
        <v>83</v>
      </c>
    </row>
    <row r="1062" spans="1:26">
      <c r="A1062" t="s">
        <v>2090</v>
      </c>
      <c r="B1062" t="s">
        <v>27</v>
      </c>
      <c r="C1062" t="s">
        <v>44</v>
      </c>
      <c r="D1062" t="s">
        <v>29</v>
      </c>
      <c r="E1062" t="s">
        <v>195</v>
      </c>
      <c r="F1062" t="s">
        <v>124</v>
      </c>
      <c r="G1062" t="s">
        <v>58</v>
      </c>
      <c r="H1062">
        <v>4.0999999999999996</v>
      </c>
      <c r="I1062">
        <v>5.8</v>
      </c>
      <c r="J1062" t="s">
        <v>33</v>
      </c>
      <c r="K1062" t="s">
        <v>549</v>
      </c>
      <c r="L1062" t="s">
        <v>126</v>
      </c>
      <c r="M1062" t="s">
        <v>1958</v>
      </c>
      <c r="N1062" t="s">
        <v>71</v>
      </c>
      <c r="O1062">
        <v>55</v>
      </c>
      <c r="P1062" t="s">
        <v>72</v>
      </c>
      <c r="Q1062">
        <v>1645</v>
      </c>
      <c r="R1062">
        <v>0</v>
      </c>
      <c r="S1062" t="s">
        <v>113</v>
      </c>
      <c r="T1062" t="s">
        <v>51</v>
      </c>
      <c r="U1062" t="s">
        <v>52</v>
      </c>
      <c r="V1062" t="s">
        <v>52</v>
      </c>
      <c r="W1062" t="s">
        <v>52</v>
      </c>
      <c r="X1062">
        <v>2022</v>
      </c>
      <c r="Y1062" t="s">
        <v>153</v>
      </c>
      <c r="Z1062" t="s">
        <v>54</v>
      </c>
    </row>
    <row r="1063" spans="1:26">
      <c r="A1063" t="s">
        <v>2091</v>
      </c>
      <c r="B1063" t="s">
        <v>116</v>
      </c>
      <c r="C1063" t="s">
        <v>44</v>
      </c>
      <c r="D1063" t="s">
        <v>122</v>
      </c>
      <c r="E1063" t="s">
        <v>148</v>
      </c>
      <c r="F1063" t="s">
        <v>149</v>
      </c>
      <c r="G1063" t="s">
        <v>58</v>
      </c>
      <c r="H1063">
        <v>3.3</v>
      </c>
      <c r="I1063">
        <v>19.3</v>
      </c>
      <c r="J1063" t="s">
        <v>20</v>
      </c>
      <c r="K1063" t="s">
        <v>2092</v>
      </c>
      <c r="L1063" t="s">
        <v>140</v>
      </c>
      <c r="M1063" t="s">
        <v>516</v>
      </c>
      <c r="N1063" t="s">
        <v>71</v>
      </c>
      <c r="O1063">
        <v>136</v>
      </c>
      <c r="P1063" t="s">
        <v>89</v>
      </c>
      <c r="Q1063">
        <v>2161</v>
      </c>
      <c r="R1063">
        <v>5000</v>
      </c>
      <c r="S1063" t="s">
        <v>152</v>
      </c>
      <c r="T1063" t="s">
        <v>51</v>
      </c>
      <c r="U1063" t="s">
        <v>39</v>
      </c>
      <c r="V1063" t="s">
        <v>52</v>
      </c>
      <c r="W1063" t="s">
        <v>52</v>
      </c>
      <c r="X1063">
        <v>2024</v>
      </c>
      <c r="Y1063" t="s">
        <v>53</v>
      </c>
      <c r="Z1063" t="s">
        <v>54</v>
      </c>
    </row>
    <row r="1064" spans="1:26">
      <c r="A1064" t="s">
        <v>2093</v>
      </c>
      <c r="B1064" t="s">
        <v>116</v>
      </c>
      <c r="C1064" t="s">
        <v>67</v>
      </c>
      <c r="D1064" t="s">
        <v>77</v>
      </c>
      <c r="E1064" t="s">
        <v>260</v>
      </c>
      <c r="F1064" t="s">
        <v>46</v>
      </c>
      <c r="G1064" t="s">
        <v>58</v>
      </c>
      <c r="H1064">
        <v>4.9000000000000004</v>
      </c>
      <c r="I1064">
        <v>5.3</v>
      </c>
      <c r="J1064" t="s">
        <v>144</v>
      </c>
      <c r="K1064" t="s">
        <v>69</v>
      </c>
      <c r="L1064" t="s">
        <v>126</v>
      </c>
      <c r="M1064" t="s">
        <v>1426</v>
      </c>
      <c r="N1064" t="s">
        <v>61</v>
      </c>
      <c r="O1064">
        <v>98</v>
      </c>
      <c r="P1064" t="s">
        <v>2265</v>
      </c>
      <c r="Q1064">
        <v>0</v>
      </c>
      <c r="R1064">
        <v>0</v>
      </c>
      <c r="S1064" t="s">
        <v>2265</v>
      </c>
      <c r="T1064" t="s">
        <v>51</v>
      </c>
      <c r="U1064" t="s">
        <v>39</v>
      </c>
      <c r="V1064" t="s">
        <v>52</v>
      </c>
      <c r="W1064" t="s">
        <v>52</v>
      </c>
      <c r="X1064">
        <v>2023</v>
      </c>
      <c r="Y1064" t="s">
        <v>74</v>
      </c>
      <c r="Z1064" t="s">
        <v>54</v>
      </c>
    </row>
    <row r="1065" spans="1:26">
      <c r="A1065" t="s">
        <v>2094</v>
      </c>
      <c r="B1065" t="s">
        <v>27</v>
      </c>
      <c r="C1065" t="s">
        <v>164</v>
      </c>
      <c r="D1065" t="s">
        <v>77</v>
      </c>
      <c r="E1065" t="s">
        <v>260</v>
      </c>
      <c r="F1065" t="s">
        <v>238</v>
      </c>
      <c r="G1065" t="s">
        <v>58</v>
      </c>
      <c r="H1065">
        <v>11.5</v>
      </c>
      <c r="I1065">
        <v>6</v>
      </c>
      <c r="J1065" t="s">
        <v>20</v>
      </c>
      <c r="K1065" t="s">
        <v>1439</v>
      </c>
      <c r="L1065" t="s">
        <v>60</v>
      </c>
      <c r="M1065" t="s">
        <v>2021</v>
      </c>
      <c r="N1065" t="s">
        <v>171</v>
      </c>
      <c r="O1065">
        <v>21</v>
      </c>
      <c r="P1065" t="s">
        <v>2265</v>
      </c>
      <c r="Q1065">
        <v>0</v>
      </c>
      <c r="R1065">
        <v>0</v>
      </c>
      <c r="S1065" t="s">
        <v>2265</v>
      </c>
      <c r="T1065" t="s">
        <v>51</v>
      </c>
      <c r="U1065" t="s">
        <v>39</v>
      </c>
      <c r="V1065" t="s">
        <v>39</v>
      </c>
      <c r="W1065" t="s">
        <v>52</v>
      </c>
      <c r="X1065">
        <v>2023</v>
      </c>
      <c r="Y1065" t="s">
        <v>63</v>
      </c>
      <c r="Z1065" t="s">
        <v>64</v>
      </c>
    </row>
    <row r="1066" spans="1:26">
      <c r="A1066" t="s">
        <v>2095</v>
      </c>
      <c r="B1066" t="s">
        <v>108</v>
      </c>
      <c r="C1066" t="s">
        <v>44</v>
      </c>
      <c r="D1066" t="s">
        <v>29</v>
      </c>
      <c r="E1066" t="s">
        <v>94</v>
      </c>
      <c r="F1066" t="s">
        <v>95</v>
      </c>
      <c r="G1066" t="s">
        <v>58</v>
      </c>
      <c r="H1066">
        <v>11.4</v>
      </c>
      <c r="I1066">
        <v>34.9</v>
      </c>
      <c r="J1066" t="s">
        <v>33</v>
      </c>
      <c r="K1066" t="s">
        <v>2096</v>
      </c>
      <c r="L1066" t="s">
        <v>60</v>
      </c>
      <c r="M1066" t="s">
        <v>1129</v>
      </c>
      <c r="N1066" t="s">
        <v>71</v>
      </c>
      <c r="O1066">
        <v>171</v>
      </c>
      <c r="P1066" t="s">
        <v>72</v>
      </c>
      <c r="Q1066">
        <v>2456</v>
      </c>
      <c r="R1066">
        <v>0</v>
      </c>
      <c r="S1066" t="s">
        <v>90</v>
      </c>
      <c r="T1066" t="s">
        <v>136</v>
      </c>
      <c r="U1066" t="s">
        <v>39</v>
      </c>
      <c r="V1066" t="s">
        <v>52</v>
      </c>
      <c r="W1066" t="s">
        <v>52</v>
      </c>
      <c r="X1066">
        <v>2022</v>
      </c>
      <c r="Y1066" t="s">
        <v>82</v>
      </c>
      <c r="Z1066" t="s">
        <v>83</v>
      </c>
    </row>
    <row r="1067" spans="1:26">
      <c r="A1067" t="s">
        <v>2097</v>
      </c>
      <c r="B1067" t="s">
        <v>93</v>
      </c>
      <c r="C1067" t="s">
        <v>28</v>
      </c>
      <c r="D1067" t="s">
        <v>77</v>
      </c>
      <c r="E1067" t="s">
        <v>220</v>
      </c>
      <c r="F1067" t="s">
        <v>68</v>
      </c>
      <c r="G1067" t="s">
        <v>58</v>
      </c>
      <c r="H1067">
        <v>11</v>
      </c>
      <c r="I1067">
        <v>11.4</v>
      </c>
      <c r="J1067" t="s">
        <v>33</v>
      </c>
      <c r="K1067" t="s">
        <v>690</v>
      </c>
      <c r="L1067" t="s">
        <v>98</v>
      </c>
      <c r="M1067" t="s">
        <v>210</v>
      </c>
      <c r="N1067" t="s">
        <v>171</v>
      </c>
      <c r="O1067">
        <v>159</v>
      </c>
      <c r="P1067" t="s">
        <v>2265</v>
      </c>
      <c r="Q1067">
        <v>0</v>
      </c>
      <c r="R1067">
        <v>0</v>
      </c>
      <c r="S1067" t="s">
        <v>2265</v>
      </c>
      <c r="T1067" t="s">
        <v>81</v>
      </c>
      <c r="U1067" t="s">
        <v>39</v>
      </c>
      <c r="V1067" t="s">
        <v>52</v>
      </c>
      <c r="W1067" t="s">
        <v>52</v>
      </c>
      <c r="X1067">
        <v>2024</v>
      </c>
      <c r="Y1067" t="s">
        <v>74</v>
      </c>
      <c r="Z1067" t="s">
        <v>54</v>
      </c>
    </row>
    <row r="1068" spans="1:26">
      <c r="A1068" t="s">
        <v>2098</v>
      </c>
      <c r="B1068" t="s">
        <v>116</v>
      </c>
      <c r="C1068" t="s">
        <v>67</v>
      </c>
      <c r="D1068" t="s">
        <v>77</v>
      </c>
      <c r="E1068" t="s">
        <v>260</v>
      </c>
      <c r="F1068" t="s">
        <v>95</v>
      </c>
      <c r="G1068" t="s">
        <v>32</v>
      </c>
      <c r="H1068">
        <v>9.8000000000000007</v>
      </c>
      <c r="I1068">
        <v>32.200000000000003</v>
      </c>
      <c r="J1068" t="s">
        <v>33</v>
      </c>
      <c r="K1068" t="s">
        <v>555</v>
      </c>
      <c r="L1068" t="s">
        <v>98</v>
      </c>
      <c r="M1068" t="s">
        <v>1297</v>
      </c>
      <c r="N1068" t="s">
        <v>71</v>
      </c>
      <c r="O1068">
        <v>3</v>
      </c>
      <c r="P1068" t="s">
        <v>89</v>
      </c>
      <c r="Q1068">
        <v>6421</v>
      </c>
      <c r="R1068">
        <v>5000</v>
      </c>
      <c r="S1068" t="s">
        <v>152</v>
      </c>
      <c r="T1068" t="s">
        <v>62</v>
      </c>
      <c r="U1068" t="s">
        <v>39</v>
      </c>
      <c r="V1068" t="s">
        <v>52</v>
      </c>
      <c r="W1068" t="s">
        <v>52</v>
      </c>
      <c r="X1068">
        <v>2022</v>
      </c>
      <c r="Y1068" t="s">
        <v>53</v>
      </c>
      <c r="Z1068" t="s">
        <v>54</v>
      </c>
    </row>
    <row r="1069" spans="1:26">
      <c r="A1069" t="s">
        <v>2099</v>
      </c>
      <c r="B1069" t="s">
        <v>43</v>
      </c>
      <c r="C1069" t="s">
        <v>121</v>
      </c>
      <c r="D1069" t="s">
        <v>77</v>
      </c>
      <c r="E1069" t="s">
        <v>78</v>
      </c>
      <c r="F1069" t="s">
        <v>31</v>
      </c>
      <c r="G1069" t="s">
        <v>58</v>
      </c>
      <c r="H1069">
        <v>9.1999999999999993</v>
      </c>
      <c r="I1069">
        <v>24.8</v>
      </c>
      <c r="J1069" t="s">
        <v>33</v>
      </c>
      <c r="K1069" t="s">
        <v>166</v>
      </c>
      <c r="L1069" t="s">
        <v>98</v>
      </c>
      <c r="M1069" t="s">
        <v>2100</v>
      </c>
      <c r="N1069" t="s">
        <v>50</v>
      </c>
      <c r="O1069">
        <v>12</v>
      </c>
      <c r="P1069" t="s">
        <v>2265</v>
      </c>
      <c r="Q1069">
        <v>0</v>
      </c>
      <c r="R1069">
        <v>0</v>
      </c>
      <c r="S1069" t="s">
        <v>2265</v>
      </c>
      <c r="T1069" t="s">
        <v>62</v>
      </c>
      <c r="U1069" t="s">
        <v>39</v>
      </c>
      <c r="V1069" t="s">
        <v>52</v>
      </c>
      <c r="W1069" t="s">
        <v>39</v>
      </c>
      <c r="X1069">
        <v>2023</v>
      </c>
      <c r="Y1069" t="s">
        <v>211</v>
      </c>
      <c r="Z1069" t="s">
        <v>41</v>
      </c>
    </row>
    <row r="1070" spans="1:26">
      <c r="A1070" t="s">
        <v>2101</v>
      </c>
      <c r="B1070" t="s">
        <v>43</v>
      </c>
      <c r="C1070" t="s">
        <v>173</v>
      </c>
      <c r="D1070" t="s">
        <v>77</v>
      </c>
      <c r="E1070" t="s">
        <v>143</v>
      </c>
      <c r="F1070" t="s">
        <v>238</v>
      </c>
      <c r="G1070" t="s">
        <v>58</v>
      </c>
      <c r="H1070">
        <v>3.5</v>
      </c>
      <c r="I1070">
        <v>23.9</v>
      </c>
      <c r="J1070" t="s">
        <v>156</v>
      </c>
      <c r="K1070" t="s">
        <v>1920</v>
      </c>
      <c r="L1070" t="s">
        <v>140</v>
      </c>
      <c r="M1070" t="s">
        <v>820</v>
      </c>
      <c r="N1070" t="s">
        <v>100</v>
      </c>
      <c r="O1070">
        <v>3</v>
      </c>
      <c r="P1070" t="s">
        <v>2265</v>
      </c>
      <c r="Q1070">
        <v>0</v>
      </c>
      <c r="R1070">
        <v>0</v>
      </c>
      <c r="S1070" t="s">
        <v>2265</v>
      </c>
      <c r="T1070" t="s">
        <v>38</v>
      </c>
      <c r="U1070" t="s">
        <v>39</v>
      </c>
      <c r="V1070" t="s">
        <v>52</v>
      </c>
      <c r="W1070" t="s">
        <v>52</v>
      </c>
      <c r="X1070">
        <v>2022</v>
      </c>
      <c r="Y1070" t="s">
        <v>74</v>
      </c>
      <c r="Z1070" t="s">
        <v>54</v>
      </c>
    </row>
    <row r="1071" spans="1:26">
      <c r="A1071" t="s">
        <v>2102</v>
      </c>
      <c r="B1071" t="s">
        <v>116</v>
      </c>
      <c r="C1071" t="s">
        <v>28</v>
      </c>
      <c r="D1071" t="s">
        <v>77</v>
      </c>
      <c r="E1071" t="s">
        <v>220</v>
      </c>
      <c r="F1071" t="s">
        <v>109</v>
      </c>
      <c r="G1071" t="s">
        <v>32</v>
      </c>
      <c r="H1071">
        <v>8.4</v>
      </c>
      <c r="I1071">
        <v>26.7</v>
      </c>
      <c r="J1071" t="s">
        <v>156</v>
      </c>
      <c r="K1071" t="s">
        <v>1379</v>
      </c>
      <c r="L1071" t="s">
        <v>140</v>
      </c>
      <c r="M1071" t="s">
        <v>1170</v>
      </c>
      <c r="N1071" t="s">
        <v>71</v>
      </c>
      <c r="O1071">
        <v>110</v>
      </c>
      <c r="P1071" t="s">
        <v>230</v>
      </c>
      <c r="Q1071">
        <v>7149</v>
      </c>
      <c r="R1071">
        <v>1000</v>
      </c>
      <c r="S1071" t="s">
        <v>113</v>
      </c>
      <c r="T1071" t="s">
        <v>51</v>
      </c>
      <c r="U1071" t="s">
        <v>39</v>
      </c>
      <c r="V1071" t="s">
        <v>52</v>
      </c>
      <c r="W1071" t="s">
        <v>52</v>
      </c>
      <c r="X1071">
        <v>2023</v>
      </c>
      <c r="Y1071" t="s">
        <v>312</v>
      </c>
      <c r="Z1071" t="s">
        <v>83</v>
      </c>
    </row>
    <row r="1072" spans="1:26">
      <c r="A1072" t="s">
        <v>2103</v>
      </c>
      <c r="B1072" t="s">
        <v>116</v>
      </c>
      <c r="C1072" t="s">
        <v>76</v>
      </c>
      <c r="D1072" t="s">
        <v>122</v>
      </c>
      <c r="E1072" t="s">
        <v>148</v>
      </c>
      <c r="F1072" t="s">
        <v>238</v>
      </c>
      <c r="G1072" t="s">
        <v>32</v>
      </c>
      <c r="H1072">
        <v>1.8</v>
      </c>
      <c r="I1072">
        <v>13</v>
      </c>
      <c r="J1072" t="s">
        <v>144</v>
      </c>
      <c r="K1072" t="s">
        <v>1219</v>
      </c>
      <c r="L1072" t="s">
        <v>140</v>
      </c>
      <c r="M1072" t="s">
        <v>2104</v>
      </c>
      <c r="N1072" t="s">
        <v>171</v>
      </c>
      <c r="O1072">
        <v>176</v>
      </c>
      <c r="P1072" t="s">
        <v>2265</v>
      </c>
      <c r="Q1072">
        <v>0</v>
      </c>
      <c r="R1072">
        <v>0</v>
      </c>
      <c r="S1072" t="s">
        <v>2265</v>
      </c>
      <c r="T1072" t="s">
        <v>62</v>
      </c>
      <c r="U1072" t="s">
        <v>39</v>
      </c>
      <c r="V1072" t="s">
        <v>52</v>
      </c>
      <c r="W1072" t="s">
        <v>39</v>
      </c>
      <c r="X1072">
        <v>2024</v>
      </c>
      <c r="Y1072" t="s">
        <v>82</v>
      </c>
      <c r="Z1072" t="s">
        <v>83</v>
      </c>
    </row>
    <row r="1073" spans="1:26">
      <c r="A1073" t="s">
        <v>2105</v>
      </c>
      <c r="B1073" t="s">
        <v>93</v>
      </c>
      <c r="C1073" t="s">
        <v>76</v>
      </c>
      <c r="D1073" t="s">
        <v>85</v>
      </c>
      <c r="E1073" t="s">
        <v>138</v>
      </c>
      <c r="F1073" t="s">
        <v>124</v>
      </c>
      <c r="G1073" t="s">
        <v>32</v>
      </c>
      <c r="H1073">
        <v>4.7</v>
      </c>
      <c r="I1073">
        <v>15.7</v>
      </c>
      <c r="J1073" t="s">
        <v>20</v>
      </c>
      <c r="K1073" t="s">
        <v>119</v>
      </c>
      <c r="L1073" t="s">
        <v>60</v>
      </c>
      <c r="M1073" t="s">
        <v>407</v>
      </c>
      <c r="N1073" t="s">
        <v>71</v>
      </c>
      <c r="O1073">
        <v>141</v>
      </c>
      <c r="P1073" t="s">
        <v>89</v>
      </c>
      <c r="Q1073">
        <v>801</v>
      </c>
      <c r="R1073">
        <v>1000</v>
      </c>
      <c r="S1073" t="s">
        <v>113</v>
      </c>
      <c r="T1073" t="s">
        <v>81</v>
      </c>
      <c r="U1073" t="s">
        <v>39</v>
      </c>
      <c r="V1073" t="s">
        <v>52</v>
      </c>
      <c r="W1073" t="s">
        <v>52</v>
      </c>
      <c r="X1073">
        <v>2024</v>
      </c>
      <c r="Y1073" t="s">
        <v>53</v>
      </c>
      <c r="Z1073" t="s">
        <v>54</v>
      </c>
    </row>
    <row r="1074" spans="1:26">
      <c r="A1074" t="s">
        <v>2106</v>
      </c>
      <c r="B1074" t="s">
        <v>43</v>
      </c>
      <c r="C1074" t="s">
        <v>67</v>
      </c>
      <c r="D1074" t="s">
        <v>77</v>
      </c>
      <c r="E1074" t="s">
        <v>220</v>
      </c>
      <c r="F1074" t="s">
        <v>46</v>
      </c>
      <c r="G1074" t="s">
        <v>58</v>
      </c>
      <c r="H1074">
        <v>4.5999999999999996</v>
      </c>
      <c r="I1074">
        <v>29.8</v>
      </c>
      <c r="J1074" t="s">
        <v>33</v>
      </c>
      <c r="K1074" t="s">
        <v>2107</v>
      </c>
      <c r="L1074" t="s">
        <v>48</v>
      </c>
      <c r="M1074" t="s">
        <v>564</v>
      </c>
      <c r="N1074" t="s">
        <v>50</v>
      </c>
      <c r="O1074">
        <v>101</v>
      </c>
      <c r="P1074" t="s">
        <v>2265</v>
      </c>
      <c r="Q1074">
        <v>0</v>
      </c>
      <c r="R1074">
        <v>1000</v>
      </c>
      <c r="S1074" t="s">
        <v>2265</v>
      </c>
      <c r="T1074" t="s">
        <v>51</v>
      </c>
      <c r="U1074" t="s">
        <v>39</v>
      </c>
      <c r="V1074" t="s">
        <v>39</v>
      </c>
      <c r="W1074" t="s">
        <v>52</v>
      </c>
      <c r="X1074">
        <v>2022</v>
      </c>
      <c r="Y1074" t="s">
        <v>106</v>
      </c>
      <c r="Z1074" t="s">
        <v>83</v>
      </c>
    </row>
    <row r="1075" spans="1:26">
      <c r="A1075" t="s">
        <v>2108</v>
      </c>
      <c r="B1075" t="s">
        <v>93</v>
      </c>
      <c r="C1075" t="s">
        <v>164</v>
      </c>
      <c r="D1075" t="s">
        <v>77</v>
      </c>
      <c r="E1075" t="s">
        <v>94</v>
      </c>
      <c r="F1075" t="s">
        <v>31</v>
      </c>
      <c r="G1075" t="s">
        <v>58</v>
      </c>
      <c r="H1075">
        <v>3.5</v>
      </c>
      <c r="I1075">
        <v>16.3</v>
      </c>
      <c r="J1075" t="s">
        <v>156</v>
      </c>
      <c r="K1075" t="s">
        <v>750</v>
      </c>
      <c r="L1075" t="s">
        <v>48</v>
      </c>
      <c r="M1075" t="s">
        <v>918</v>
      </c>
      <c r="N1075" t="s">
        <v>71</v>
      </c>
      <c r="O1075">
        <v>66</v>
      </c>
      <c r="P1075" t="s">
        <v>105</v>
      </c>
      <c r="Q1075">
        <v>6204</v>
      </c>
      <c r="R1075">
        <v>0</v>
      </c>
      <c r="S1075" t="s">
        <v>113</v>
      </c>
      <c r="T1075" t="s">
        <v>81</v>
      </c>
      <c r="U1075" t="s">
        <v>39</v>
      </c>
      <c r="V1075" t="s">
        <v>52</v>
      </c>
      <c r="W1075" t="s">
        <v>52</v>
      </c>
      <c r="X1075">
        <v>2023</v>
      </c>
      <c r="Y1075" t="s">
        <v>91</v>
      </c>
      <c r="Z1075" t="s">
        <v>64</v>
      </c>
    </row>
    <row r="1076" spans="1:26">
      <c r="A1076" t="s">
        <v>2109</v>
      </c>
      <c r="B1076" t="s">
        <v>43</v>
      </c>
      <c r="C1076" t="s">
        <v>76</v>
      </c>
      <c r="D1076" t="s">
        <v>29</v>
      </c>
      <c r="E1076" t="s">
        <v>30</v>
      </c>
      <c r="F1076" t="s">
        <v>109</v>
      </c>
      <c r="G1076" t="s">
        <v>32</v>
      </c>
      <c r="H1076">
        <v>10.1</v>
      </c>
      <c r="I1076">
        <v>2.1</v>
      </c>
      <c r="J1076" t="s">
        <v>20</v>
      </c>
      <c r="K1076" t="s">
        <v>2063</v>
      </c>
      <c r="L1076" t="s">
        <v>60</v>
      </c>
      <c r="M1076" t="s">
        <v>2110</v>
      </c>
      <c r="N1076" t="s">
        <v>71</v>
      </c>
      <c r="O1076">
        <v>9</v>
      </c>
      <c r="P1076" t="s">
        <v>89</v>
      </c>
      <c r="Q1076">
        <v>4134</v>
      </c>
      <c r="R1076">
        <v>500</v>
      </c>
      <c r="S1076" t="s">
        <v>73</v>
      </c>
      <c r="T1076" t="s">
        <v>81</v>
      </c>
      <c r="U1076" t="s">
        <v>39</v>
      </c>
      <c r="V1076" t="s">
        <v>39</v>
      </c>
      <c r="W1076" t="s">
        <v>52</v>
      </c>
      <c r="X1076">
        <v>2022</v>
      </c>
      <c r="Y1076" t="s">
        <v>82</v>
      </c>
      <c r="Z1076" t="s">
        <v>83</v>
      </c>
    </row>
    <row r="1077" spans="1:26">
      <c r="A1077" t="s">
        <v>2111</v>
      </c>
      <c r="B1077" t="s">
        <v>108</v>
      </c>
      <c r="C1077" t="s">
        <v>67</v>
      </c>
      <c r="D1077" t="s">
        <v>85</v>
      </c>
      <c r="E1077" t="s">
        <v>86</v>
      </c>
      <c r="F1077" t="s">
        <v>31</v>
      </c>
      <c r="G1077" t="s">
        <v>32</v>
      </c>
      <c r="H1077">
        <v>4.0999999999999996</v>
      </c>
      <c r="I1077">
        <v>34.1</v>
      </c>
      <c r="J1077" t="s">
        <v>33</v>
      </c>
      <c r="K1077" t="s">
        <v>877</v>
      </c>
      <c r="L1077" t="s">
        <v>140</v>
      </c>
      <c r="M1077" t="s">
        <v>662</v>
      </c>
      <c r="N1077" t="s">
        <v>71</v>
      </c>
      <c r="O1077">
        <v>35</v>
      </c>
      <c r="P1077" t="s">
        <v>89</v>
      </c>
      <c r="Q1077">
        <v>1653</v>
      </c>
      <c r="R1077">
        <v>2000</v>
      </c>
      <c r="S1077" t="s">
        <v>73</v>
      </c>
      <c r="T1077" t="s">
        <v>81</v>
      </c>
      <c r="U1077" t="s">
        <v>52</v>
      </c>
      <c r="V1077" t="s">
        <v>52</v>
      </c>
      <c r="W1077" t="s">
        <v>52</v>
      </c>
      <c r="X1077">
        <v>2023</v>
      </c>
      <c r="Y1077" t="s">
        <v>312</v>
      </c>
      <c r="Z1077" t="s">
        <v>83</v>
      </c>
    </row>
    <row r="1078" spans="1:26">
      <c r="A1078" t="s">
        <v>2112</v>
      </c>
      <c r="B1078" t="s">
        <v>116</v>
      </c>
      <c r="C1078" t="s">
        <v>164</v>
      </c>
      <c r="D1078" t="s">
        <v>85</v>
      </c>
      <c r="E1078" t="s">
        <v>174</v>
      </c>
      <c r="F1078" t="s">
        <v>149</v>
      </c>
      <c r="G1078" t="s">
        <v>32</v>
      </c>
      <c r="H1078">
        <v>8.1</v>
      </c>
      <c r="I1078">
        <v>30.9</v>
      </c>
      <c r="J1078" t="s">
        <v>33</v>
      </c>
      <c r="K1078" t="s">
        <v>1787</v>
      </c>
      <c r="L1078" t="s">
        <v>140</v>
      </c>
      <c r="M1078" t="s">
        <v>524</v>
      </c>
      <c r="N1078" t="s">
        <v>100</v>
      </c>
      <c r="O1078">
        <v>62</v>
      </c>
      <c r="P1078" t="s">
        <v>2265</v>
      </c>
      <c r="Q1078">
        <v>0</v>
      </c>
      <c r="R1078">
        <v>0</v>
      </c>
      <c r="S1078" t="s">
        <v>2265</v>
      </c>
      <c r="T1078" t="s">
        <v>81</v>
      </c>
      <c r="U1078" t="s">
        <v>39</v>
      </c>
      <c r="V1078" t="s">
        <v>52</v>
      </c>
      <c r="W1078" t="s">
        <v>52</v>
      </c>
      <c r="X1078">
        <v>2023</v>
      </c>
      <c r="Y1078" t="s">
        <v>74</v>
      </c>
      <c r="Z1078" t="s">
        <v>54</v>
      </c>
    </row>
    <row r="1079" spans="1:26">
      <c r="A1079" t="s">
        <v>2113</v>
      </c>
      <c r="B1079" t="s">
        <v>43</v>
      </c>
      <c r="C1079" t="s">
        <v>102</v>
      </c>
      <c r="D1079" t="s">
        <v>77</v>
      </c>
      <c r="E1079" t="s">
        <v>220</v>
      </c>
      <c r="F1079" t="s">
        <v>109</v>
      </c>
      <c r="G1079" t="s">
        <v>58</v>
      </c>
      <c r="H1079">
        <v>1.2</v>
      </c>
      <c r="I1079">
        <v>12.4</v>
      </c>
      <c r="J1079" t="s">
        <v>33</v>
      </c>
      <c r="K1079" t="s">
        <v>1188</v>
      </c>
      <c r="L1079" t="s">
        <v>48</v>
      </c>
      <c r="M1079" t="s">
        <v>760</v>
      </c>
      <c r="N1079" t="s">
        <v>50</v>
      </c>
      <c r="O1079">
        <v>1</v>
      </c>
      <c r="P1079" t="s">
        <v>2265</v>
      </c>
      <c r="Q1079">
        <v>0</v>
      </c>
      <c r="R1079">
        <v>0</v>
      </c>
      <c r="S1079" t="s">
        <v>2265</v>
      </c>
      <c r="T1079" t="s">
        <v>136</v>
      </c>
      <c r="U1079" t="s">
        <v>39</v>
      </c>
      <c r="V1079" t="s">
        <v>39</v>
      </c>
      <c r="W1079" t="s">
        <v>52</v>
      </c>
      <c r="X1079">
        <v>2022</v>
      </c>
      <c r="Y1079" t="s">
        <v>114</v>
      </c>
      <c r="Z1079" t="s">
        <v>41</v>
      </c>
    </row>
    <row r="1080" spans="1:26">
      <c r="A1080" t="s">
        <v>2114</v>
      </c>
      <c r="B1080" t="s">
        <v>108</v>
      </c>
      <c r="C1080" t="s">
        <v>28</v>
      </c>
      <c r="D1080" t="s">
        <v>29</v>
      </c>
      <c r="E1080" t="s">
        <v>56</v>
      </c>
      <c r="F1080" t="s">
        <v>95</v>
      </c>
      <c r="G1080" t="s">
        <v>32</v>
      </c>
      <c r="H1080">
        <v>8.3000000000000007</v>
      </c>
      <c r="I1080">
        <v>20</v>
      </c>
      <c r="J1080" t="s">
        <v>33</v>
      </c>
      <c r="K1080" t="s">
        <v>1113</v>
      </c>
      <c r="L1080" t="s">
        <v>140</v>
      </c>
      <c r="M1080" t="s">
        <v>127</v>
      </c>
      <c r="N1080" t="s">
        <v>50</v>
      </c>
      <c r="O1080">
        <v>32</v>
      </c>
      <c r="P1080" t="s">
        <v>2265</v>
      </c>
      <c r="Q1080">
        <v>0</v>
      </c>
      <c r="R1080">
        <v>0</v>
      </c>
      <c r="S1080" t="s">
        <v>2265</v>
      </c>
      <c r="T1080" t="s">
        <v>51</v>
      </c>
      <c r="U1080" t="s">
        <v>39</v>
      </c>
      <c r="V1080" t="s">
        <v>52</v>
      </c>
      <c r="W1080" t="s">
        <v>39</v>
      </c>
      <c r="X1080">
        <v>2024</v>
      </c>
      <c r="Y1080" t="s">
        <v>63</v>
      </c>
      <c r="Z1080" t="s">
        <v>64</v>
      </c>
    </row>
    <row r="1081" spans="1:26">
      <c r="A1081" t="s">
        <v>2115</v>
      </c>
      <c r="B1081" t="s">
        <v>27</v>
      </c>
      <c r="C1081" t="s">
        <v>76</v>
      </c>
      <c r="D1081" t="s">
        <v>77</v>
      </c>
      <c r="E1081" t="s">
        <v>260</v>
      </c>
      <c r="F1081" t="s">
        <v>238</v>
      </c>
      <c r="G1081" t="s">
        <v>32</v>
      </c>
      <c r="H1081">
        <v>8.5</v>
      </c>
      <c r="I1081">
        <v>3.7</v>
      </c>
      <c r="J1081" t="s">
        <v>33</v>
      </c>
      <c r="K1081" t="s">
        <v>675</v>
      </c>
      <c r="L1081" t="s">
        <v>126</v>
      </c>
      <c r="M1081" t="s">
        <v>127</v>
      </c>
      <c r="N1081" t="s">
        <v>50</v>
      </c>
      <c r="O1081">
        <v>177</v>
      </c>
      <c r="P1081" t="s">
        <v>2265</v>
      </c>
      <c r="Q1081">
        <v>0</v>
      </c>
      <c r="R1081">
        <v>0</v>
      </c>
      <c r="S1081" t="s">
        <v>2265</v>
      </c>
      <c r="T1081" t="s">
        <v>62</v>
      </c>
      <c r="U1081" t="s">
        <v>39</v>
      </c>
      <c r="V1081" t="s">
        <v>39</v>
      </c>
      <c r="W1081" t="s">
        <v>52</v>
      </c>
      <c r="X1081">
        <v>2024</v>
      </c>
      <c r="Y1081" t="s">
        <v>211</v>
      </c>
      <c r="Z1081" t="s">
        <v>41</v>
      </c>
    </row>
    <row r="1082" spans="1:26">
      <c r="A1082" t="s">
        <v>2116</v>
      </c>
      <c r="B1082" t="s">
        <v>93</v>
      </c>
      <c r="C1082" t="s">
        <v>76</v>
      </c>
      <c r="D1082" t="s">
        <v>77</v>
      </c>
      <c r="E1082" t="s">
        <v>216</v>
      </c>
      <c r="F1082" t="s">
        <v>95</v>
      </c>
      <c r="G1082" t="s">
        <v>58</v>
      </c>
      <c r="H1082">
        <v>9.6999999999999993</v>
      </c>
      <c r="I1082">
        <v>10</v>
      </c>
      <c r="J1082" t="s">
        <v>33</v>
      </c>
      <c r="K1082" t="s">
        <v>780</v>
      </c>
      <c r="L1082" t="s">
        <v>98</v>
      </c>
      <c r="M1082" t="s">
        <v>127</v>
      </c>
      <c r="N1082" t="s">
        <v>50</v>
      </c>
      <c r="O1082">
        <v>149</v>
      </c>
      <c r="P1082" t="s">
        <v>2265</v>
      </c>
      <c r="Q1082">
        <v>0</v>
      </c>
      <c r="R1082">
        <v>0</v>
      </c>
      <c r="S1082" t="s">
        <v>2265</v>
      </c>
      <c r="T1082" t="s">
        <v>136</v>
      </c>
      <c r="U1082" t="s">
        <v>39</v>
      </c>
      <c r="V1082" t="s">
        <v>39</v>
      </c>
      <c r="W1082" t="s">
        <v>39</v>
      </c>
      <c r="X1082">
        <v>2024</v>
      </c>
      <c r="Y1082" t="s">
        <v>128</v>
      </c>
      <c r="Z1082" t="s">
        <v>64</v>
      </c>
    </row>
    <row r="1083" spans="1:26">
      <c r="A1083" t="s">
        <v>2117</v>
      </c>
      <c r="B1083" t="s">
        <v>93</v>
      </c>
      <c r="C1083" t="s">
        <v>28</v>
      </c>
      <c r="D1083" t="s">
        <v>77</v>
      </c>
      <c r="E1083" t="s">
        <v>363</v>
      </c>
      <c r="F1083" t="s">
        <v>160</v>
      </c>
      <c r="G1083" t="s">
        <v>32</v>
      </c>
      <c r="H1083">
        <v>8</v>
      </c>
      <c r="I1083">
        <v>5.9</v>
      </c>
      <c r="J1083" t="s">
        <v>144</v>
      </c>
      <c r="K1083" t="s">
        <v>1634</v>
      </c>
      <c r="L1083" t="s">
        <v>60</v>
      </c>
      <c r="M1083" t="s">
        <v>317</v>
      </c>
      <c r="N1083" t="s">
        <v>71</v>
      </c>
      <c r="O1083">
        <v>138</v>
      </c>
      <c r="P1083" t="s">
        <v>89</v>
      </c>
      <c r="Q1083">
        <v>4873</v>
      </c>
      <c r="R1083">
        <v>0</v>
      </c>
      <c r="S1083" t="s">
        <v>113</v>
      </c>
      <c r="T1083" t="s">
        <v>62</v>
      </c>
      <c r="U1083" t="s">
        <v>39</v>
      </c>
      <c r="V1083" t="s">
        <v>39</v>
      </c>
      <c r="W1083" t="s">
        <v>52</v>
      </c>
      <c r="X1083">
        <v>2023</v>
      </c>
      <c r="Y1083" t="s">
        <v>211</v>
      </c>
      <c r="Z1083" t="s">
        <v>41</v>
      </c>
    </row>
    <row r="1084" spans="1:26">
      <c r="A1084" t="s">
        <v>2118</v>
      </c>
      <c r="B1084" t="s">
        <v>116</v>
      </c>
      <c r="C1084" t="s">
        <v>102</v>
      </c>
      <c r="D1084" t="s">
        <v>122</v>
      </c>
      <c r="E1084" t="s">
        <v>202</v>
      </c>
      <c r="F1084" t="s">
        <v>238</v>
      </c>
      <c r="G1084" t="s">
        <v>32</v>
      </c>
      <c r="H1084">
        <v>7.6</v>
      </c>
      <c r="I1084">
        <v>1</v>
      </c>
      <c r="J1084" t="s">
        <v>156</v>
      </c>
      <c r="K1084" t="s">
        <v>861</v>
      </c>
      <c r="L1084" t="s">
        <v>98</v>
      </c>
      <c r="M1084" t="s">
        <v>2119</v>
      </c>
      <c r="N1084" t="s">
        <v>71</v>
      </c>
      <c r="O1084">
        <v>180</v>
      </c>
      <c r="P1084" t="s">
        <v>89</v>
      </c>
      <c r="Q1084">
        <v>1018</v>
      </c>
      <c r="R1084">
        <v>2000</v>
      </c>
      <c r="S1084" t="s">
        <v>113</v>
      </c>
      <c r="T1084" t="s">
        <v>81</v>
      </c>
      <c r="U1084" t="s">
        <v>39</v>
      </c>
      <c r="V1084" t="s">
        <v>52</v>
      </c>
      <c r="W1084" t="s">
        <v>52</v>
      </c>
      <c r="X1084">
        <v>2023</v>
      </c>
      <c r="Y1084" t="s">
        <v>82</v>
      </c>
      <c r="Z1084" t="s">
        <v>83</v>
      </c>
    </row>
    <row r="1085" spans="1:26">
      <c r="A1085" t="s">
        <v>2120</v>
      </c>
      <c r="B1085" t="s">
        <v>43</v>
      </c>
      <c r="C1085" t="s">
        <v>28</v>
      </c>
      <c r="D1085" t="s">
        <v>77</v>
      </c>
      <c r="E1085" t="s">
        <v>260</v>
      </c>
      <c r="F1085" t="s">
        <v>57</v>
      </c>
      <c r="G1085" t="s">
        <v>32</v>
      </c>
      <c r="H1085">
        <v>8.6</v>
      </c>
      <c r="I1085">
        <v>1.9</v>
      </c>
      <c r="J1085" t="s">
        <v>33</v>
      </c>
      <c r="K1085" t="s">
        <v>350</v>
      </c>
      <c r="L1085" t="s">
        <v>126</v>
      </c>
      <c r="M1085" t="s">
        <v>1379</v>
      </c>
      <c r="N1085" t="s">
        <v>71</v>
      </c>
      <c r="O1085">
        <v>179</v>
      </c>
      <c r="P1085" t="s">
        <v>72</v>
      </c>
      <c r="Q1085">
        <v>4996</v>
      </c>
      <c r="R1085">
        <v>0</v>
      </c>
      <c r="S1085" t="s">
        <v>90</v>
      </c>
      <c r="T1085" t="s">
        <v>81</v>
      </c>
      <c r="U1085" t="s">
        <v>39</v>
      </c>
      <c r="V1085" t="s">
        <v>52</v>
      </c>
      <c r="W1085" t="s">
        <v>39</v>
      </c>
      <c r="X1085">
        <v>2022</v>
      </c>
      <c r="Y1085" t="s">
        <v>114</v>
      </c>
      <c r="Z1085" t="s">
        <v>41</v>
      </c>
    </row>
    <row r="1086" spans="1:26">
      <c r="A1086" t="s">
        <v>2121</v>
      </c>
      <c r="B1086" t="s">
        <v>116</v>
      </c>
      <c r="C1086" t="s">
        <v>102</v>
      </c>
      <c r="D1086" t="s">
        <v>122</v>
      </c>
      <c r="E1086" t="s">
        <v>202</v>
      </c>
      <c r="F1086" t="s">
        <v>68</v>
      </c>
      <c r="G1086" t="s">
        <v>58</v>
      </c>
      <c r="H1086">
        <v>4.3</v>
      </c>
      <c r="I1086">
        <v>31.7</v>
      </c>
      <c r="J1086" t="s">
        <v>156</v>
      </c>
      <c r="K1086" t="s">
        <v>1787</v>
      </c>
      <c r="L1086" t="s">
        <v>35</v>
      </c>
      <c r="M1086" t="s">
        <v>1462</v>
      </c>
      <c r="N1086" t="s">
        <v>50</v>
      </c>
      <c r="O1086">
        <v>113</v>
      </c>
      <c r="P1086" t="s">
        <v>2265</v>
      </c>
      <c r="Q1086">
        <v>0</v>
      </c>
      <c r="R1086">
        <v>1000</v>
      </c>
      <c r="S1086" t="s">
        <v>2265</v>
      </c>
      <c r="T1086" t="s">
        <v>81</v>
      </c>
      <c r="U1086" t="s">
        <v>39</v>
      </c>
      <c r="V1086" t="s">
        <v>52</v>
      </c>
      <c r="W1086" t="s">
        <v>39</v>
      </c>
      <c r="X1086">
        <v>2023</v>
      </c>
      <c r="Y1086" t="s">
        <v>74</v>
      </c>
      <c r="Z1086" t="s">
        <v>54</v>
      </c>
    </row>
    <row r="1087" spans="1:26">
      <c r="A1087" t="s">
        <v>2122</v>
      </c>
      <c r="B1087" t="s">
        <v>116</v>
      </c>
      <c r="C1087" t="s">
        <v>76</v>
      </c>
      <c r="D1087" t="s">
        <v>77</v>
      </c>
      <c r="E1087" t="s">
        <v>168</v>
      </c>
      <c r="F1087" t="s">
        <v>160</v>
      </c>
      <c r="G1087" t="s">
        <v>58</v>
      </c>
      <c r="H1087">
        <v>9</v>
      </c>
      <c r="I1087">
        <v>18.8</v>
      </c>
      <c r="J1087" t="s">
        <v>96</v>
      </c>
      <c r="K1087" t="s">
        <v>2123</v>
      </c>
      <c r="L1087" t="s">
        <v>98</v>
      </c>
      <c r="M1087" t="s">
        <v>1415</v>
      </c>
      <c r="N1087" t="s">
        <v>71</v>
      </c>
      <c r="O1087">
        <v>156</v>
      </c>
      <c r="P1087" t="s">
        <v>105</v>
      </c>
      <c r="Q1087">
        <v>4303</v>
      </c>
      <c r="R1087">
        <v>1000</v>
      </c>
      <c r="S1087" t="s">
        <v>152</v>
      </c>
      <c r="T1087" t="s">
        <v>38</v>
      </c>
      <c r="U1087" t="s">
        <v>52</v>
      </c>
      <c r="V1087" t="s">
        <v>52</v>
      </c>
      <c r="W1087" t="s">
        <v>52</v>
      </c>
      <c r="X1087">
        <v>2024</v>
      </c>
      <c r="Y1087" t="s">
        <v>82</v>
      </c>
      <c r="Z1087" t="s">
        <v>83</v>
      </c>
    </row>
    <row r="1088" spans="1:26">
      <c r="A1088" t="s">
        <v>2124</v>
      </c>
      <c r="B1088" t="s">
        <v>93</v>
      </c>
      <c r="C1088" t="s">
        <v>44</v>
      </c>
      <c r="D1088" t="s">
        <v>77</v>
      </c>
      <c r="E1088" t="s">
        <v>143</v>
      </c>
      <c r="F1088" t="s">
        <v>109</v>
      </c>
      <c r="G1088" t="s">
        <v>32</v>
      </c>
      <c r="H1088">
        <v>5.9</v>
      </c>
      <c r="I1088">
        <v>17.8</v>
      </c>
      <c r="J1088" t="s">
        <v>96</v>
      </c>
      <c r="K1088" t="s">
        <v>975</v>
      </c>
      <c r="L1088" t="s">
        <v>126</v>
      </c>
      <c r="M1088" t="s">
        <v>624</v>
      </c>
      <c r="N1088" t="s">
        <v>100</v>
      </c>
      <c r="O1088">
        <v>31</v>
      </c>
      <c r="P1088" t="s">
        <v>2265</v>
      </c>
      <c r="Q1088">
        <v>0</v>
      </c>
      <c r="R1088">
        <v>0</v>
      </c>
      <c r="S1088" t="s">
        <v>2265</v>
      </c>
      <c r="T1088" t="s">
        <v>136</v>
      </c>
      <c r="U1088" t="s">
        <v>52</v>
      </c>
      <c r="V1088" t="s">
        <v>39</v>
      </c>
      <c r="W1088" t="s">
        <v>52</v>
      </c>
      <c r="X1088">
        <v>2023</v>
      </c>
      <c r="Y1088" t="s">
        <v>82</v>
      </c>
      <c r="Z1088" t="s">
        <v>83</v>
      </c>
    </row>
    <row r="1089" spans="1:26">
      <c r="A1089" t="s">
        <v>2125</v>
      </c>
      <c r="B1089" t="s">
        <v>27</v>
      </c>
      <c r="C1089" t="s">
        <v>173</v>
      </c>
      <c r="D1089" t="s">
        <v>77</v>
      </c>
      <c r="E1089" t="s">
        <v>94</v>
      </c>
      <c r="F1089" t="s">
        <v>160</v>
      </c>
      <c r="G1089" t="s">
        <v>32</v>
      </c>
      <c r="H1089">
        <v>4.4000000000000004</v>
      </c>
      <c r="I1089">
        <v>2.6</v>
      </c>
      <c r="J1089" t="s">
        <v>156</v>
      </c>
      <c r="K1089" t="s">
        <v>424</v>
      </c>
      <c r="L1089" t="s">
        <v>35</v>
      </c>
      <c r="M1089" t="s">
        <v>1097</v>
      </c>
      <c r="N1089" t="s">
        <v>100</v>
      </c>
      <c r="O1089">
        <v>22</v>
      </c>
      <c r="P1089" t="s">
        <v>2265</v>
      </c>
      <c r="Q1089">
        <v>0</v>
      </c>
      <c r="R1089">
        <v>0</v>
      </c>
      <c r="S1089" t="s">
        <v>2265</v>
      </c>
      <c r="T1089" t="s">
        <v>136</v>
      </c>
      <c r="U1089" t="s">
        <v>52</v>
      </c>
      <c r="V1089" t="s">
        <v>52</v>
      </c>
      <c r="W1089" t="s">
        <v>52</v>
      </c>
      <c r="X1089">
        <v>2022</v>
      </c>
      <c r="Y1089" t="s">
        <v>128</v>
      </c>
      <c r="Z1089" t="s">
        <v>64</v>
      </c>
    </row>
    <row r="1090" spans="1:26">
      <c r="A1090" t="s">
        <v>2126</v>
      </c>
      <c r="B1090" t="s">
        <v>27</v>
      </c>
      <c r="C1090" t="s">
        <v>44</v>
      </c>
      <c r="D1090" t="s">
        <v>29</v>
      </c>
      <c r="E1090" t="s">
        <v>244</v>
      </c>
      <c r="F1090" t="s">
        <v>68</v>
      </c>
      <c r="G1090" t="s">
        <v>32</v>
      </c>
      <c r="H1090">
        <v>4.2</v>
      </c>
      <c r="I1090">
        <v>10.9</v>
      </c>
      <c r="J1090" t="s">
        <v>33</v>
      </c>
      <c r="K1090" t="s">
        <v>315</v>
      </c>
      <c r="L1090" t="s">
        <v>48</v>
      </c>
      <c r="M1090" t="s">
        <v>2127</v>
      </c>
      <c r="N1090" t="s">
        <v>100</v>
      </c>
      <c r="O1090">
        <v>58</v>
      </c>
      <c r="P1090" t="s">
        <v>2265</v>
      </c>
      <c r="Q1090">
        <v>0</v>
      </c>
      <c r="R1090">
        <v>0</v>
      </c>
      <c r="S1090" t="s">
        <v>2265</v>
      </c>
      <c r="T1090" t="s">
        <v>81</v>
      </c>
      <c r="U1090" t="s">
        <v>52</v>
      </c>
      <c r="V1090" t="s">
        <v>39</v>
      </c>
      <c r="W1090" t="s">
        <v>52</v>
      </c>
      <c r="X1090">
        <v>2023</v>
      </c>
      <c r="Y1090" t="s">
        <v>106</v>
      </c>
      <c r="Z1090" t="s">
        <v>83</v>
      </c>
    </row>
    <row r="1091" spans="1:26">
      <c r="A1091" t="s">
        <v>2128</v>
      </c>
      <c r="B1091" t="s">
        <v>43</v>
      </c>
      <c r="C1091" t="s">
        <v>67</v>
      </c>
      <c r="D1091" t="s">
        <v>29</v>
      </c>
      <c r="E1091" t="s">
        <v>30</v>
      </c>
      <c r="F1091" t="s">
        <v>109</v>
      </c>
      <c r="G1091" t="s">
        <v>32</v>
      </c>
      <c r="H1091">
        <v>2.7</v>
      </c>
      <c r="I1091">
        <v>14.7</v>
      </c>
      <c r="J1091" t="s">
        <v>33</v>
      </c>
      <c r="K1091" t="s">
        <v>1486</v>
      </c>
      <c r="L1091" t="s">
        <v>98</v>
      </c>
      <c r="M1091" t="s">
        <v>1164</v>
      </c>
      <c r="N1091" t="s">
        <v>61</v>
      </c>
      <c r="O1091">
        <v>38</v>
      </c>
      <c r="P1091" t="s">
        <v>2265</v>
      </c>
      <c r="Q1091">
        <v>0</v>
      </c>
      <c r="R1091">
        <v>0</v>
      </c>
      <c r="S1091" t="s">
        <v>2265</v>
      </c>
      <c r="T1091" t="s">
        <v>81</v>
      </c>
      <c r="U1091" t="s">
        <v>39</v>
      </c>
      <c r="V1091" t="s">
        <v>52</v>
      </c>
      <c r="W1091" t="s">
        <v>39</v>
      </c>
      <c r="X1091">
        <v>2023</v>
      </c>
      <c r="Y1091" t="s">
        <v>211</v>
      </c>
      <c r="Z1091" t="s">
        <v>41</v>
      </c>
    </row>
    <row r="1092" spans="1:26">
      <c r="A1092" t="s">
        <v>2129</v>
      </c>
      <c r="B1092" t="s">
        <v>43</v>
      </c>
      <c r="C1092" t="s">
        <v>173</v>
      </c>
      <c r="D1092" t="s">
        <v>29</v>
      </c>
      <c r="E1092" t="s">
        <v>94</v>
      </c>
      <c r="F1092" t="s">
        <v>95</v>
      </c>
      <c r="G1092" t="s">
        <v>32</v>
      </c>
      <c r="H1092">
        <v>11.2</v>
      </c>
      <c r="I1092">
        <v>5.6</v>
      </c>
      <c r="J1092" t="s">
        <v>33</v>
      </c>
      <c r="K1092" t="s">
        <v>1772</v>
      </c>
      <c r="L1092" t="s">
        <v>48</v>
      </c>
      <c r="M1092" t="s">
        <v>127</v>
      </c>
      <c r="N1092" t="s">
        <v>71</v>
      </c>
      <c r="O1092">
        <v>153</v>
      </c>
      <c r="P1092" t="s">
        <v>89</v>
      </c>
      <c r="Q1092">
        <v>4530</v>
      </c>
      <c r="R1092">
        <v>1000</v>
      </c>
      <c r="S1092" t="s">
        <v>152</v>
      </c>
      <c r="T1092" t="s">
        <v>81</v>
      </c>
      <c r="U1092" t="s">
        <v>39</v>
      </c>
      <c r="V1092" t="s">
        <v>52</v>
      </c>
      <c r="W1092" t="s">
        <v>52</v>
      </c>
      <c r="X1092">
        <v>2024</v>
      </c>
      <c r="Y1092" t="s">
        <v>91</v>
      </c>
      <c r="Z1092" t="s">
        <v>64</v>
      </c>
    </row>
    <row r="1093" spans="1:26">
      <c r="A1093" t="s">
        <v>2130</v>
      </c>
      <c r="B1093" t="s">
        <v>43</v>
      </c>
      <c r="C1093" t="s">
        <v>76</v>
      </c>
      <c r="D1093" t="s">
        <v>77</v>
      </c>
      <c r="E1093" t="s">
        <v>216</v>
      </c>
      <c r="F1093" t="s">
        <v>124</v>
      </c>
      <c r="G1093" t="s">
        <v>58</v>
      </c>
      <c r="H1093">
        <v>2.9</v>
      </c>
      <c r="I1093">
        <v>9</v>
      </c>
      <c r="J1093" t="s">
        <v>33</v>
      </c>
      <c r="K1093" t="s">
        <v>762</v>
      </c>
      <c r="L1093" t="s">
        <v>98</v>
      </c>
      <c r="M1093" t="s">
        <v>528</v>
      </c>
      <c r="N1093" t="s">
        <v>71</v>
      </c>
      <c r="O1093">
        <v>171</v>
      </c>
      <c r="P1093" t="s">
        <v>72</v>
      </c>
      <c r="Q1093">
        <v>5987</v>
      </c>
      <c r="R1093">
        <v>1000</v>
      </c>
      <c r="S1093" t="s">
        <v>90</v>
      </c>
      <c r="T1093" t="s">
        <v>136</v>
      </c>
      <c r="U1093" t="s">
        <v>39</v>
      </c>
      <c r="V1093" t="s">
        <v>52</v>
      </c>
      <c r="W1093" t="s">
        <v>52</v>
      </c>
      <c r="X1093">
        <v>2024</v>
      </c>
      <c r="Y1093" t="s">
        <v>106</v>
      </c>
      <c r="Z1093" t="s">
        <v>83</v>
      </c>
    </row>
    <row r="1094" spans="1:26">
      <c r="A1094" t="s">
        <v>2131</v>
      </c>
      <c r="B1094" t="s">
        <v>108</v>
      </c>
      <c r="C1094" t="s">
        <v>173</v>
      </c>
      <c r="D1094" t="s">
        <v>122</v>
      </c>
      <c r="E1094" t="s">
        <v>130</v>
      </c>
      <c r="F1094" t="s">
        <v>46</v>
      </c>
      <c r="G1094" t="s">
        <v>58</v>
      </c>
      <c r="H1094">
        <v>6</v>
      </c>
      <c r="I1094">
        <v>28</v>
      </c>
      <c r="J1094" t="s">
        <v>33</v>
      </c>
      <c r="K1094" t="s">
        <v>1123</v>
      </c>
      <c r="L1094" t="s">
        <v>48</v>
      </c>
      <c r="M1094" t="s">
        <v>206</v>
      </c>
      <c r="N1094" t="s">
        <v>61</v>
      </c>
      <c r="O1094">
        <v>177</v>
      </c>
      <c r="P1094" t="s">
        <v>2265</v>
      </c>
      <c r="Q1094">
        <v>0</v>
      </c>
      <c r="R1094">
        <v>0</v>
      </c>
      <c r="S1094" t="s">
        <v>2265</v>
      </c>
      <c r="T1094" t="s">
        <v>136</v>
      </c>
      <c r="U1094" t="s">
        <v>39</v>
      </c>
      <c r="V1094" t="s">
        <v>52</v>
      </c>
      <c r="W1094" t="s">
        <v>52</v>
      </c>
      <c r="X1094">
        <v>2024</v>
      </c>
      <c r="Y1094" t="s">
        <v>312</v>
      </c>
      <c r="Z1094" t="s">
        <v>83</v>
      </c>
    </row>
    <row r="1095" spans="1:26">
      <c r="A1095" t="s">
        <v>2132</v>
      </c>
      <c r="B1095" t="s">
        <v>43</v>
      </c>
      <c r="C1095" t="s">
        <v>173</v>
      </c>
      <c r="D1095" t="s">
        <v>29</v>
      </c>
      <c r="E1095" t="s">
        <v>117</v>
      </c>
      <c r="F1095" t="s">
        <v>68</v>
      </c>
      <c r="G1095" t="s">
        <v>58</v>
      </c>
      <c r="H1095">
        <v>11.6</v>
      </c>
      <c r="I1095">
        <v>2.7</v>
      </c>
      <c r="J1095" t="s">
        <v>33</v>
      </c>
      <c r="K1095" t="s">
        <v>870</v>
      </c>
      <c r="L1095" t="s">
        <v>60</v>
      </c>
      <c r="M1095" t="s">
        <v>2133</v>
      </c>
      <c r="N1095" t="s">
        <v>100</v>
      </c>
      <c r="O1095">
        <v>153</v>
      </c>
      <c r="P1095" t="s">
        <v>2265</v>
      </c>
      <c r="Q1095">
        <v>0</v>
      </c>
      <c r="R1095">
        <v>0</v>
      </c>
      <c r="S1095" t="s">
        <v>2265</v>
      </c>
      <c r="T1095" t="s">
        <v>51</v>
      </c>
      <c r="U1095" t="s">
        <v>39</v>
      </c>
      <c r="V1095" t="s">
        <v>39</v>
      </c>
      <c r="W1095" t="s">
        <v>39</v>
      </c>
      <c r="X1095">
        <v>2024</v>
      </c>
      <c r="Y1095" t="s">
        <v>312</v>
      </c>
      <c r="Z1095" t="s">
        <v>83</v>
      </c>
    </row>
    <row r="1096" spans="1:26">
      <c r="A1096" t="s">
        <v>2134</v>
      </c>
      <c r="B1096" t="s">
        <v>93</v>
      </c>
      <c r="C1096" t="s">
        <v>67</v>
      </c>
      <c r="D1096" t="s">
        <v>77</v>
      </c>
      <c r="E1096" t="s">
        <v>260</v>
      </c>
      <c r="F1096" t="s">
        <v>31</v>
      </c>
      <c r="G1096" t="s">
        <v>32</v>
      </c>
      <c r="H1096">
        <v>9.1</v>
      </c>
      <c r="I1096">
        <v>21.1</v>
      </c>
      <c r="J1096" t="s">
        <v>144</v>
      </c>
      <c r="K1096" t="s">
        <v>2135</v>
      </c>
      <c r="L1096" t="s">
        <v>60</v>
      </c>
      <c r="M1096" t="s">
        <v>307</v>
      </c>
      <c r="N1096" t="s">
        <v>71</v>
      </c>
      <c r="O1096">
        <v>131</v>
      </c>
      <c r="P1096" t="s">
        <v>112</v>
      </c>
      <c r="Q1096">
        <v>5799</v>
      </c>
      <c r="R1096">
        <v>0</v>
      </c>
      <c r="S1096" t="s">
        <v>113</v>
      </c>
      <c r="T1096" t="s">
        <v>38</v>
      </c>
      <c r="U1096" t="s">
        <v>39</v>
      </c>
      <c r="V1096" t="s">
        <v>39</v>
      </c>
      <c r="W1096" t="s">
        <v>52</v>
      </c>
      <c r="X1096">
        <v>2023</v>
      </c>
      <c r="Y1096" t="s">
        <v>114</v>
      </c>
      <c r="Z1096" t="s">
        <v>41</v>
      </c>
    </row>
    <row r="1097" spans="1:26">
      <c r="A1097" t="s">
        <v>2136</v>
      </c>
      <c r="B1097" t="s">
        <v>93</v>
      </c>
      <c r="C1097" t="s">
        <v>76</v>
      </c>
      <c r="D1097" t="s">
        <v>29</v>
      </c>
      <c r="E1097" t="s">
        <v>45</v>
      </c>
      <c r="F1097" t="s">
        <v>160</v>
      </c>
      <c r="G1097" t="s">
        <v>58</v>
      </c>
      <c r="H1097">
        <v>4.7</v>
      </c>
      <c r="I1097">
        <v>32.700000000000003</v>
      </c>
      <c r="J1097" t="s">
        <v>33</v>
      </c>
      <c r="K1097" t="s">
        <v>267</v>
      </c>
      <c r="L1097" t="s">
        <v>48</v>
      </c>
      <c r="M1097" t="s">
        <v>1462</v>
      </c>
      <c r="N1097" t="s">
        <v>71</v>
      </c>
      <c r="O1097">
        <v>95</v>
      </c>
      <c r="P1097" t="s">
        <v>112</v>
      </c>
      <c r="Q1097">
        <v>2588</v>
      </c>
      <c r="R1097">
        <v>0</v>
      </c>
      <c r="S1097" t="s">
        <v>73</v>
      </c>
      <c r="T1097" t="s">
        <v>51</v>
      </c>
      <c r="U1097" t="s">
        <v>39</v>
      </c>
      <c r="V1097" t="s">
        <v>52</v>
      </c>
      <c r="W1097" t="s">
        <v>52</v>
      </c>
      <c r="X1097">
        <v>2023</v>
      </c>
      <c r="Y1097" t="s">
        <v>53</v>
      </c>
      <c r="Z1097" t="s">
        <v>54</v>
      </c>
    </row>
    <row r="1098" spans="1:26">
      <c r="A1098" t="s">
        <v>2137</v>
      </c>
      <c r="B1098" t="s">
        <v>116</v>
      </c>
      <c r="C1098" t="s">
        <v>76</v>
      </c>
      <c r="D1098" t="s">
        <v>77</v>
      </c>
      <c r="E1098" t="s">
        <v>78</v>
      </c>
      <c r="F1098" t="s">
        <v>109</v>
      </c>
      <c r="G1098" t="s">
        <v>58</v>
      </c>
      <c r="H1098">
        <v>1.3</v>
      </c>
      <c r="I1098">
        <v>31.8</v>
      </c>
      <c r="J1098" t="s">
        <v>144</v>
      </c>
      <c r="K1098" t="s">
        <v>746</v>
      </c>
      <c r="L1098" t="s">
        <v>140</v>
      </c>
      <c r="M1098" t="s">
        <v>242</v>
      </c>
      <c r="N1098" t="s">
        <v>50</v>
      </c>
      <c r="O1098">
        <v>57</v>
      </c>
      <c r="P1098" t="s">
        <v>2265</v>
      </c>
      <c r="Q1098">
        <v>0</v>
      </c>
      <c r="R1098">
        <v>0</v>
      </c>
      <c r="S1098" t="s">
        <v>2265</v>
      </c>
      <c r="T1098" t="s">
        <v>51</v>
      </c>
      <c r="U1098" t="s">
        <v>39</v>
      </c>
      <c r="V1098" t="s">
        <v>39</v>
      </c>
      <c r="W1098" t="s">
        <v>39</v>
      </c>
      <c r="X1098">
        <v>2024</v>
      </c>
      <c r="Y1098" t="s">
        <v>74</v>
      </c>
      <c r="Z1098" t="s">
        <v>54</v>
      </c>
    </row>
    <row r="1099" spans="1:26">
      <c r="A1099" t="s">
        <v>2138</v>
      </c>
      <c r="B1099" t="s">
        <v>66</v>
      </c>
      <c r="C1099" t="s">
        <v>173</v>
      </c>
      <c r="D1099" t="s">
        <v>29</v>
      </c>
      <c r="E1099" t="s">
        <v>56</v>
      </c>
      <c r="F1099" t="s">
        <v>68</v>
      </c>
      <c r="G1099" t="s">
        <v>32</v>
      </c>
      <c r="H1099">
        <v>3.9</v>
      </c>
      <c r="I1099">
        <v>7.7</v>
      </c>
      <c r="J1099" t="s">
        <v>20</v>
      </c>
      <c r="K1099" t="s">
        <v>567</v>
      </c>
      <c r="L1099" t="s">
        <v>126</v>
      </c>
      <c r="M1099" t="s">
        <v>650</v>
      </c>
      <c r="N1099" t="s">
        <v>61</v>
      </c>
      <c r="O1099">
        <v>24</v>
      </c>
      <c r="P1099" t="s">
        <v>2265</v>
      </c>
      <c r="Q1099">
        <v>0</v>
      </c>
      <c r="R1099">
        <v>0</v>
      </c>
      <c r="S1099" t="s">
        <v>2265</v>
      </c>
      <c r="T1099" t="s">
        <v>51</v>
      </c>
      <c r="U1099" t="s">
        <v>39</v>
      </c>
      <c r="V1099" t="s">
        <v>52</v>
      </c>
      <c r="W1099" t="s">
        <v>52</v>
      </c>
      <c r="X1099">
        <v>2024</v>
      </c>
      <c r="Y1099" t="s">
        <v>40</v>
      </c>
      <c r="Z1099" t="s">
        <v>41</v>
      </c>
    </row>
    <row r="1100" spans="1:26">
      <c r="A1100" t="s">
        <v>2139</v>
      </c>
      <c r="B1100" t="s">
        <v>66</v>
      </c>
      <c r="C1100" t="s">
        <v>164</v>
      </c>
      <c r="D1100" t="s">
        <v>77</v>
      </c>
      <c r="E1100" t="s">
        <v>143</v>
      </c>
      <c r="F1100" t="s">
        <v>124</v>
      </c>
      <c r="G1100" t="s">
        <v>32</v>
      </c>
      <c r="H1100">
        <v>6.4</v>
      </c>
      <c r="I1100">
        <v>28</v>
      </c>
      <c r="J1100" t="s">
        <v>144</v>
      </c>
      <c r="K1100" t="s">
        <v>407</v>
      </c>
      <c r="L1100" t="s">
        <v>126</v>
      </c>
      <c r="M1100" t="s">
        <v>1261</v>
      </c>
      <c r="N1100" t="s">
        <v>71</v>
      </c>
      <c r="O1100">
        <v>50</v>
      </c>
      <c r="P1100" t="s">
        <v>89</v>
      </c>
      <c r="Q1100">
        <v>3207</v>
      </c>
      <c r="R1100">
        <v>2000</v>
      </c>
      <c r="S1100" t="s">
        <v>90</v>
      </c>
      <c r="T1100" t="s">
        <v>136</v>
      </c>
      <c r="U1100" t="s">
        <v>39</v>
      </c>
      <c r="V1100" t="s">
        <v>52</v>
      </c>
      <c r="W1100" t="s">
        <v>52</v>
      </c>
      <c r="X1100">
        <v>2024</v>
      </c>
      <c r="Y1100" t="s">
        <v>91</v>
      </c>
      <c r="Z1100" t="s">
        <v>64</v>
      </c>
    </row>
    <row r="1101" spans="1:26">
      <c r="A1101" t="s">
        <v>2140</v>
      </c>
      <c r="B1101" t="s">
        <v>116</v>
      </c>
      <c r="C1101" t="s">
        <v>67</v>
      </c>
      <c r="D1101" t="s">
        <v>77</v>
      </c>
      <c r="E1101" t="s">
        <v>78</v>
      </c>
      <c r="F1101" t="s">
        <v>68</v>
      </c>
      <c r="G1101" t="s">
        <v>32</v>
      </c>
      <c r="H1101">
        <v>10.9</v>
      </c>
      <c r="I1101">
        <v>22.8</v>
      </c>
      <c r="J1101" t="s">
        <v>20</v>
      </c>
      <c r="K1101" t="s">
        <v>103</v>
      </c>
      <c r="L1101" t="s">
        <v>35</v>
      </c>
      <c r="M1101" t="s">
        <v>1489</v>
      </c>
      <c r="N1101" t="s">
        <v>61</v>
      </c>
      <c r="O1101">
        <v>29</v>
      </c>
      <c r="P1101" t="s">
        <v>2265</v>
      </c>
      <c r="Q1101">
        <v>0</v>
      </c>
      <c r="R1101">
        <v>0</v>
      </c>
      <c r="S1101" t="s">
        <v>2265</v>
      </c>
      <c r="T1101" t="s">
        <v>38</v>
      </c>
      <c r="U1101" t="s">
        <v>39</v>
      </c>
      <c r="V1101" t="s">
        <v>52</v>
      </c>
      <c r="W1101" t="s">
        <v>39</v>
      </c>
      <c r="X1101">
        <v>2022</v>
      </c>
      <c r="Y1101" t="s">
        <v>106</v>
      </c>
      <c r="Z1101" t="s">
        <v>83</v>
      </c>
    </row>
    <row r="1102" spans="1:26">
      <c r="A1102" t="s">
        <v>2141</v>
      </c>
      <c r="B1102" t="s">
        <v>66</v>
      </c>
      <c r="C1102" t="s">
        <v>102</v>
      </c>
      <c r="D1102" t="s">
        <v>77</v>
      </c>
      <c r="E1102" t="s">
        <v>220</v>
      </c>
      <c r="F1102" t="s">
        <v>95</v>
      </c>
      <c r="G1102" t="s">
        <v>32</v>
      </c>
      <c r="H1102">
        <v>3.8</v>
      </c>
      <c r="I1102">
        <v>11.5</v>
      </c>
      <c r="J1102" t="s">
        <v>33</v>
      </c>
      <c r="K1102" t="s">
        <v>1364</v>
      </c>
      <c r="L1102" t="s">
        <v>140</v>
      </c>
      <c r="M1102" t="s">
        <v>1515</v>
      </c>
      <c r="N1102" t="s">
        <v>71</v>
      </c>
      <c r="O1102">
        <v>124</v>
      </c>
      <c r="P1102" t="s">
        <v>72</v>
      </c>
      <c r="Q1102">
        <v>4048</v>
      </c>
      <c r="R1102">
        <v>0</v>
      </c>
      <c r="S1102" t="s">
        <v>113</v>
      </c>
      <c r="T1102" t="s">
        <v>62</v>
      </c>
      <c r="U1102" t="s">
        <v>39</v>
      </c>
      <c r="V1102" t="s">
        <v>39</v>
      </c>
      <c r="W1102" t="s">
        <v>52</v>
      </c>
      <c r="X1102">
        <v>2022</v>
      </c>
      <c r="Y1102" t="s">
        <v>128</v>
      </c>
      <c r="Z1102" t="s">
        <v>64</v>
      </c>
    </row>
    <row r="1103" spans="1:26">
      <c r="A1103" t="s">
        <v>2142</v>
      </c>
      <c r="B1103" t="s">
        <v>93</v>
      </c>
      <c r="C1103" t="s">
        <v>67</v>
      </c>
      <c r="D1103" t="s">
        <v>29</v>
      </c>
      <c r="E1103" t="s">
        <v>195</v>
      </c>
      <c r="F1103" t="s">
        <v>68</v>
      </c>
      <c r="G1103" t="s">
        <v>32</v>
      </c>
      <c r="H1103">
        <v>1.5</v>
      </c>
      <c r="I1103">
        <v>13.5</v>
      </c>
      <c r="J1103" t="s">
        <v>33</v>
      </c>
      <c r="K1103" t="s">
        <v>398</v>
      </c>
      <c r="L1103" t="s">
        <v>98</v>
      </c>
      <c r="M1103" t="s">
        <v>499</v>
      </c>
      <c r="N1103" t="s">
        <v>71</v>
      </c>
      <c r="O1103">
        <v>127</v>
      </c>
      <c r="P1103" t="s">
        <v>230</v>
      </c>
      <c r="Q1103">
        <v>1643</v>
      </c>
      <c r="R1103">
        <v>0</v>
      </c>
      <c r="S1103" t="s">
        <v>113</v>
      </c>
      <c r="T1103" t="s">
        <v>62</v>
      </c>
      <c r="U1103" t="s">
        <v>52</v>
      </c>
      <c r="V1103" t="s">
        <v>39</v>
      </c>
      <c r="W1103" t="s">
        <v>52</v>
      </c>
      <c r="X1103">
        <v>2022</v>
      </c>
      <c r="Y1103" t="s">
        <v>153</v>
      </c>
      <c r="Z1103" t="s">
        <v>54</v>
      </c>
    </row>
    <row r="1104" spans="1:26">
      <c r="A1104" t="s">
        <v>2143</v>
      </c>
      <c r="B1104" t="s">
        <v>66</v>
      </c>
      <c r="C1104" t="s">
        <v>121</v>
      </c>
      <c r="D1104" t="s">
        <v>77</v>
      </c>
      <c r="E1104" t="s">
        <v>260</v>
      </c>
      <c r="F1104" t="s">
        <v>124</v>
      </c>
      <c r="G1104" t="s">
        <v>58</v>
      </c>
      <c r="H1104">
        <v>1.9</v>
      </c>
      <c r="I1104">
        <v>5.7</v>
      </c>
      <c r="J1104" t="s">
        <v>20</v>
      </c>
      <c r="K1104" t="s">
        <v>1439</v>
      </c>
      <c r="L1104" t="s">
        <v>140</v>
      </c>
      <c r="M1104" t="s">
        <v>1484</v>
      </c>
      <c r="N1104" t="s">
        <v>37</v>
      </c>
      <c r="O1104">
        <v>169</v>
      </c>
      <c r="P1104" t="s">
        <v>2265</v>
      </c>
      <c r="Q1104">
        <v>0</v>
      </c>
      <c r="R1104">
        <v>0</v>
      </c>
      <c r="S1104" t="s">
        <v>2265</v>
      </c>
      <c r="T1104" t="s">
        <v>62</v>
      </c>
      <c r="U1104" t="s">
        <v>39</v>
      </c>
      <c r="V1104" t="s">
        <v>39</v>
      </c>
      <c r="W1104" t="s">
        <v>52</v>
      </c>
      <c r="X1104">
        <v>2023</v>
      </c>
      <c r="Y1104" t="s">
        <v>63</v>
      </c>
      <c r="Z1104" t="s">
        <v>64</v>
      </c>
    </row>
    <row r="1105" spans="1:26">
      <c r="A1105" t="s">
        <v>2144</v>
      </c>
      <c r="B1105" t="s">
        <v>27</v>
      </c>
      <c r="C1105" t="s">
        <v>67</v>
      </c>
      <c r="D1105" t="s">
        <v>122</v>
      </c>
      <c r="E1105" t="s">
        <v>130</v>
      </c>
      <c r="F1105" t="s">
        <v>238</v>
      </c>
      <c r="G1105" t="s">
        <v>32</v>
      </c>
      <c r="H1105">
        <v>2.8</v>
      </c>
      <c r="I1105">
        <v>15.2</v>
      </c>
      <c r="J1105" t="s">
        <v>144</v>
      </c>
      <c r="K1105" t="s">
        <v>2145</v>
      </c>
      <c r="L1105" t="s">
        <v>35</v>
      </c>
      <c r="M1105" t="s">
        <v>862</v>
      </c>
      <c r="N1105" t="s">
        <v>37</v>
      </c>
      <c r="O1105">
        <v>91</v>
      </c>
      <c r="P1105" t="s">
        <v>2265</v>
      </c>
      <c r="Q1105">
        <v>0</v>
      </c>
      <c r="R1105">
        <v>0</v>
      </c>
      <c r="S1105" t="s">
        <v>2265</v>
      </c>
      <c r="T1105" t="s">
        <v>38</v>
      </c>
      <c r="U1105" t="s">
        <v>52</v>
      </c>
      <c r="V1105" t="s">
        <v>39</v>
      </c>
      <c r="W1105" t="s">
        <v>52</v>
      </c>
      <c r="X1105">
        <v>2023</v>
      </c>
      <c r="Y1105" t="s">
        <v>312</v>
      </c>
      <c r="Z1105" t="s">
        <v>83</v>
      </c>
    </row>
    <row r="1106" spans="1:26">
      <c r="A1106" t="s">
        <v>2146</v>
      </c>
      <c r="B1106" t="s">
        <v>116</v>
      </c>
      <c r="C1106" t="s">
        <v>164</v>
      </c>
      <c r="D1106" t="s">
        <v>85</v>
      </c>
      <c r="E1106" t="s">
        <v>138</v>
      </c>
      <c r="F1106" t="s">
        <v>57</v>
      </c>
      <c r="G1106" t="s">
        <v>58</v>
      </c>
      <c r="H1106">
        <v>0.6</v>
      </c>
      <c r="I1106">
        <v>1</v>
      </c>
      <c r="J1106" t="s">
        <v>33</v>
      </c>
      <c r="K1106" t="s">
        <v>1713</v>
      </c>
      <c r="L1106" t="s">
        <v>98</v>
      </c>
      <c r="M1106" t="s">
        <v>698</v>
      </c>
      <c r="N1106" t="s">
        <v>71</v>
      </c>
      <c r="O1106">
        <v>31</v>
      </c>
      <c r="P1106" t="s">
        <v>105</v>
      </c>
      <c r="Q1106">
        <v>1318</v>
      </c>
      <c r="R1106">
        <v>500</v>
      </c>
      <c r="S1106" t="s">
        <v>113</v>
      </c>
      <c r="T1106" t="s">
        <v>62</v>
      </c>
      <c r="U1106" t="s">
        <v>39</v>
      </c>
      <c r="V1106" t="s">
        <v>52</v>
      </c>
      <c r="W1106" t="s">
        <v>39</v>
      </c>
      <c r="X1106">
        <v>2024</v>
      </c>
      <c r="Y1106" t="s">
        <v>91</v>
      </c>
      <c r="Z1106" t="s">
        <v>64</v>
      </c>
    </row>
    <row r="1107" spans="1:26">
      <c r="A1107" t="s">
        <v>2147</v>
      </c>
      <c r="B1107" t="s">
        <v>93</v>
      </c>
      <c r="C1107" t="s">
        <v>121</v>
      </c>
      <c r="D1107" t="s">
        <v>77</v>
      </c>
      <c r="E1107" t="s">
        <v>94</v>
      </c>
      <c r="F1107" t="s">
        <v>160</v>
      </c>
      <c r="G1107" t="s">
        <v>58</v>
      </c>
      <c r="H1107">
        <v>9.4</v>
      </c>
      <c r="I1107">
        <v>17</v>
      </c>
      <c r="J1107" t="s">
        <v>33</v>
      </c>
      <c r="K1107" t="s">
        <v>165</v>
      </c>
      <c r="L1107" t="s">
        <v>48</v>
      </c>
      <c r="M1107" t="s">
        <v>806</v>
      </c>
      <c r="N1107" t="s">
        <v>61</v>
      </c>
      <c r="O1107">
        <v>137</v>
      </c>
      <c r="P1107" t="s">
        <v>2265</v>
      </c>
      <c r="Q1107">
        <v>0</v>
      </c>
      <c r="R1107">
        <v>0</v>
      </c>
      <c r="S1107" t="s">
        <v>2265</v>
      </c>
      <c r="T1107" t="s">
        <v>81</v>
      </c>
      <c r="U1107" t="s">
        <v>39</v>
      </c>
      <c r="V1107" t="s">
        <v>39</v>
      </c>
      <c r="W1107" t="s">
        <v>52</v>
      </c>
      <c r="X1107">
        <v>2023</v>
      </c>
      <c r="Y1107" t="s">
        <v>153</v>
      </c>
      <c r="Z1107" t="s">
        <v>54</v>
      </c>
    </row>
    <row r="1108" spans="1:26">
      <c r="A1108" t="s">
        <v>2148</v>
      </c>
      <c r="B1108" t="s">
        <v>27</v>
      </c>
      <c r="C1108" t="s">
        <v>164</v>
      </c>
      <c r="D1108" t="s">
        <v>29</v>
      </c>
      <c r="E1108" t="s">
        <v>30</v>
      </c>
      <c r="F1108" t="s">
        <v>68</v>
      </c>
      <c r="G1108" t="s">
        <v>58</v>
      </c>
      <c r="H1108">
        <v>3.1</v>
      </c>
      <c r="I1108">
        <v>5.8</v>
      </c>
      <c r="J1108" t="s">
        <v>156</v>
      </c>
      <c r="K1108" t="s">
        <v>1052</v>
      </c>
      <c r="L1108" t="s">
        <v>60</v>
      </c>
      <c r="M1108" t="s">
        <v>1600</v>
      </c>
      <c r="N1108" t="s">
        <v>61</v>
      </c>
      <c r="O1108">
        <v>156</v>
      </c>
      <c r="P1108" t="s">
        <v>2265</v>
      </c>
      <c r="Q1108">
        <v>0</v>
      </c>
      <c r="R1108">
        <v>0</v>
      </c>
      <c r="S1108" t="s">
        <v>2265</v>
      </c>
      <c r="T1108" t="s">
        <v>136</v>
      </c>
      <c r="U1108" t="s">
        <v>39</v>
      </c>
      <c r="V1108" t="s">
        <v>52</v>
      </c>
      <c r="W1108" t="s">
        <v>52</v>
      </c>
      <c r="X1108">
        <v>2022</v>
      </c>
      <c r="Y1108" t="s">
        <v>211</v>
      </c>
      <c r="Z1108" t="s">
        <v>41</v>
      </c>
    </row>
    <row r="1109" spans="1:26">
      <c r="A1109" t="s">
        <v>2149</v>
      </c>
      <c r="B1109" t="s">
        <v>66</v>
      </c>
      <c r="C1109" t="s">
        <v>121</v>
      </c>
      <c r="D1109" t="s">
        <v>77</v>
      </c>
      <c r="E1109" t="s">
        <v>260</v>
      </c>
      <c r="F1109" t="s">
        <v>124</v>
      </c>
      <c r="G1109" t="s">
        <v>58</v>
      </c>
      <c r="H1109">
        <v>10</v>
      </c>
      <c r="I1109">
        <v>22.4</v>
      </c>
      <c r="J1109" t="s">
        <v>96</v>
      </c>
      <c r="K1109" t="s">
        <v>2150</v>
      </c>
      <c r="L1109" t="s">
        <v>98</v>
      </c>
      <c r="M1109" t="s">
        <v>1613</v>
      </c>
      <c r="N1109" t="s">
        <v>71</v>
      </c>
      <c r="O1109">
        <v>96</v>
      </c>
      <c r="P1109" t="s">
        <v>230</v>
      </c>
      <c r="Q1109">
        <v>6191</v>
      </c>
      <c r="R1109">
        <v>0</v>
      </c>
      <c r="S1109" t="s">
        <v>73</v>
      </c>
      <c r="T1109" t="s">
        <v>51</v>
      </c>
      <c r="U1109" t="s">
        <v>52</v>
      </c>
      <c r="V1109" t="s">
        <v>52</v>
      </c>
      <c r="W1109" t="s">
        <v>52</v>
      </c>
      <c r="X1109">
        <v>2023</v>
      </c>
      <c r="Y1109" t="s">
        <v>312</v>
      </c>
      <c r="Z1109" t="s">
        <v>83</v>
      </c>
    </row>
    <row r="1110" spans="1:26">
      <c r="A1110" t="s">
        <v>2151</v>
      </c>
      <c r="B1110" t="s">
        <v>93</v>
      </c>
      <c r="C1110" t="s">
        <v>28</v>
      </c>
      <c r="D1110" t="s">
        <v>29</v>
      </c>
      <c r="E1110" t="s">
        <v>30</v>
      </c>
      <c r="F1110" t="s">
        <v>109</v>
      </c>
      <c r="G1110" t="s">
        <v>32</v>
      </c>
      <c r="H1110">
        <v>2.8</v>
      </c>
      <c r="I1110">
        <v>19.8</v>
      </c>
      <c r="J1110" t="s">
        <v>33</v>
      </c>
      <c r="K1110" t="s">
        <v>1620</v>
      </c>
      <c r="L1110" t="s">
        <v>35</v>
      </c>
      <c r="M1110" t="s">
        <v>662</v>
      </c>
      <c r="N1110" t="s">
        <v>50</v>
      </c>
      <c r="O1110">
        <v>2</v>
      </c>
      <c r="P1110" t="s">
        <v>2265</v>
      </c>
      <c r="Q1110">
        <v>0</v>
      </c>
      <c r="R1110">
        <v>500</v>
      </c>
      <c r="S1110" t="s">
        <v>2265</v>
      </c>
      <c r="T1110" t="s">
        <v>38</v>
      </c>
      <c r="U1110" t="s">
        <v>39</v>
      </c>
      <c r="V1110" t="s">
        <v>52</v>
      </c>
      <c r="W1110" t="s">
        <v>52</v>
      </c>
      <c r="X1110">
        <v>2023</v>
      </c>
      <c r="Y1110" t="s">
        <v>74</v>
      </c>
      <c r="Z1110" t="s">
        <v>54</v>
      </c>
    </row>
    <row r="1111" spans="1:26">
      <c r="A1111" t="s">
        <v>2152</v>
      </c>
      <c r="B1111" t="s">
        <v>108</v>
      </c>
      <c r="C1111" t="s">
        <v>67</v>
      </c>
      <c r="D1111" t="s">
        <v>85</v>
      </c>
      <c r="E1111" t="s">
        <v>174</v>
      </c>
      <c r="F1111" t="s">
        <v>57</v>
      </c>
      <c r="G1111" t="s">
        <v>58</v>
      </c>
      <c r="H1111">
        <v>2.8</v>
      </c>
      <c r="I1111">
        <v>29.1</v>
      </c>
      <c r="J1111" t="s">
        <v>33</v>
      </c>
      <c r="K1111" t="s">
        <v>780</v>
      </c>
      <c r="L1111" t="s">
        <v>98</v>
      </c>
      <c r="M1111" t="s">
        <v>127</v>
      </c>
      <c r="N1111" t="s">
        <v>100</v>
      </c>
      <c r="O1111">
        <v>74</v>
      </c>
      <c r="P1111" t="s">
        <v>2265</v>
      </c>
      <c r="Q1111">
        <v>0</v>
      </c>
      <c r="R1111">
        <v>0</v>
      </c>
      <c r="S1111" t="s">
        <v>2265</v>
      </c>
      <c r="T1111" t="s">
        <v>51</v>
      </c>
      <c r="U1111" t="s">
        <v>52</v>
      </c>
      <c r="V1111" t="s">
        <v>39</v>
      </c>
      <c r="W1111" t="s">
        <v>52</v>
      </c>
      <c r="X1111">
        <v>2024</v>
      </c>
      <c r="Y1111" t="s">
        <v>128</v>
      </c>
      <c r="Z1111" t="s">
        <v>64</v>
      </c>
    </row>
    <row r="1112" spans="1:26">
      <c r="A1112" t="s">
        <v>2153</v>
      </c>
      <c r="B1112" t="s">
        <v>116</v>
      </c>
      <c r="C1112" t="s">
        <v>28</v>
      </c>
      <c r="D1112" t="s">
        <v>122</v>
      </c>
      <c r="E1112" t="s">
        <v>155</v>
      </c>
      <c r="F1112" t="s">
        <v>31</v>
      </c>
      <c r="G1112" t="s">
        <v>32</v>
      </c>
      <c r="H1112">
        <v>5.2</v>
      </c>
      <c r="I1112">
        <v>25.4</v>
      </c>
      <c r="J1112" t="s">
        <v>33</v>
      </c>
      <c r="K1112" t="s">
        <v>898</v>
      </c>
      <c r="L1112" t="s">
        <v>126</v>
      </c>
      <c r="M1112" t="s">
        <v>1532</v>
      </c>
      <c r="N1112" t="s">
        <v>71</v>
      </c>
      <c r="O1112">
        <v>45</v>
      </c>
      <c r="P1112" t="s">
        <v>72</v>
      </c>
      <c r="Q1112">
        <v>2008</v>
      </c>
      <c r="R1112">
        <v>0</v>
      </c>
      <c r="S1112" t="s">
        <v>73</v>
      </c>
      <c r="T1112" t="s">
        <v>62</v>
      </c>
      <c r="U1112" t="s">
        <v>39</v>
      </c>
      <c r="V1112" t="s">
        <v>52</v>
      </c>
      <c r="W1112" t="s">
        <v>52</v>
      </c>
      <c r="X1112">
        <v>2022</v>
      </c>
      <c r="Y1112" t="s">
        <v>53</v>
      </c>
      <c r="Z1112" t="s">
        <v>54</v>
      </c>
    </row>
    <row r="1113" spans="1:26">
      <c r="A1113" t="s">
        <v>2154</v>
      </c>
      <c r="B1113" t="s">
        <v>116</v>
      </c>
      <c r="C1113" t="s">
        <v>164</v>
      </c>
      <c r="D1113" t="s">
        <v>77</v>
      </c>
      <c r="E1113" t="s">
        <v>363</v>
      </c>
      <c r="F1113" t="s">
        <v>238</v>
      </c>
      <c r="G1113" t="s">
        <v>32</v>
      </c>
      <c r="H1113">
        <v>9.6999999999999993</v>
      </c>
      <c r="I1113">
        <v>2.6</v>
      </c>
      <c r="J1113" t="s">
        <v>33</v>
      </c>
      <c r="K1113" t="s">
        <v>1808</v>
      </c>
      <c r="L1113" t="s">
        <v>126</v>
      </c>
      <c r="M1113" t="s">
        <v>299</v>
      </c>
      <c r="N1113" t="s">
        <v>50</v>
      </c>
      <c r="O1113">
        <v>116</v>
      </c>
      <c r="P1113" t="s">
        <v>2265</v>
      </c>
      <c r="Q1113">
        <v>0</v>
      </c>
      <c r="R1113">
        <v>500</v>
      </c>
      <c r="S1113" t="s">
        <v>2265</v>
      </c>
      <c r="T1113" t="s">
        <v>81</v>
      </c>
      <c r="U1113" t="s">
        <v>39</v>
      </c>
      <c r="V1113" t="s">
        <v>39</v>
      </c>
      <c r="W1113" t="s">
        <v>52</v>
      </c>
      <c r="X1113">
        <v>2023</v>
      </c>
      <c r="Y1113" t="s">
        <v>91</v>
      </c>
      <c r="Z1113" t="s">
        <v>64</v>
      </c>
    </row>
    <row r="1114" spans="1:26">
      <c r="A1114" t="s">
        <v>2155</v>
      </c>
      <c r="B1114" t="s">
        <v>43</v>
      </c>
      <c r="C1114" t="s">
        <v>44</v>
      </c>
      <c r="D1114" t="s">
        <v>29</v>
      </c>
      <c r="E1114" t="s">
        <v>45</v>
      </c>
      <c r="F1114" t="s">
        <v>31</v>
      </c>
      <c r="G1114" t="s">
        <v>32</v>
      </c>
      <c r="H1114">
        <v>1</v>
      </c>
      <c r="I1114">
        <v>7.5</v>
      </c>
      <c r="J1114" t="s">
        <v>144</v>
      </c>
      <c r="K1114" t="s">
        <v>2156</v>
      </c>
      <c r="L1114" t="s">
        <v>140</v>
      </c>
      <c r="M1114" t="s">
        <v>2157</v>
      </c>
      <c r="N1114" t="s">
        <v>61</v>
      </c>
      <c r="O1114">
        <v>39</v>
      </c>
      <c r="P1114" t="s">
        <v>2265</v>
      </c>
      <c r="Q1114">
        <v>0</v>
      </c>
      <c r="R1114">
        <v>0</v>
      </c>
      <c r="S1114" t="s">
        <v>2265</v>
      </c>
      <c r="T1114" t="s">
        <v>62</v>
      </c>
      <c r="U1114" t="s">
        <v>52</v>
      </c>
      <c r="V1114" t="s">
        <v>52</v>
      </c>
      <c r="W1114" t="s">
        <v>39</v>
      </c>
      <c r="X1114">
        <v>2022</v>
      </c>
      <c r="Y1114" t="s">
        <v>40</v>
      </c>
      <c r="Z1114" t="s">
        <v>41</v>
      </c>
    </row>
    <row r="1115" spans="1:26">
      <c r="A1115" t="s">
        <v>2158</v>
      </c>
      <c r="B1115" t="s">
        <v>27</v>
      </c>
      <c r="C1115" t="s">
        <v>164</v>
      </c>
      <c r="D1115" t="s">
        <v>77</v>
      </c>
      <c r="E1115" t="s">
        <v>78</v>
      </c>
      <c r="F1115" t="s">
        <v>68</v>
      </c>
      <c r="G1115" t="s">
        <v>32</v>
      </c>
      <c r="H1115">
        <v>10.7</v>
      </c>
      <c r="I1115">
        <v>8.5</v>
      </c>
      <c r="J1115" t="s">
        <v>156</v>
      </c>
      <c r="K1115" t="s">
        <v>803</v>
      </c>
      <c r="L1115" t="s">
        <v>126</v>
      </c>
      <c r="M1115" t="s">
        <v>1669</v>
      </c>
      <c r="N1115" t="s">
        <v>71</v>
      </c>
      <c r="O1115">
        <v>19</v>
      </c>
      <c r="P1115" t="s">
        <v>230</v>
      </c>
      <c r="Q1115">
        <v>6492</v>
      </c>
      <c r="R1115">
        <v>500</v>
      </c>
      <c r="S1115" t="s">
        <v>90</v>
      </c>
      <c r="T1115" t="s">
        <v>51</v>
      </c>
      <c r="U1115" t="s">
        <v>52</v>
      </c>
      <c r="V1115" t="s">
        <v>52</v>
      </c>
      <c r="W1115" t="s">
        <v>52</v>
      </c>
      <c r="X1115">
        <v>2023</v>
      </c>
      <c r="Y1115" t="s">
        <v>312</v>
      </c>
      <c r="Z1115" t="s">
        <v>83</v>
      </c>
    </row>
    <row r="1116" spans="1:26">
      <c r="A1116" t="s">
        <v>2159</v>
      </c>
      <c r="B1116" t="s">
        <v>66</v>
      </c>
      <c r="C1116" t="s">
        <v>44</v>
      </c>
      <c r="D1116" t="s">
        <v>122</v>
      </c>
      <c r="E1116" t="s">
        <v>148</v>
      </c>
      <c r="F1116" t="s">
        <v>46</v>
      </c>
      <c r="G1116" t="s">
        <v>32</v>
      </c>
      <c r="H1116">
        <v>2.5</v>
      </c>
      <c r="I1116">
        <v>21.3</v>
      </c>
      <c r="J1116" t="s">
        <v>33</v>
      </c>
      <c r="K1116" t="s">
        <v>1909</v>
      </c>
      <c r="L1116" t="s">
        <v>35</v>
      </c>
      <c r="M1116" t="s">
        <v>541</v>
      </c>
      <c r="N1116" t="s">
        <v>61</v>
      </c>
      <c r="O1116">
        <v>162</v>
      </c>
      <c r="P1116" t="s">
        <v>2265</v>
      </c>
      <c r="Q1116">
        <v>0</v>
      </c>
      <c r="R1116">
        <v>0</v>
      </c>
      <c r="S1116" t="s">
        <v>2265</v>
      </c>
      <c r="T1116" t="s">
        <v>62</v>
      </c>
      <c r="U1116" t="s">
        <v>39</v>
      </c>
      <c r="V1116" t="s">
        <v>39</v>
      </c>
      <c r="W1116" t="s">
        <v>52</v>
      </c>
      <c r="X1116">
        <v>2023</v>
      </c>
      <c r="Y1116" t="s">
        <v>312</v>
      </c>
      <c r="Z1116" t="s">
        <v>83</v>
      </c>
    </row>
    <row r="1117" spans="1:26">
      <c r="A1117" t="s">
        <v>2160</v>
      </c>
      <c r="B1117" t="s">
        <v>93</v>
      </c>
      <c r="C1117" t="s">
        <v>121</v>
      </c>
      <c r="D1117" t="s">
        <v>29</v>
      </c>
      <c r="E1117" t="s">
        <v>45</v>
      </c>
      <c r="F1117" t="s">
        <v>57</v>
      </c>
      <c r="G1117" t="s">
        <v>32</v>
      </c>
      <c r="H1117">
        <v>4.3</v>
      </c>
      <c r="I1117">
        <v>1.3</v>
      </c>
      <c r="J1117" t="s">
        <v>33</v>
      </c>
      <c r="K1117" t="s">
        <v>2161</v>
      </c>
      <c r="L1117" t="s">
        <v>140</v>
      </c>
      <c r="M1117" t="s">
        <v>868</v>
      </c>
      <c r="N1117" t="s">
        <v>71</v>
      </c>
      <c r="O1117">
        <v>41</v>
      </c>
      <c r="P1117" t="s">
        <v>112</v>
      </c>
      <c r="Q1117">
        <v>3900</v>
      </c>
      <c r="R1117">
        <v>0</v>
      </c>
      <c r="S1117" t="s">
        <v>152</v>
      </c>
      <c r="T1117" t="s">
        <v>136</v>
      </c>
      <c r="U1117" t="s">
        <v>39</v>
      </c>
      <c r="V1117" t="s">
        <v>52</v>
      </c>
      <c r="W1117" t="s">
        <v>39</v>
      </c>
      <c r="X1117">
        <v>2022</v>
      </c>
      <c r="Y1117" t="s">
        <v>74</v>
      </c>
      <c r="Z1117" t="s">
        <v>54</v>
      </c>
    </row>
    <row r="1118" spans="1:26">
      <c r="A1118" t="s">
        <v>2162</v>
      </c>
      <c r="B1118" t="s">
        <v>108</v>
      </c>
      <c r="C1118" t="s">
        <v>121</v>
      </c>
      <c r="D1118" t="s">
        <v>77</v>
      </c>
      <c r="E1118" t="s">
        <v>216</v>
      </c>
      <c r="F1118" t="s">
        <v>57</v>
      </c>
      <c r="G1118" t="s">
        <v>32</v>
      </c>
      <c r="H1118">
        <v>3.7</v>
      </c>
      <c r="I1118">
        <v>19.3</v>
      </c>
      <c r="J1118" t="s">
        <v>20</v>
      </c>
      <c r="K1118" t="s">
        <v>2092</v>
      </c>
      <c r="L1118" t="s">
        <v>126</v>
      </c>
      <c r="M1118" t="s">
        <v>1104</v>
      </c>
      <c r="N1118" t="s">
        <v>50</v>
      </c>
      <c r="O1118">
        <v>144</v>
      </c>
      <c r="P1118" t="s">
        <v>2265</v>
      </c>
      <c r="Q1118">
        <v>0</v>
      </c>
      <c r="R1118">
        <v>1000</v>
      </c>
      <c r="S1118" t="s">
        <v>2265</v>
      </c>
      <c r="T1118" t="s">
        <v>62</v>
      </c>
      <c r="U1118" t="s">
        <v>52</v>
      </c>
      <c r="V1118" t="s">
        <v>52</v>
      </c>
      <c r="W1118" t="s">
        <v>39</v>
      </c>
      <c r="X1118">
        <v>2024</v>
      </c>
      <c r="Y1118" t="s">
        <v>53</v>
      </c>
      <c r="Z1118" t="s">
        <v>54</v>
      </c>
    </row>
    <row r="1119" spans="1:26">
      <c r="A1119" t="s">
        <v>2163</v>
      </c>
      <c r="B1119" t="s">
        <v>93</v>
      </c>
      <c r="C1119" t="s">
        <v>76</v>
      </c>
      <c r="D1119" t="s">
        <v>85</v>
      </c>
      <c r="E1119" t="s">
        <v>208</v>
      </c>
      <c r="F1119" t="s">
        <v>238</v>
      </c>
      <c r="G1119" t="s">
        <v>32</v>
      </c>
      <c r="H1119">
        <v>8.3000000000000007</v>
      </c>
      <c r="I1119">
        <v>1.7</v>
      </c>
      <c r="J1119" t="s">
        <v>33</v>
      </c>
      <c r="K1119" t="s">
        <v>702</v>
      </c>
      <c r="L1119" t="s">
        <v>60</v>
      </c>
      <c r="M1119" t="s">
        <v>846</v>
      </c>
      <c r="N1119" t="s">
        <v>100</v>
      </c>
      <c r="O1119">
        <v>89</v>
      </c>
      <c r="P1119" t="s">
        <v>2265</v>
      </c>
      <c r="Q1119">
        <v>0</v>
      </c>
      <c r="R1119">
        <v>0</v>
      </c>
      <c r="S1119" t="s">
        <v>2265</v>
      </c>
      <c r="T1119" t="s">
        <v>51</v>
      </c>
      <c r="U1119" t="s">
        <v>39</v>
      </c>
      <c r="V1119" t="s">
        <v>52</v>
      </c>
      <c r="W1119" t="s">
        <v>52</v>
      </c>
      <c r="X1119">
        <v>2024</v>
      </c>
      <c r="Y1119" t="s">
        <v>82</v>
      </c>
      <c r="Z1119" t="s">
        <v>83</v>
      </c>
    </row>
    <row r="1120" spans="1:26">
      <c r="A1120" t="s">
        <v>2164</v>
      </c>
      <c r="B1120" t="s">
        <v>108</v>
      </c>
      <c r="C1120" t="s">
        <v>28</v>
      </c>
      <c r="D1120" t="s">
        <v>77</v>
      </c>
      <c r="E1120" t="s">
        <v>94</v>
      </c>
      <c r="F1120" t="s">
        <v>95</v>
      </c>
      <c r="G1120" t="s">
        <v>32</v>
      </c>
      <c r="H1120">
        <v>7.4</v>
      </c>
      <c r="I1120">
        <v>33.700000000000003</v>
      </c>
      <c r="J1120" t="s">
        <v>33</v>
      </c>
      <c r="K1120" t="s">
        <v>161</v>
      </c>
      <c r="L1120" t="s">
        <v>140</v>
      </c>
      <c r="M1120" t="s">
        <v>972</v>
      </c>
      <c r="N1120" t="s">
        <v>100</v>
      </c>
      <c r="O1120">
        <v>145</v>
      </c>
      <c r="P1120" t="s">
        <v>2265</v>
      </c>
      <c r="Q1120">
        <v>0</v>
      </c>
      <c r="R1120">
        <v>0</v>
      </c>
      <c r="S1120" t="s">
        <v>2265</v>
      </c>
      <c r="T1120" t="s">
        <v>136</v>
      </c>
      <c r="U1120" t="s">
        <v>39</v>
      </c>
      <c r="V1120" t="s">
        <v>52</v>
      </c>
      <c r="W1120" t="s">
        <v>52</v>
      </c>
      <c r="X1120">
        <v>2023</v>
      </c>
      <c r="Y1120" t="s">
        <v>40</v>
      </c>
      <c r="Z1120" t="s">
        <v>41</v>
      </c>
    </row>
    <row r="1121" spans="1:26">
      <c r="A1121" t="s">
        <v>2165</v>
      </c>
      <c r="B1121" t="s">
        <v>108</v>
      </c>
      <c r="C1121" t="s">
        <v>44</v>
      </c>
      <c r="D1121" t="s">
        <v>77</v>
      </c>
      <c r="E1121" t="s">
        <v>260</v>
      </c>
      <c r="F1121" t="s">
        <v>124</v>
      </c>
      <c r="G1121" t="s">
        <v>32</v>
      </c>
      <c r="H1121">
        <v>1.4</v>
      </c>
      <c r="I1121">
        <v>18.8</v>
      </c>
      <c r="J1121" t="s">
        <v>33</v>
      </c>
      <c r="K1121" t="s">
        <v>1276</v>
      </c>
      <c r="L1121" t="s">
        <v>48</v>
      </c>
      <c r="M1121" t="s">
        <v>209</v>
      </c>
      <c r="N1121" t="s">
        <v>71</v>
      </c>
      <c r="O1121">
        <v>3</v>
      </c>
      <c r="P1121" t="s">
        <v>230</v>
      </c>
      <c r="Q1121">
        <v>6014</v>
      </c>
      <c r="R1121">
        <v>0</v>
      </c>
      <c r="S1121" t="s">
        <v>152</v>
      </c>
      <c r="T1121" t="s">
        <v>62</v>
      </c>
      <c r="U1121" t="s">
        <v>39</v>
      </c>
      <c r="V1121" t="s">
        <v>52</v>
      </c>
      <c r="W1121" t="s">
        <v>52</v>
      </c>
      <c r="X1121">
        <v>2024</v>
      </c>
      <c r="Y1121" t="s">
        <v>211</v>
      </c>
      <c r="Z1121" t="s">
        <v>41</v>
      </c>
    </row>
    <row r="1122" spans="1:26">
      <c r="A1122" t="s">
        <v>2166</v>
      </c>
      <c r="B1122" t="s">
        <v>93</v>
      </c>
      <c r="C1122" t="s">
        <v>173</v>
      </c>
      <c r="D1122" t="s">
        <v>77</v>
      </c>
      <c r="E1122" t="s">
        <v>94</v>
      </c>
      <c r="F1122" t="s">
        <v>160</v>
      </c>
      <c r="G1122" t="s">
        <v>58</v>
      </c>
      <c r="H1122">
        <v>7.9</v>
      </c>
      <c r="I1122">
        <v>9.1</v>
      </c>
      <c r="J1122" t="s">
        <v>33</v>
      </c>
      <c r="K1122" t="s">
        <v>1350</v>
      </c>
      <c r="L1122" t="s">
        <v>98</v>
      </c>
      <c r="M1122" t="s">
        <v>1881</v>
      </c>
      <c r="N1122" t="s">
        <v>100</v>
      </c>
      <c r="O1122">
        <v>73</v>
      </c>
      <c r="P1122" t="s">
        <v>2265</v>
      </c>
      <c r="Q1122">
        <v>0</v>
      </c>
      <c r="R1122">
        <v>0</v>
      </c>
      <c r="S1122" t="s">
        <v>2265</v>
      </c>
      <c r="T1122" t="s">
        <v>51</v>
      </c>
      <c r="U1122" t="s">
        <v>39</v>
      </c>
      <c r="V1122" t="s">
        <v>52</v>
      </c>
      <c r="W1122" t="s">
        <v>39</v>
      </c>
      <c r="X1122">
        <v>2023</v>
      </c>
      <c r="Y1122" t="s">
        <v>63</v>
      </c>
      <c r="Z1122" t="s">
        <v>64</v>
      </c>
    </row>
    <row r="1123" spans="1:26">
      <c r="A1123" t="s">
        <v>2167</v>
      </c>
      <c r="B1123" t="s">
        <v>43</v>
      </c>
      <c r="C1123" t="s">
        <v>173</v>
      </c>
      <c r="D1123" t="s">
        <v>85</v>
      </c>
      <c r="E1123" t="s">
        <v>138</v>
      </c>
      <c r="F1123" t="s">
        <v>57</v>
      </c>
      <c r="G1123" t="s">
        <v>32</v>
      </c>
      <c r="H1123">
        <v>3.4</v>
      </c>
      <c r="I1123">
        <v>16.100000000000001</v>
      </c>
      <c r="J1123" t="s">
        <v>33</v>
      </c>
      <c r="K1123" t="s">
        <v>187</v>
      </c>
      <c r="L1123" t="s">
        <v>140</v>
      </c>
      <c r="M1123" t="s">
        <v>2168</v>
      </c>
      <c r="N1123" t="s">
        <v>37</v>
      </c>
      <c r="O1123">
        <v>156</v>
      </c>
      <c r="P1123" t="s">
        <v>2265</v>
      </c>
      <c r="Q1123">
        <v>0</v>
      </c>
      <c r="R1123">
        <v>500</v>
      </c>
      <c r="S1123" t="s">
        <v>2265</v>
      </c>
      <c r="T1123" t="s">
        <v>62</v>
      </c>
      <c r="U1123" t="s">
        <v>39</v>
      </c>
      <c r="V1123" t="s">
        <v>39</v>
      </c>
      <c r="W1123" t="s">
        <v>52</v>
      </c>
      <c r="X1123">
        <v>2023</v>
      </c>
      <c r="Y1123" t="s">
        <v>53</v>
      </c>
      <c r="Z1123" t="s">
        <v>54</v>
      </c>
    </row>
    <row r="1124" spans="1:26">
      <c r="A1124" t="s">
        <v>2169</v>
      </c>
      <c r="B1124" t="s">
        <v>27</v>
      </c>
      <c r="C1124" t="s">
        <v>173</v>
      </c>
      <c r="D1124" t="s">
        <v>77</v>
      </c>
      <c r="E1124" t="s">
        <v>260</v>
      </c>
      <c r="F1124" t="s">
        <v>95</v>
      </c>
      <c r="G1124" t="s">
        <v>58</v>
      </c>
      <c r="H1124">
        <v>5.8</v>
      </c>
      <c r="I1124">
        <v>32.799999999999997</v>
      </c>
      <c r="J1124" t="s">
        <v>33</v>
      </c>
      <c r="K1124" t="s">
        <v>1916</v>
      </c>
      <c r="L1124" t="s">
        <v>35</v>
      </c>
      <c r="M1124" t="s">
        <v>127</v>
      </c>
      <c r="N1124" t="s">
        <v>71</v>
      </c>
      <c r="O1124">
        <v>108</v>
      </c>
      <c r="P1124" t="s">
        <v>230</v>
      </c>
      <c r="Q1124">
        <v>7959</v>
      </c>
      <c r="R1124">
        <v>2000</v>
      </c>
      <c r="S1124" t="s">
        <v>90</v>
      </c>
      <c r="T1124" t="s">
        <v>81</v>
      </c>
      <c r="U1124" t="s">
        <v>39</v>
      </c>
      <c r="V1124" t="s">
        <v>52</v>
      </c>
      <c r="W1124" t="s">
        <v>52</v>
      </c>
      <c r="X1124">
        <v>2024</v>
      </c>
      <c r="Y1124" t="s">
        <v>91</v>
      </c>
      <c r="Z1124" t="s">
        <v>64</v>
      </c>
    </row>
    <row r="1125" spans="1:26">
      <c r="A1125" t="s">
        <v>2170</v>
      </c>
      <c r="B1125" t="s">
        <v>93</v>
      </c>
      <c r="C1125" t="s">
        <v>102</v>
      </c>
      <c r="D1125" t="s">
        <v>29</v>
      </c>
      <c r="E1125" t="s">
        <v>195</v>
      </c>
      <c r="F1125" t="s">
        <v>160</v>
      </c>
      <c r="G1125" t="s">
        <v>32</v>
      </c>
      <c r="H1125">
        <v>3.7</v>
      </c>
      <c r="I1125">
        <v>29.9</v>
      </c>
      <c r="J1125" t="s">
        <v>33</v>
      </c>
      <c r="K1125" t="s">
        <v>676</v>
      </c>
      <c r="L1125" t="s">
        <v>60</v>
      </c>
      <c r="M1125" t="s">
        <v>657</v>
      </c>
      <c r="N1125" t="s">
        <v>50</v>
      </c>
      <c r="O1125">
        <v>12</v>
      </c>
      <c r="P1125" t="s">
        <v>2265</v>
      </c>
      <c r="Q1125">
        <v>0</v>
      </c>
      <c r="R1125">
        <v>500</v>
      </c>
      <c r="S1125" t="s">
        <v>2265</v>
      </c>
      <c r="T1125" t="s">
        <v>136</v>
      </c>
      <c r="U1125" t="s">
        <v>39</v>
      </c>
      <c r="V1125" t="s">
        <v>39</v>
      </c>
      <c r="W1125" t="s">
        <v>39</v>
      </c>
      <c r="X1125">
        <v>2024</v>
      </c>
      <c r="Y1125" t="s">
        <v>114</v>
      </c>
      <c r="Z1125" t="s">
        <v>41</v>
      </c>
    </row>
    <row r="1126" spans="1:26">
      <c r="A1126" t="s">
        <v>2171</v>
      </c>
      <c r="B1126" t="s">
        <v>108</v>
      </c>
      <c r="C1126" t="s">
        <v>28</v>
      </c>
      <c r="D1126" t="s">
        <v>77</v>
      </c>
      <c r="E1126" t="s">
        <v>220</v>
      </c>
      <c r="F1126" t="s">
        <v>68</v>
      </c>
      <c r="G1126" t="s">
        <v>58</v>
      </c>
      <c r="H1126">
        <v>6.8</v>
      </c>
      <c r="I1126">
        <v>29.8</v>
      </c>
      <c r="J1126" t="s">
        <v>20</v>
      </c>
      <c r="K1126" t="s">
        <v>759</v>
      </c>
      <c r="L1126" t="s">
        <v>35</v>
      </c>
      <c r="M1126" t="s">
        <v>203</v>
      </c>
      <c r="N1126" t="s">
        <v>61</v>
      </c>
      <c r="O1126">
        <v>78</v>
      </c>
      <c r="P1126" t="s">
        <v>2265</v>
      </c>
      <c r="Q1126">
        <v>0</v>
      </c>
      <c r="R1126">
        <v>0</v>
      </c>
      <c r="S1126" t="s">
        <v>2265</v>
      </c>
      <c r="T1126" t="s">
        <v>38</v>
      </c>
      <c r="U1126" t="s">
        <v>39</v>
      </c>
      <c r="V1126" t="s">
        <v>52</v>
      </c>
      <c r="W1126" t="s">
        <v>52</v>
      </c>
      <c r="X1126">
        <v>2022</v>
      </c>
      <c r="Y1126" t="s">
        <v>312</v>
      </c>
      <c r="Z1126" t="s">
        <v>83</v>
      </c>
    </row>
    <row r="1127" spans="1:26">
      <c r="A1127" t="s">
        <v>2172</v>
      </c>
      <c r="B1127" t="s">
        <v>27</v>
      </c>
      <c r="C1127" t="s">
        <v>44</v>
      </c>
      <c r="D1127" t="s">
        <v>29</v>
      </c>
      <c r="E1127" t="s">
        <v>45</v>
      </c>
      <c r="F1127" t="s">
        <v>124</v>
      </c>
      <c r="G1127" t="s">
        <v>32</v>
      </c>
      <c r="H1127">
        <v>10.3</v>
      </c>
      <c r="I1127">
        <v>30.3</v>
      </c>
      <c r="J1127" t="s">
        <v>20</v>
      </c>
      <c r="K1127" t="s">
        <v>532</v>
      </c>
      <c r="L1127" t="s">
        <v>60</v>
      </c>
      <c r="M1127" t="s">
        <v>423</v>
      </c>
      <c r="N1127" t="s">
        <v>50</v>
      </c>
      <c r="O1127">
        <v>53</v>
      </c>
      <c r="P1127" t="s">
        <v>2265</v>
      </c>
      <c r="Q1127">
        <v>0</v>
      </c>
      <c r="R1127">
        <v>500</v>
      </c>
      <c r="S1127" t="s">
        <v>2265</v>
      </c>
      <c r="T1127" t="s">
        <v>136</v>
      </c>
      <c r="U1127" t="s">
        <v>39</v>
      </c>
      <c r="V1127" t="s">
        <v>52</v>
      </c>
      <c r="W1127" t="s">
        <v>52</v>
      </c>
      <c r="X1127">
        <v>2022</v>
      </c>
      <c r="Y1127" t="s">
        <v>211</v>
      </c>
      <c r="Z1127" t="s">
        <v>41</v>
      </c>
    </row>
    <row r="1128" spans="1:26">
      <c r="A1128" t="s">
        <v>2173</v>
      </c>
      <c r="B1128" t="s">
        <v>43</v>
      </c>
      <c r="C1128" t="s">
        <v>173</v>
      </c>
      <c r="D1128" t="s">
        <v>29</v>
      </c>
      <c r="E1128" t="s">
        <v>244</v>
      </c>
      <c r="F1128" t="s">
        <v>46</v>
      </c>
      <c r="G1128" t="s">
        <v>32</v>
      </c>
      <c r="H1128">
        <v>8.5</v>
      </c>
      <c r="I1128">
        <v>19.600000000000001</v>
      </c>
      <c r="J1128" t="s">
        <v>144</v>
      </c>
      <c r="K1128" t="s">
        <v>1872</v>
      </c>
      <c r="L1128" t="s">
        <v>48</v>
      </c>
      <c r="M1128" t="s">
        <v>1225</v>
      </c>
      <c r="N1128" t="s">
        <v>61</v>
      </c>
      <c r="O1128">
        <v>18</v>
      </c>
      <c r="P1128" t="s">
        <v>2265</v>
      </c>
      <c r="Q1128">
        <v>0</v>
      </c>
      <c r="R1128">
        <v>0</v>
      </c>
      <c r="S1128" t="s">
        <v>2265</v>
      </c>
      <c r="T1128" t="s">
        <v>38</v>
      </c>
      <c r="U1128" t="s">
        <v>39</v>
      </c>
      <c r="V1128" t="s">
        <v>39</v>
      </c>
      <c r="W1128" t="s">
        <v>52</v>
      </c>
      <c r="X1128">
        <v>2023</v>
      </c>
      <c r="Y1128" t="s">
        <v>312</v>
      </c>
      <c r="Z1128" t="s">
        <v>83</v>
      </c>
    </row>
    <row r="1129" spans="1:26">
      <c r="A1129" t="s">
        <v>2174</v>
      </c>
      <c r="B1129" t="s">
        <v>43</v>
      </c>
      <c r="C1129" t="s">
        <v>76</v>
      </c>
      <c r="D1129" t="s">
        <v>77</v>
      </c>
      <c r="E1129" t="s">
        <v>363</v>
      </c>
      <c r="F1129" t="s">
        <v>124</v>
      </c>
      <c r="G1129" t="s">
        <v>58</v>
      </c>
      <c r="H1129">
        <v>2</v>
      </c>
      <c r="I1129">
        <v>23.6</v>
      </c>
      <c r="J1129" t="s">
        <v>33</v>
      </c>
      <c r="K1129" t="s">
        <v>1241</v>
      </c>
      <c r="L1129" t="s">
        <v>126</v>
      </c>
      <c r="M1129" t="s">
        <v>2175</v>
      </c>
      <c r="N1129" t="s">
        <v>37</v>
      </c>
      <c r="O1129">
        <v>47</v>
      </c>
      <c r="P1129" t="s">
        <v>2265</v>
      </c>
      <c r="Q1129">
        <v>0</v>
      </c>
      <c r="R1129">
        <v>1000</v>
      </c>
      <c r="S1129" t="s">
        <v>2265</v>
      </c>
      <c r="T1129" t="s">
        <v>51</v>
      </c>
      <c r="U1129" t="s">
        <v>39</v>
      </c>
      <c r="V1129" t="s">
        <v>52</v>
      </c>
      <c r="W1129" t="s">
        <v>52</v>
      </c>
      <c r="X1129">
        <v>2023</v>
      </c>
      <c r="Y1129" t="s">
        <v>211</v>
      </c>
      <c r="Z1129" t="s">
        <v>41</v>
      </c>
    </row>
    <row r="1130" spans="1:26">
      <c r="A1130" t="s">
        <v>2176</v>
      </c>
      <c r="B1130" t="s">
        <v>66</v>
      </c>
      <c r="C1130" t="s">
        <v>44</v>
      </c>
      <c r="D1130" t="s">
        <v>77</v>
      </c>
      <c r="E1130" t="s">
        <v>143</v>
      </c>
      <c r="F1130" t="s">
        <v>109</v>
      </c>
      <c r="G1130" t="s">
        <v>58</v>
      </c>
      <c r="H1130">
        <v>8.6</v>
      </c>
      <c r="I1130">
        <v>14.8</v>
      </c>
      <c r="J1130" t="s">
        <v>33</v>
      </c>
      <c r="K1130" t="s">
        <v>341</v>
      </c>
      <c r="L1130" t="s">
        <v>140</v>
      </c>
      <c r="M1130" t="s">
        <v>1718</v>
      </c>
      <c r="N1130" t="s">
        <v>37</v>
      </c>
      <c r="O1130">
        <v>78</v>
      </c>
      <c r="P1130" t="s">
        <v>2265</v>
      </c>
      <c r="Q1130">
        <v>0</v>
      </c>
      <c r="R1130">
        <v>1000</v>
      </c>
      <c r="S1130" t="s">
        <v>2265</v>
      </c>
      <c r="T1130" t="s">
        <v>51</v>
      </c>
      <c r="U1130" t="s">
        <v>39</v>
      </c>
      <c r="V1130" t="s">
        <v>52</v>
      </c>
      <c r="W1130" t="s">
        <v>52</v>
      </c>
      <c r="X1130">
        <v>2022</v>
      </c>
      <c r="Y1130" t="s">
        <v>82</v>
      </c>
      <c r="Z1130" t="s">
        <v>83</v>
      </c>
    </row>
    <row r="1131" spans="1:26">
      <c r="A1131" t="s">
        <v>2177</v>
      </c>
      <c r="B1131" t="s">
        <v>93</v>
      </c>
      <c r="C1131" t="s">
        <v>102</v>
      </c>
      <c r="D1131" t="s">
        <v>85</v>
      </c>
      <c r="E1131" t="s">
        <v>138</v>
      </c>
      <c r="F1131" t="s">
        <v>238</v>
      </c>
      <c r="G1131" t="s">
        <v>32</v>
      </c>
      <c r="H1131">
        <v>10.7</v>
      </c>
      <c r="I1131">
        <v>2.7</v>
      </c>
      <c r="J1131" t="s">
        <v>33</v>
      </c>
      <c r="K1131" t="s">
        <v>2178</v>
      </c>
      <c r="L1131" t="s">
        <v>60</v>
      </c>
      <c r="M1131" t="s">
        <v>1560</v>
      </c>
      <c r="N1131" t="s">
        <v>71</v>
      </c>
      <c r="O1131">
        <v>40</v>
      </c>
      <c r="P1131" t="s">
        <v>230</v>
      </c>
      <c r="Q1131">
        <v>2495</v>
      </c>
      <c r="R1131">
        <v>500</v>
      </c>
      <c r="S1131" t="s">
        <v>113</v>
      </c>
      <c r="T1131" t="s">
        <v>81</v>
      </c>
      <c r="U1131" t="s">
        <v>39</v>
      </c>
      <c r="V1131" t="s">
        <v>39</v>
      </c>
      <c r="W1131" t="s">
        <v>52</v>
      </c>
      <c r="X1131">
        <v>2022</v>
      </c>
      <c r="Y1131" t="s">
        <v>74</v>
      </c>
      <c r="Z1131" t="s">
        <v>54</v>
      </c>
    </row>
    <row r="1132" spans="1:26">
      <c r="A1132" t="s">
        <v>2179</v>
      </c>
      <c r="B1132" t="s">
        <v>66</v>
      </c>
      <c r="C1132" t="s">
        <v>164</v>
      </c>
      <c r="D1132" t="s">
        <v>77</v>
      </c>
      <c r="E1132" t="s">
        <v>168</v>
      </c>
      <c r="F1132" t="s">
        <v>124</v>
      </c>
      <c r="G1132" t="s">
        <v>58</v>
      </c>
      <c r="H1132">
        <v>2.2999999999999998</v>
      </c>
      <c r="I1132">
        <v>26.4</v>
      </c>
      <c r="J1132" t="s">
        <v>33</v>
      </c>
      <c r="K1132" t="s">
        <v>1597</v>
      </c>
      <c r="L1132" t="s">
        <v>140</v>
      </c>
      <c r="M1132" t="s">
        <v>439</v>
      </c>
      <c r="N1132" t="s">
        <v>171</v>
      </c>
      <c r="O1132">
        <v>101</v>
      </c>
      <c r="P1132" t="s">
        <v>2265</v>
      </c>
      <c r="Q1132">
        <v>0</v>
      </c>
      <c r="R1132">
        <v>0</v>
      </c>
      <c r="S1132" t="s">
        <v>2265</v>
      </c>
      <c r="T1132" t="s">
        <v>81</v>
      </c>
      <c r="U1132" t="s">
        <v>39</v>
      </c>
      <c r="V1132" t="s">
        <v>39</v>
      </c>
      <c r="W1132" t="s">
        <v>52</v>
      </c>
      <c r="X1132">
        <v>2024</v>
      </c>
      <c r="Y1132" t="s">
        <v>53</v>
      </c>
      <c r="Z1132" t="s">
        <v>54</v>
      </c>
    </row>
    <row r="1133" spans="1:26">
      <c r="A1133" t="s">
        <v>2180</v>
      </c>
      <c r="B1133" t="s">
        <v>43</v>
      </c>
      <c r="C1133" t="s">
        <v>102</v>
      </c>
      <c r="D1133" t="s">
        <v>77</v>
      </c>
      <c r="E1133" t="s">
        <v>216</v>
      </c>
      <c r="F1133" t="s">
        <v>160</v>
      </c>
      <c r="G1133" t="s">
        <v>32</v>
      </c>
      <c r="H1133">
        <v>10.5</v>
      </c>
      <c r="I1133">
        <v>8.4</v>
      </c>
      <c r="J1133" t="s">
        <v>144</v>
      </c>
      <c r="K1133" t="s">
        <v>510</v>
      </c>
      <c r="L1133" t="s">
        <v>126</v>
      </c>
      <c r="M1133" t="s">
        <v>1231</v>
      </c>
      <c r="N1133" t="s">
        <v>71</v>
      </c>
      <c r="O1133">
        <v>103</v>
      </c>
      <c r="P1133" t="s">
        <v>230</v>
      </c>
      <c r="Q1133">
        <v>4765</v>
      </c>
      <c r="R1133">
        <v>0</v>
      </c>
      <c r="S1133" t="s">
        <v>73</v>
      </c>
      <c r="T1133" t="s">
        <v>136</v>
      </c>
      <c r="U1133" t="s">
        <v>52</v>
      </c>
      <c r="V1133" t="s">
        <v>52</v>
      </c>
      <c r="W1133" t="s">
        <v>39</v>
      </c>
      <c r="X1133">
        <v>2023</v>
      </c>
      <c r="Y1133" t="s">
        <v>128</v>
      </c>
      <c r="Z1133" t="s">
        <v>64</v>
      </c>
    </row>
    <row r="1134" spans="1:26">
      <c r="A1134" t="s">
        <v>2181</v>
      </c>
      <c r="B1134" t="s">
        <v>66</v>
      </c>
      <c r="C1134" t="s">
        <v>76</v>
      </c>
      <c r="D1134" t="s">
        <v>77</v>
      </c>
      <c r="E1134" t="s">
        <v>94</v>
      </c>
      <c r="F1134" t="s">
        <v>68</v>
      </c>
      <c r="G1134" t="s">
        <v>32</v>
      </c>
      <c r="H1134">
        <v>9</v>
      </c>
      <c r="I1134">
        <v>11.4</v>
      </c>
      <c r="J1134" t="s">
        <v>156</v>
      </c>
      <c r="K1134" t="s">
        <v>798</v>
      </c>
      <c r="L1134" t="s">
        <v>60</v>
      </c>
      <c r="M1134" t="s">
        <v>784</v>
      </c>
      <c r="N1134" t="s">
        <v>171</v>
      </c>
      <c r="O1134">
        <v>123</v>
      </c>
      <c r="P1134" t="s">
        <v>2265</v>
      </c>
      <c r="Q1134">
        <v>0</v>
      </c>
      <c r="R1134">
        <v>0</v>
      </c>
      <c r="S1134" t="s">
        <v>2265</v>
      </c>
      <c r="T1134" t="s">
        <v>81</v>
      </c>
      <c r="U1134" t="s">
        <v>39</v>
      </c>
      <c r="V1134" t="s">
        <v>39</v>
      </c>
      <c r="W1134" t="s">
        <v>52</v>
      </c>
      <c r="X1134">
        <v>2022</v>
      </c>
      <c r="Y1134" t="s">
        <v>91</v>
      </c>
      <c r="Z1134" t="s">
        <v>64</v>
      </c>
    </row>
    <row r="1135" spans="1:26">
      <c r="A1135" t="s">
        <v>2182</v>
      </c>
      <c r="B1135" t="s">
        <v>43</v>
      </c>
      <c r="C1135" t="s">
        <v>76</v>
      </c>
      <c r="D1135" t="s">
        <v>77</v>
      </c>
      <c r="E1135" t="s">
        <v>168</v>
      </c>
      <c r="F1135" t="s">
        <v>68</v>
      </c>
      <c r="G1135" t="s">
        <v>32</v>
      </c>
      <c r="H1135">
        <v>2.7</v>
      </c>
      <c r="I1135">
        <v>25.2</v>
      </c>
      <c r="J1135" t="s">
        <v>144</v>
      </c>
      <c r="K1135" t="s">
        <v>849</v>
      </c>
      <c r="L1135" t="s">
        <v>35</v>
      </c>
      <c r="M1135" t="s">
        <v>1204</v>
      </c>
      <c r="N1135" t="s">
        <v>37</v>
      </c>
      <c r="O1135">
        <v>44</v>
      </c>
      <c r="P1135" t="s">
        <v>2265</v>
      </c>
      <c r="Q1135">
        <v>0</v>
      </c>
      <c r="R1135">
        <v>0</v>
      </c>
      <c r="S1135" t="s">
        <v>2265</v>
      </c>
      <c r="T1135" t="s">
        <v>62</v>
      </c>
      <c r="U1135" t="s">
        <v>39</v>
      </c>
      <c r="V1135" t="s">
        <v>39</v>
      </c>
      <c r="W1135" t="s">
        <v>52</v>
      </c>
      <c r="X1135">
        <v>2024</v>
      </c>
      <c r="Y1135" t="s">
        <v>114</v>
      </c>
      <c r="Z1135" t="s">
        <v>41</v>
      </c>
    </row>
    <row r="1136" spans="1:26">
      <c r="A1136" t="s">
        <v>2183</v>
      </c>
      <c r="B1136" t="s">
        <v>108</v>
      </c>
      <c r="C1136" t="s">
        <v>173</v>
      </c>
      <c r="D1136" t="s">
        <v>77</v>
      </c>
      <c r="E1136" t="s">
        <v>216</v>
      </c>
      <c r="F1136" t="s">
        <v>109</v>
      </c>
      <c r="G1136" t="s">
        <v>32</v>
      </c>
      <c r="H1136">
        <v>5.3</v>
      </c>
      <c r="I1136">
        <v>30.8</v>
      </c>
      <c r="J1136" t="s">
        <v>156</v>
      </c>
      <c r="K1136" t="s">
        <v>2184</v>
      </c>
      <c r="L1136" t="s">
        <v>35</v>
      </c>
      <c r="M1136" t="s">
        <v>2185</v>
      </c>
      <c r="N1136" t="s">
        <v>71</v>
      </c>
      <c r="O1136">
        <v>75</v>
      </c>
      <c r="P1136" t="s">
        <v>112</v>
      </c>
      <c r="Q1136">
        <v>6058</v>
      </c>
      <c r="R1136">
        <v>0</v>
      </c>
      <c r="S1136" t="s">
        <v>90</v>
      </c>
      <c r="T1136" t="s">
        <v>51</v>
      </c>
      <c r="U1136" t="s">
        <v>39</v>
      </c>
      <c r="V1136" t="s">
        <v>52</v>
      </c>
      <c r="W1136" t="s">
        <v>39</v>
      </c>
      <c r="X1136">
        <v>2022</v>
      </c>
      <c r="Y1136" t="s">
        <v>114</v>
      </c>
      <c r="Z1136" t="s">
        <v>41</v>
      </c>
    </row>
    <row r="1137" spans="1:26">
      <c r="A1137" t="s">
        <v>2186</v>
      </c>
      <c r="B1137" t="s">
        <v>27</v>
      </c>
      <c r="C1137" t="s">
        <v>121</v>
      </c>
      <c r="D1137" t="s">
        <v>77</v>
      </c>
      <c r="E1137" t="s">
        <v>216</v>
      </c>
      <c r="F1137" t="s">
        <v>68</v>
      </c>
      <c r="G1137" t="s">
        <v>32</v>
      </c>
      <c r="H1137">
        <v>4.4000000000000004</v>
      </c>
      <c r="I1137">
        <v>19.2</v>
      </c>
      <c r="J1137" t="s">
        <v>156</v>
      </c>
      <c r="K1137" t="s">
        <v>2187</v>
      </c>
      <c r="L1137" t="s">
        <v>48</v>
      </c>
      <c r="M1137" t="s">
        <v>226</v>
      </c>
      <c r="N1137" t="s">
        <v>100</v>
      </c>
      <c r="O1137">
        <v>13</v>
      </c>
      <c r="P1137" t="s">
        <v>2265</v>
      </c>
      <c r="Q1137">
        <v>0</v>
      </c>
      <c r="R1137">
        <v>0</v>
      </c>
      <c r="S1137" t="s">
        <v>2265</v>
      </c>
      <c r="T1137" t="s">
        <v>51</v>
      </c>
      <c r="U1137" t="s">
        <v>39</v>
      </c>
      <c r="V1137" t="s">
        <v>39</v>
      </c>
      <c r="W1137" t="s">
        <v>52</v>
      </c>
      <c r="X1137">
        <v>2023</v>
      </c>
      <c r="Y1137" t="s">
        <v>153</v>
      </c>
      <c r="Z1137" t="s">
        <v>54</v>
      </c>
    </row>
    <row r="1138" spans="1:26">
      <c r="A1138" t="s">
        <v>2188</v>
      </c>
      <c r="B1138" t="s">
        <v>93</v>
      </c>
      <c r="C1138" t="s">
        <v>173</v>
      </c>
      <c r="D1138" t="s">
        <v>122</v>
      </c>
      <c r="E1138" t="s">
        <v>202</v>
      </c>
      <c r="F1138" t="s">
        <v>109</v>
      </c>
      <c r="G1138" t="s">
        <v>58</v>
      </c>
      <c r="H1138">
        <v>4.7</v>
      </c>
      <c r="I1138">
        <v>26.7</v>
      </c>
      <c r="J1138" t="s">
        <v>33</v>
      </c>
      <c r="K1138" t="s">
        <v>1735</v>
      </c>
      <c r="L1138" t="s">
        <v>126</v>
      </c>
      <c r="M1138" t="s">
        <v>1859</v>
      </c>
      <c r="N1138" t="s">
        <v>171</v>
      </c>
      <c r="O1138">
        <v>150</v>
      </c>
      <c r="P1138" t="s">
        <v>2265</v>
      </c>
      <c r="Q1138">
        <v>0</v>
      </c>
      <c r="R1138">
        <v>0</v>
      </c>
      <c r="S1138" t="s">
        <v>2265</v>
      </c>
      <c r="T1138" t="s">
        <v>81</v>
      </c>
      <c r="U1138" t="s">
        <v>39</v>
      </c>
      <c r="V1138" t="s">
        <v>52</v>
      </c>
      <c r="W1138" t="s">
        <v>39</v>
      </c>
      <c r="X1138">
        <v>2022</v>
      </c>
      <c r="Y1138" t="s">
        <v>312</v>
      </c>
      <c r="Z1138" t="s">
        <v>83</v>
      </c>
    </row>
    <row r="1139" spans="1:26">
      <c r="A1139" t="s">
        <v>2189</v>
      </c>
      <c r="B1139" t="s">
        <v>116</v>
      </c>
      <c r="C1139" t="s">
        <v>102</v>
      </c>
      <c r="D1139" t="s">
        <v>77</v>
      </c>
      <c r="E1139" t="s">
        <v>143</v>
      </c>
      <c r="F1139" t="s">
        <v>46</v>
      </c>
      <c r="G1139" t="s">
        <v>32</v>
      </c>
      <c r="H1139">
        <v>6.4</v>
      </c>
      <c r="I1139">
        <v>33.799999999999997</v>
      </c>
      <c r="J1139" t="s">
        <v>96</v>
      </c>
      <c r="K1139" t="s">
        <v>1421</v>
      </c>
      <c r="L1139" t="s">
        <v>98</v>
      </c>
      <c r="M1139" t="s">
        <v>423</v>
      </c>
      <c r="N1139" t="s">
        <v>71</v>
      </c>
      <c r="O1139">
        <v>22</v>
      </c>
      <c r="P1139" t="s">
        <v>105</v>
      </c>
      <c r="Q1139">
        <v>3386</v>
      </c>
      <c r="R1139">
        <v>0</v>
      </c>
      <c r="S1139" t="s">
        <v>73</v>
      </c>
      <c r="T1139" t="s">
        <v>38</v>
      </c>
      <c r="U1139" t="s">
        <v>52</v>
      </c>
      <c r="V1139" t="s">
        <v>39</v>
      </c>
      <c r="W1139" t="s">
        <v>52</v>
      </c>
      <c r="X1139">
        <v>2022</v>
      </c>
      <c r="Y1139" t="s">
        <v>114</v>
      </c>
      <c r="Z1139" t="s">
        <v>41</v>
      </c>
    </row>
    <row r="1140" spans="1:26">
      <c r="A1140" t="s">
        <v>2190</v>
      </c>
      <c r="B1140" t="s">
        <v>27</v>
      </c>
      <c r="C1140" t="s">
        <v>173</v>
      </c>
      <c r="D1140" t="s">
        <v>29</v>
      </c>
      <c r="E1140" t="s">
        <v>94</v>
      </c>
      <c r="F1140" t="s">
        <v>46</v>
      </c>
      <c r="G1140" t="s">
        <v>58</v>
      </c>
      <c r="H1140">
        <v>4.3</v>
      </c>
      <c r="I1140">
        <v>20.8</v>
      </c>
      <c r="J1140" t="s">
        <v>20</v>
      </c>
      <c r="K1140" t="s">
        <v>900</v>
      </c>
      <c r="L1140" t="s">
        <v>60</v>
      </c>
      <c r="M1140" t="s">
        <v>532</v>
      </c>
      <c r="N1140" t="s">
        <v>37</v>
      </c>
      <c r="O1140">
        <v>162</v>
      </c>
      <c r="P1140" t="s">
        <v>2265</v>
      </c>
      <c r="Q1140">
        <v>0</v>
      </c>
      <c r="R1140">
        <v>0</v>
      </c>
      <c r="S1140" t="s">
        <v>2265</v>
      </c>
      <c r="T1140" t="s">
        <v>38</v>
      </c>
      <c r="U1140" t="s">
        <v>52</v>
      </c>
      <c r="V1140" t="s">
        <v>39</v>
      </c>
      <c r="W1140" t="s">
        <v>52</v>
      </c>
      <c r="X1140">
        <v>2022</v>
      </c>
      <c r="Y1140" t="s">
        <v>312</v>
      </c>
      <c r="Z1140" t="s">
        <v>83</v>
      </c>
    </row>
    <row r="1141" spans="1:26">
      <c r="A1141" t="s">
        <v>2191</v>
      </c>
      <c r="B1141" t="s">
        <v>43</v>
      </c>
      <c r="C1141" t="s">
        <v>164</v>
      </c>
      <c r="D1141" t="s">
        <v>77</v>
      </c>
      <c r="E1141" t="s">
        <v>216</v>
      </c>
      <c r="F1141" t="s">
        <v>238</v>
      </c>
      <c r="G1141" t="s">
        <v>32</v>
      </c>
      <c r="H1141">
        <v>3.1</v>
      </c>
      <c r="I1141">
        <v>19.7</v>
      </c>
      <c r="J1141" t="s">
        <v>96</v>
      </c>
      <c r="K1141" t="s">
        <v>246</v>
      </c>
      <c r="L1141" t="s">
        <v>60</v>
      </c>
      <c r="M1141" t="s">
        <v>127</v>
      </c>
      <c r="N1141" t="s">
        <v>61</v>
      </c>
      <c r="O1141">
        <v>100</v>
      </c>
      <c r="P1141" t="s">
        <v>2265</v>
      </c>
      <c r="Q1141">
        <v>0</v>
      </c>
      <c r="R1141">
        <v>0</v>
      </c>
      <c r="S1141" t="s">
        <v>2265</v>
      </c>
      <c r="T1141" t="s">
        <v>81</v>
      </c>
      <c r="U1141" t="s">
        <v>39</v>
      </c>
      <c r="V1141" t="s">
        <v>39</v>
      </c>
      <c r="W1141" t="s">
        <v>52</v>
      </c>
      <c r="X1141">
        <v>2024</v>
      </c>
      <c r="Y1141" t="s">
        <v>91</v>
      </c>
      <c r="Z1141" t="s">
        <v>64</v>
      </c>
    </row>
    <row r="1142" spans="1:26">
      <c r="A1142" t="s">
        <v>2192</v>
      </c>
      <c r="B1142" t="s">
        <v>43</v>
      </c>
      <c r="C1142" t="s">
        <v>102</v>
      </c>
      <c r="D1142" t="s">
        <v>77</v>
      </c>
      <c r="E1142" t="s">
        <v>94</v>
      </c>
      <c r="F1142" t="s">
        <v>238</v>
      </c>
      <c r="G1142" t="s">
        <v>58</v>
      </c>
      <c r="H1142">
        <v>7.1</v>
      </c>
      <c r="I1142">
        <v>22.8</v>
      </c>
      <c r="J1142" t="s">
        <v>33</v>
      </c>
      <c r="K1142" t="s">
        <v>2168</v>
      </c>
      <c r="L1142" t="s">
        <v>60</v>
      </c>
      <c r="M1142" t="s">
        <v>1075</v>
      </c>
      <c r="N1142" t="s">
        <v>61</v>
      </c>
      <c r="O1142">
        <v>176</v>
      </c>
      <c r="P1142" t="s">
        <v>2265</v>
      </c>
      <c r="Q1142">
        <v>0</v>
      </c>
      <c r="R1142">
        <v>0</v>
      </c>
      <c r="S1142" t="s">
        <v>2265</v>
      </c>
      <c r="T1142" t="s">
        <v>51</v>
      </c>
      <c r="U1142" t="s">
        <v>39</v>
      </c>
      <c r="V1142" t="s">
        <v>52</v>
      </c>
      <c r="W1142" t="s">
        <v>39</v>
      </c>
      <c r="X1142">
        <v>2023</v>
      </c>
      <c r="Y1142" t="s">
        <v>91</v>
      </c>
      <c r="Z1142" t="s">
        <v>64</v>
      </c>
    </row>
    <row r="1143" spans="1:26">
      <c r="A1143" t="s">
        <v>2193</v>
      </c>
      <c r="B1143" t="s">
        <v>43</v>
      </c>
      <c r="C1143" t="s">
        <v>76</v>
      </c>
      <c r="D1143" t="s">
        <v>29</v>
      </c>
      <c r="E1143" t="s">
        <v>244</v>
      </c>
      <c r="F1143" t="s">
        <v>46</v>
      </c>
      <c r="G1143" t="s">
        <v>32</v>
      </c>
      <c r="H1143">
        <v>0.2</v>
      </c>
      <c r="I1143">
        <v>16.5</v>
      </c>
      <c r="J1143" t="s">
        <v>96</v>
      </c>
      <c r="K1143" t="s">
        <v>1551</v>
      </c>
      <c r="L1143" t="s">
        <v>140</v>
      </c>
      <c r="M1143" t="s">
        <v>127</v>
      </c>
      <c r="N1143" t="s">
        <v>171</v>
      </c>
      <c r="O1143">
        <v>128</v>
      </c>
      <c r="P1143" t="s">
        <v>2265</v>
      </c>
      <c r="Q1143">
        <v>0</v>
      </c>
      <c r="R1143">
        <v>0</v>
      </c>
      <c r="S1143" t="s">
        <v>2265</v>
      </c>
      <c r="T1143" t="s">
        <v>51</v>
      </c>
      <c r="U1143" t="s">
        <v>39</v>
      </c>
      <c r="V1143" t="s">
        <v>52</v>
      </c>
      <c r="W1143" t="s">
        <v>52</v>
      </c>
      <c r="X1143">
        <v>2024</v>
      </c>
      <c r="Y1143" t="s">
        <v>128</v>
      </c>
      <c r="Z1143" t="s">
        <v>64</v>
      </c>
    </row>
    <row r="1144" spans="1:26">
      <c r="A1144" t="s">
        <v>2194</v>
      </c>
      <c r="B1144" t="s">
        <v>27</v>
      </c>
      <c r="C1144" t="s">
        <v>67</v>
      </c>
      <c r="D1144" t="s">
        <v>77</v>
      </c>
      <c r="E1144" t="s">
        <v>78</v>
      </c>
      <c r="F1144" t="s">
        <v>57</v>
      </c>
      <c r="G1144" t="s">
        <v>58</v>
      </c>
      <c r="H1144">
        <v>7.7</v>
      </c>
      <c r="I1144">
        <v>7.7</v>
      </c>
      <c r="J1144" t="s">
        <v>33</v>
      </c>
      <c r="K1144" t="s">
        <v>293</v>
      </c>
      <c r="L1144" t="s">
        <v>48</v>
      </c>
      <c r="M1144" t="s">
        <v>2195</v>
      </c>
      <c r="N1144" t="s">
        <v>71</v>
      </c>
      <c r="O1144">
        <v>66</v>
      </c>
      <c r="P1144" t="s">
        <v>112</v>
      </c>
      <c r="Q1144">
        <v>6254</v>
      </c>
      <c r="R1144">
        <v>500</v>
      </c>
      <c r="S1144" t="s">
        <v>90</v>
      </c>
      <c r="T1144" t="s">
        <v>136</v>
      </c>
      <c r="U1144" t="s">
        <v>39</v>
      </c>
      <c r="V1144" t="s">
        <v>39</v>
      </c>
      <c r="W1144" t="s">
        <v>52</v>
      </c>
      <c r="X1144">
        <v>2024</v>
      </c>
      <c r="Y1144" t="s">
        <v>91</v>
      </c>
      <c r="Z1144" t="s">
        <v>64</v>
      </c>
    </row>
    <row r="1145" spans="1:26">
      <c r="A1145" t="s">
        <v>2196</v>
      </c>
      <c r="B1145" t="s">
        <v>27</v>
      </c>
      <c r="C1145" t="s">
        <v>28</v>
      </c>
      <c r="D1145" t="s">
        <v>122</v>
      </c>
      <c r="E1145" t="s">
        <v>202</v>
      </c>
      <c r="F1145" t="s">
        <v>68</v>
      </c>
      <c r="G1145" t="s">
        <v>58</v>
      </c>
      <c r="H1145">
        <v>1.1000000000000001</v>
      </c>
      <c r="I1145">
        <v>14.3</v>
      </c>
      <c r="J1145" t="s">
        <v>33</v>
      </c>
      <c r="K1145" t="s">
        <v>184</v>
      </c>
      <c r="L1145" t="s">
        <v>98</v>
      </c>
      <c r="M1145" t="s">
        <v>852</v>
      </c>
      <c r="N1145" t="s">
        <v>100</v>
      </c>
      <c r="O1145">
        <v>5</v>
      </c>
      <c r="P1145" t="s">
        <v>2265</v>
      </c>
      <c r="Q1145">
        <v>0</v>
      </c>
      <c r="R1145">
        <v>0</v>
      </c>
      <c r="S1145" t="s">
        <v>2265</v>
      </c>
      <c r="T1145" t="s">
        <v>51</v>
      </c>
      <c r="U1145" t="s">
        <v>39</v>
      </c>
      <c r="V1145" t="s">
        <v>39</v>
      </c>
      <c r="W1145" t="s">
        <v>52</v>
      </c>
      <c r="X1145">
        <v>2022</v>
      </c>
      <c r="Y1145" t="s">
        <v>128</v>
      </c>
      <c r="Z1145" t="s">
        <v>64</v>
      </c>
    </row>
    <row r="1146" spans="1:26">
      <c r="A1146" t="s">
        <v>2197</v>
      </c>
      <c r="B1146" t="s">
        <v>66</v>
      </c>
      <c r="C1146" t="s">
        <v>44</v>
      </c>
      <c r="D1146" t="s">
        <v>29</v>
      </c>
      <c r="E1146" t="s">
        <v>30</v>
      </c>
      <c r="F1146" t="s">
        <v>124</v>
      </c>
      <c r="G1146" t="s">
        <v>32</v>
      </c>
      <c r="H1146">
        <v>1.9</v>
      </c>
      <c r="I1146">
        <v>11.5</v>
      </c>
      <c r="J1146" t="s">
        <v>33</v>
      </c>
      <c r="K1146" t="s">
        <v>1961</v>
      </c>
      <c r="L1146" t="s">
        <v>126</v>
      </c>
      <c r="M1146" t="s">
        <v>453</v>
      </c>
      <c r="N1146" t="s">
        <v>37</v>
      </c>
      <c r="O1146">
        <v>106</v>
      </c>
      <c r="P1146" t="s">
        <v>2265</v>
      </c>
      <c r="Q1146">
        <v>0</v>
      </c>
      <c r="R1146">
        <v>0</v>
      </c>
      <c r="S1146" t="s">
        <v>2265</v>
      </c>
      <c r="T1146" t="s">
        <v>81</v>
      </c>
      <c r="U1146" t="s">
        <v>52</v>
      </c>
      <c r="V1146" t="s">
        <v>39</v>
      </c>
      <c r="W1146" t="s">
        <v>52</v>
      </c>
      <c r="X1146">
        <v>2023</v>
      </c>
      <c r="Y1146" t="s">
        <v>91</v>
      </c>
      <c r="Z1146" t="s">
        <v>64</v>
      </c>
    </row>
    <row r="1147" spans="1:26">
      <c r="A1147" t="s">
        <v>2198</v>
      </c>
      <c r="B1147" t="s">
        <v>66</v>
      </c>
      <c r="C1147" t="s">
        <v>67</v>
      </c>
      <c r="D1147" t="s">
        <v>77</v>
      </c>
      <c r="E1147" t="s">
        <v>220</v>
      </c>
      <c r="F1147" t="s">
        <v>95</v>
      </c>
      <c r="G1147" t="s">
        <v>58</v>
      </c>
      <c r="H1147">
        <v>3.2</v>
      </c>
      <c r="I1147">
        <v>18.2</v>
      </c>
      <c r="J1147" t="s">
        <v>33</v>
      </c>
      <c r="K1147" t="s">
        <v>2199</v>
      </c>
      <c r="L1147" t="s">
        <v>98</v>
      </c>
      <c r="M1147" t="s">
        <v>676</v>
      </c>
      <c r="N1147" t="s">
        <v>71</v>
      </c>
      <c r="O1147">
        <v>97</v>
      </c>
      <c r="P1147" t="s">
        <v>230</v>
      </c>
      <c r="Q1147">
        <v>5746</v>
      </c>
      <c r="R1147">
        <v>2000</v>
      </c>
      <c r="S1147" t="s">
        <v>113</v>
      </c>
      <c r="T1147" t="s">
        <v>62</v>
      </c>
      <c r="U1147" t="s">
        <v>39</v>
      </c>
      <c r="V1147" t="s">
        <v>39</v>
      </c>
      <c r="W1147" t="s">
        <v>52</v>
      </c>
      <c r="X1147">
        <v>2024</v>
      </c>
      <c r="Y1147" t="s">
        <v>153</v>
      </c>
      <c r="Z1147" t="s">
        <v>54</v>
      </c>
    </row>
    <row r="1148" spans="1:26">
      <c r="A1148" t="s">
        <v>2200</v>
      </c>
      <c r="B1148" t="s">
        <v>43</v>
      </c>
      <c r="C1148" t="s">
        <v>28</v>
      </c>
      <c r="D1148" t="s">
        <v>77</v>
      </c>
      <c r="E1148" t="s">
        <v>363</v>
      </c>
      <c r="F1148" t="s">
        <v>46</v>
      </c>
      <c r="G1148" t="s">
        <v>32</v>
      </c>
      <c r="H1148">
        <v>1.9</v>
      </c>
      <c r="I1148">
        <v>33.299999999999997</v>
      </c>
      <c r="J1148" t="s">
        <v>20</v>
      </c>
      <c r="K1148" t="s">
        <v>1892</v>
      </c>
      <c r="L1148" t="s">
        <v>98</v>
      </c>
      <c r="M1148" t="s">
        <v>1453</v>
      </c>
      <c r="N1148" t="s">
        <v>71</v>
      </c>
      <c r="O1148">
        <v>17</v>
      </c>
      <c r="P1148" t="s">
        <v>230</v>
      </c>
      <c r="Q1148">
        <v>4448</v>
      </c>
      <c r="R1148">
        <v>5000</v>
      </c>
      <c r="S1148" t="s">
        <v>152</v>
      </c>
      <c r="T1148" t="s">
        <v>62</v>
      </c>
      <c r="U1148" t="s">
        <v>39</v>
      </c>
      <c r="V1148" t="s">
        <v>52</v>
      </c>
      <c r="W1148" t="s">
        <v>52</v>
      </c>
      <c r="X1148">
        <v>2022</v>
      </c>
      <c r="Y1148" t="s">
        <v>128</v>
      </c>
      <c r="Z1148" t="s">
        <v>64</v>
      </c>
    </row>
    <row r="1149" spans="1:26">
      <c r="A1149" t="s">
        <v>2201</v>
      </c>
      <c r="B1149" t="s">
        <v>93</v>
      </c>
      <c r="C1149" t="s">
        <v>76</v>
      </c>
      <c r="D1149" t="s">
        <v>29</v>
      </c>
      <c r="E1149" t="s">
        <v>117</v>
      </c>
      <c r="F1149" t="s">
        <v>57</v>
      </c>
      <c r="G1149" t="s">
        <v>32</v>
      </c>
      <c r="H1149">
        <v>7</v>
      </c>
      <c r="I1149">
        <v>18.8</v>
      </c>
      <c r="J1149" t="s">
        <v>33</v>
      </c>
      <c r="K1149" t="s">
        <v>1695</v>
      </c>
      <c r="L1149" t="s">
        <v>48</v>
      </c>
      <c r="M1149" t="s">
        <v>763</v>
      </c>
      <c r="N1149" t="s">
        <v>71</v>
      </c>
      <c r="O1149">
        <v>77</v>
      </c>
      <c r="P1149" t="s">
        <v>230</v>
      </c>
      <c r="Q1149">
        <v>1925</v>
      </c>
      <c r="R1149">
        <v>5000</v>
      </c>
      <c r="S1149" t="s">
        <v>73</v>
      </c>
      <c r="T1149" t="s">
        <v>136</v>
      </c>
      <c r="U1149" t="s">
        <v>39</v>
      </c>
      <c r="V1149" t="s">
        <v>52</v>
      </c>
      <c r="W1149" t="s">
        <v>52</v>
      </c>
      <c r="X1149">
        <v>2024</v>
      </c>
      <c r="Y1149" t="s">
        <v>74</v>
      </c>
      <c r="Z1149" t="s">
        <v>54</v>
      </c>
    </row>
    <row r="1150" spans="1:26">
      <c r="A1150" t="s">
        <v>2202</v>
      </c>
      <c r="B1150" t="s">
        <v>66</v>
      </c>
      <c r="C1150" t="s">
        <v>44</v>
      </c>
      <c r="D1150" t="s">
        <v>77</v>
      </c>
      <c r="E1150" t="s">
        <v>78</v>
      </c>
      <c r="F1150" t="s">
        <v>160</v>
      </c>
      <c r="G1150" t="s">
        <v>32</v>
      </c>
      <c r="H1150">
        <v>9.3000000000000007</v>
      </c>
      <c r="I1150">
        <v>33.6</v>
      </c>
      <c r="J1150" t="s">
        <v>156</v>
      </c>
      <c r="K1150" t="s">
        <v>187</v>
      </c>
      <c r="L1150" t="s">
        <v>60</v>
      </c>
      <c r="M1150" t="s">
        <v>2119</v>
      </c>
      <c r="N1150" t="s">
        <v>171</v>
      </c>
      <c r="O1150">
        <v>81</v>
      </c>
      <c r="P1150" t="s">
        <v>2265</v>
      </c>
      <c r="Q1150">
        <v>0</v>
      </c>
      <c r="R1150">
        <v>0</v>
      </c>
      <c r="S1150" t="s">
        <v>2265</v>
      </c>
      <c r="T1150" t="s">
        <v>38</v>
      </c>
      <c r="U1150" t="s">
        <v>52</v>
      </c>
      <c r="V1150" t="s">
        <v>52</v>
      </c>
      <c r="W1150" t="s">
        <v>52</v>
      </c>
      <c r="X1150">
        <v>2023</v>
      </c>
      <c r="Y1150" t="s">
        <v>53</v>
      </c>
      <c r="Z1150" t="s">
        <v>54</v>
      </c>
    </row>
    <row r="1151" spans="1:26">
      <c r="A1151" t="s">
        <v>2203</v>
      </c>
      <c r="B1151" t="s">
        <v>43</v>
      </c>
      <c r="C1151" t="s">
        <v>76</v>
      </c>
      <c r="D1151" t="s">
        <v>77</v>
      </c>
      <c r="E1151" t="s">
        <v>168</v>
      </c>
      <c r="F1151" t="s">
        <v>160</v>
      </c>
      <c r="G1151" t="s">
        <v>58</v>
      </c>
      <c r="H1151">
        <v>1.8</v>
      </c>
      <c r="I1151">
        <v>3.1</v>
      </c>
      <c r="J1151" t="s">
        <v>33</v>
      </c>
      <c r="K1151" t="s">
        <v>394</v>
      </c>
      <c r="L1151" t="s">
        <v>60</v>
      </c>
      <c r="M1151" t="s">
        <v>373</v>
      </c>
      <c r="N1151" t="s">
        <v>71</v>
      </c>
      <c r="O1151">
        <v>29</v>
      </c>
      <c r="P1151" t="s">
        <v>89</v>
      </c>
      <c r="Q1151">
        <v>6572</v>
      </c>
      <c r="R1151">
        <v>5000</v>
      </c>
      <c r="S1151" t="s">
        <v>152</v>
      </c>
      <c r="T1151" t="s">
        <v>62</v>
      </c>
      <c r="U1151" t="s">
        <v>39</v>
      </c>
      <c r="V1151" t="s">
        <v>39</v>
      </c>
      <c r="W1151" t="s">
        <v>52</v>
      </c>
      <c r="X1151">
        <v>2023</v>
      </c>
      <c r="Y1151" t="s">
        <v>106</v>
      </c>
      <c r="Z1151" t="s">
        <v>83</v>
      </c>
    </row>
    <row r="1152" spans="1:26">
      <c r="A1152" t="s">
        <v>2204</v>
      </c>
      <c r="B1152" t="s">
        <v>27</v>
      </c>
      <c r="C1152" t="s">
        <v>173</v>
      </c>
      <c r="D1152" t="s">
        <v>77</v>
      </c>
      <c r="E1152" t="s">
        <v>143</v>
      </c>
      <c r="F1152" t="s">
        <v>31</v>
      </c>
      <c r="G1152" t="s">
        <v>58</v>
      </c>
      <c r="H1152">
        <v>9.9</v>
      </c>
      <c r="I1152">
        <v>14.5</v>
      </c>
      <c r="J1152" t="s">
        <v>156</v>
      </c>
      <c r="K1152" t="s">
        <v>410</v>
      </c>
      <c r="L1152" t="s">
        <v>48</v>
      </c>
      <c r="M1152" t="s">
        <v>912</v>
      </c>
      <c r="N1152" t="s">
        <v>50</v>
      </c>
      <c r="O1152">
        <v>121</v>
      </c>
      <c r="P1152" t="s">
        <v>2265</v>
      </c>
      <c r="Q1152">
        <v>0</v>
      </c>
      <c r="R1152">
        <v>0</v>
      </c>
      <c r="S1152" t="s">
        <v>2265</v>
      </c>
      <c r="T1152" t="s">
        <v>62</v>
      </c>
      <c r="U1152" t="s">
        <v>39</v>
      </c>
      <c r="V1152" t="s">
        <v>39</v>
      </c>
      <c r="W1152" t="s">
        <v>39</v>
      </c>
      <c r="X1152">
        <v>2022</v>
      </c>
      <c r="Y1152" t="s">
        <v>40</v>
      </c>
      <c r="Z1152" t="s">
        <v>41</v>
      </c>
    </row>
    <row r="1153" spans="1:26">
      <c r="A1153" t="s">
        <v>2205</v>
      </c>
      <c r="B1153" t="s">
        <v>43</v>
      </c>
      <c r="C1153" t="s">
        <v>76</v>
      </c>
      <c r="D1153" t="s">
        <v>77</v>
      </c>
      <c r="E1153" t="s">
        <v>363</v>
      </c>
      <c r="F1153" t="s">
        <v>238</v>
      </c>
      <c r="G1153" t="s">
        <v>58</v>
      </c>
      <c r="H1153">
        <v>0.3</v>
      </c>
      <c r="I1153">
        <v>24.2</v>
      </c>
      <c r="J1153" t="s">
        <v>33</v>
      </c>
      <c r="K1153" t="s">
        <v>1691</v>
      </c>
      <c r="L1153" t="s">
        <v>48</v>
      </c>
      <c r="M1153" t="s">
        <v>1118</v>
      </c>
      <c r="N1153" t="s">
        <v>100</v>
      </c>
      <c r="O1153">
        <v>109</v>
      </c>
      <c r="P1153" t="s">
        <v>2265</v>
      </c>
      <c r="Q1153">
        <v>0</v>
      </c>
      <c r="R1153">
        <v>0</v>
      </c>
      <c r="S1153" t="s">
        <v>2265</v>
      </c>
      <c r="T1153" t="s">
        <v>81</v>
      </c>
      <c r="U1153" t="s">
        <v>39</v>
      </c>
      <c r="V1153" t="s">
        <v>39</v>
      </c>
      <c r="W1153" t="s">
        <v>52</v>
      </c>
      <c r="X1153">
        <v>2024</v>
      </c>
      <c r="Y1153" t="s">
        <v>153</v>
      </c>
      <c r="Z1153" t="s">
        <v>54</v>
      </c>
    </row>
    <row r="1154" spans="1:26">
      <c r="A1154" t="s">
        <v>2206</v>
      </c>
      <c r="B1154" t="s">
        <v>27</v>
      </c>
      <c r="C1154" t="s">
        <v>102</v>
      </c>
      <c r="D1154" t="s">
        <v>77</v>
      </c>
      <c r="E1154" t="s">
        <v>143</v>
      </c>
      <c r="F1154" t="s">
        <v>109</v>
      </c>
      <c r="G1154" t="s">
        <v>58</v>
      </c>
      <c r="H1154">
        <v>2.2000000000000002</v>
      </c>
      <c r="I1154">
        <v>8.9</v>
      </c>
      <c r="J1154" t="s">
        <v>33</v>
      </c>
      <c r="K1154" t="s">
        <v>1195</v>
      </c>
      <c r="L1154" t="s">
        <v>140</v>
      </c>
      <c r="M1154" t="s">
        <v>531</v>
      </c>
      <c r="N1154" t="s">
        <v>71</v>
      </c>
      <c r="O1154">
        <v>83</v>
      </c>
      <c r="P1154" t="s">
        <v>89</v>
      </c>
      <c r="Q1154">
        <v>5675</v>
      </c>
      <c r="R1154">
        <v>5000</v>
      </c>
      <c r="S1154" t="s">
        <v>90</v>
      </c>
      <c r="T1154" t="s">
        <v>62</v>
      </c>
      <c r="U1154" t="s">
        <v>39</v>
      </c>
      <c r="V1154" t="s">
        <v>52</v>
      </c>
      <c r="W1154" t="s">
        <v>39</v>
      </c>
      <c r="X1154">
        <v>2022</v>
      </c>
      <c r="Y1154" t="s">
        <v>106</v>
      </c>
      <c r="Z1154" t="s">
        <v>83</v>
      </c>
    </row>
    <row r="1155" spans="1:26">
      <c r="A1155" t="s">
        <v>2207</v>
      </c>
      <c r="B1155" t="s">
        <v>108</v>
      </c>
      <c r="C1155" t="s">
        <v>102</v>
      </c>
      <c r="D1155" t="s">
        <v>77</v>
      </c>
      <c r="E1155" t="s">
        <v>78</v>
      </c>
      <c r="F1155" t="s">
        <v>124</v>
      </c>
      <c r="G1155" t="s">
        <v>58</v>
      </c>
      <c r="H1155">
        <v>2.1</v>
      </c>
      <c r="I1155">
        <v>16.3</v>
      </c>
      <c r="J1155" t="s">
        <v>96</v>
      </c>
      <c r="K1155" t="s">
        <v>321</v>
      </c>
      <c r="L1155" t="s">
        <v>140</v>
      </c>
      <c r="M1155" t="s">
        <v>1207</v>
      </c>
      <c r="N1155" t="s">
        <v>100</v>
      </c>
      <c r="O1155">
        <v>137</v>
      </c>
      <c r="P1155" t="s">
        <v>2265</v>
      </c>
      <c r="Q1155">
        <v>0</v>
      </c>
      <c r="R1155">
        <v>0</v>
      </c>
      <c r="S1155" t="s">
        <v>2265</v>
      </c>
      <c r="T1155" t="s">
        <v>81</v>
      </c>
      <c r="U1155" t="s">
        <v>52</v>
      </c>
      <c r="V1155" t="s">
        <v>52</v>
      </c>
      <c r="W1155" t="s">
        <v>52</v>
      </c>
      <c r="X1155">
        <v>2024</v>
      </c>
      <c r="Y1155" t="s">
        <v>312</v>
      </c>
      <c r="Z1155" t="s">
        <v>83</v>
      </c>
    </row>
    <row r="1156" spans="1:26">
      <c r="A1156" t="s">
        <v>2208</v>
      </c>
      <c r="B1156" t="s">
        <v>27</v>
      </c>
      <c r="C1156" t="s">
        <v>44</v>
      </c>
      <c r="D1156" t="s">
        <v>77</v>
      </c>
      <c r="E1156" t="s">
        <v>78</v>
      </c>
      <c r="F1156" t="s">
        <v>68</v>
      </c>
      <c r="G1156" t="s">
        <v>32</v>
      </c>
      <c r="H1156">
        <v>7.7</v>
      </c>
      <c r="I1156">
        <v>31</v>
      </c>
      <c r="J1156" t="s">
        <v>144</v>
      </c>
      <c r="K1156" t="s">
        <v>2033</v>
      </c>
      <c r="L1156" t="s">
        <v>35</v>
      </c>
      <c r="M1156" t="s">
        <v>1413</v>
      </c>
      <c r="N1156" t="s">
        <v>171</v>
      </c>
      <c r="O1156">
        <v>22</v>
      </c>
      <c r="P1156" t="s">
        <v>2265</v>
      </c>
      <c r="Q1156">
        <v>0</v>
      </c>
      <c r="R1156">
        <v>0</v>
      </c>
      <c r="S1156" t="s">
        <v>2265</v>
      </c>
      <c r="T1156" t="s">
        <v>81</v>
      </c>
      <c r="U1156" t="s">
        <v>52</v>
      </c>
      <c r="V1156" t="s">
        <v>52</v>
      </c>
      <c r="W1156" t="s">
        <v>52</v>
      </c>
      <c r="X1156">
        <v>2024</v>
      </c>
      <c r="Y1156" t="s">
        <v>74</v>
      </c>
      <c r="Z1156" t="s">
        <v>54</v>
      </c>
    </row>
    <row r="1157" spans="1:26">
      <c r="A1157" t="s">
        <v>2209</v>
      </c>
      <c r="B1157" t="s">
        <v>43</v>
      </c>
      <c r="C1157" t="s">
        <v>164</v>
      </c>
      <c r="D1157" t="s">
        <v>29</v>
      </c>
      <c r="E1157" t="s">
        <v>30</v>
      </c>
      <c r="F1157" t="s">
        <v>95</v>
      </c>
      <c r="G1157" t="s">
        <v>58</v>
      </c>
      <c r="H1157">
        <v>9.5</v>
      </c>
      <c r="I1157">
        <v>7.4</v>
      </c>
      <c r="J1157" t="s">
        <v>33</v>
      </c>
      <c r="K1157" t="s">
        <v>602</v>
      </c>
      <c r="L1157" t="s">
        <v>48</v>
      </c>
      <c r="M1157" t="s">
        <v>204</v>
      </c>
      <c r="N1157" t="s">
        <v>71</v>
      </c>
      <c r="O1157">
        <v>49</v>
      </c>
      <c r="P1157" t="s">
        <v>112</v>
      </c>
      <c r="Q1157">
        <v>4219</v>
      </c>
      <c r="R1157">
        <v>1000</v>
      </c>
      <c r="S1157" t="s">
        <v>73</v>
      </c>
      <c r="T1157" t="s">
        <v>62</v>
      </c>
      <c r="U1157" t="s">
        <v>52</v>
      </c>
      <c r="V1157" t="s">
        <v>52</v>
      </c>
      <c r="W1157" t="s">
        <v>39</v>
      </c>
      <c r="X1157">
        <v>2022</v>
      </c>
      <c r="Y1157" t="s">
        <v>153</v>
      </c>
      <c r="Z1157" t="s">
        <v>54</v>
      </c>
    </row>
    <row r="1158" spans="1:26">
      <c r="A1158" t="s">
        <v>2210</v>
      </c>
      <c r="B1158" t="s">
        <v>27</v>
      </c>
      <c r="C1158" t="s">
        <v>164</v>
      </c>
      <c r="D1158" t="s">
        <v>85</v>
      </c>
      <c r="E1158" t="s">
        <v>86</v>
      </c>
      <c r="F1158" t="s">
        <v>238</v>
      </c>
      <c r="G1158" t="s">
        <v>58</v>
      </c>
      <c r="H1158">
        <v>9.1</v>
      </c>
      <c r="I1158">
        <v>25.5</v>
      </c>
      <c r="J1158" t="s">
        <v>96</v>
      </c>
      <c r="K1158" t="s">
        <v>1772</v>
      </c>
      <c r="L1158" t="s">
        <v>98</v>
      </c>
      <c r="M1158" t="s">
        <v>127</v>
      </c>
      <c r="N1158" t="s">
        <v>71</v>
      </c>
      <c r="O1158">
        <v>99</v>
      </c>
      <c r="P1158" t="s">
        <v>72</v>
      </c>
      <c r="Q1158">
        <v>677</v>
      </c>
      <c r="R1158">
        <v>500</v>
      </c>
      <c r="S1158" t="s">
        <v>113</v>
      </c>
      <c r="T1158" t="s">
        <v>38</v>
      </c>
      <c r="U1158" t="s">
        <v>39</v>
      </c>
      <c r="V1158" t="s">
        <v>52</v>
      </c>
      <c r="W1158" t="s">
        <v>52</v>
      </c>
      <c r="X1158">
        <v>2024</v>
      </c>
      <c r="Y1158" t="s">
        <v>91</v>
      </c>
      <c r="Z1158" t="s">
        <v>64</v>
      </c>
    </row>
    <row r="1159" spans="1:26">
      <c r="A1159" t="s">
        <v>2211</v>
      </c>
      <c r="B1159" t="s">
        <v>66</v>
      </c>
      <c r="C1159" t="s">
        <v>102</v>
      </c>
      <c r="D1159" t="s">
        <v>85</v>
      </c>
      <c r="E1159" t="s">
        <v>174</v>
      </c>
      <c r="F1159" t="s">
        <v>109</v>
      </c>
      <c r="G1159" t="s">
        <v>32</v>
      </c>
      <c r="H1159">
        <v>5.0999999999999996</v>
      </c>
      <c r="I1159">
        <v>29.9</v>
      </c>
      <c r="J1159" t="s">
        <v>33</v>
      </c>
      <c r="K1159" t="s">
        <v>474</v>
      </c>
      <c r="L1159" t="s">
        <v>98</v>
      </c>
      <c r="M1159" t="s">
        <v>383</v>
      </c>
      <c r="N1159" t="s">
        <v>71</v>
      </c>
      <c r="O1159">
        <v>129</v>
      </c>
      <c r="P1159" t="s">
        <v>112</v>
      </c>
      <c r="Q1159">
        <v>1943</v>
      </c>
      <c r="R1159">
        <v>1000</v>
      </c>
      <c r="S1159" t="s">
        <v>113</v>
      </c>
      <c r="T1159" t="s">
        <v>38</v>
      </c>
      <c r="U1159" t="s">
        <v>39</v>
      </c>
      <c r="V1159" t="s">
        <v>52</v>
      </c>
      <c r="W1159" t="s">
        <v>52</v>
      </c>
      <c r="X1159">
        <v>2024</v>
      </c>
      <c r="Y1159" t="s">
        <v>211</v>
      </c>
      <c r="Z1159" t="s">
        <v>41</v>
      </c>
    </row>
    <row r="1160" spans="1:26">
      <c r="A1160" t="s">
        <v>2212</v>
      </c>
      <c r="B1160" t="s">
        <v>93</v>
      </c>
      <c r="C1160" t="s">
        <v>28</v>
      </c>
      <c r="D1160" t="s">
        <v>85</v>
      </c>
      <c r="E1160" t="s">
        <v>402</v>
      </c>
      <c r="F1160" t="s">
        <v>68</v>
      </c>
      <c r="G1160" t="s">
        <v>32</v>
      </c>
      <c r="H1160">
        <v>9.1999999999999993</v>
      </c>
      <c r="I1160">
        <v>21.6</v>
      </c>
      <c r="J1160" t="s">
        <v>144</v>
      </c>
      <c r="K1160" t="s">
        <v>2213</v>
      </c>
      <c r="L1160" t="s">
        <v>48</v>
      </c>
      <c r="M1160" t="s">
        <v>1276</v>
      </c>
      <c r="N1160" t="s">
        <v>100</v>
      </c>
      <c r="O1160">
        <v>137</v>
      </c>
      <c r="P1160" t="s">
        <v>2265</v>
      </c>
      <c r="Q1160">
        <v>0</v>
      </c>
      <c r="R1160">
        <v>0</v>
      </c>
      <c r="S1160" t="s">
        <v>2265</v>
      </c>
      <c r="T1160" t="s">
        <v>51</v>
      </c>
      <c r="U1160" t="s">
        <v>39</v>
      </c>
      <c r="V1160" t="s">
        <v>52</v>
      </c>
      <c r="W1160" t="s">
        <v>52</v>
      </c>
      <c r="X1160">
        <v>2024</v>
      </c>
      <c r="Y1160" t="s">
        <v>312</v>
      </c>
      <c r="Z1160" t="s">
        <v>83</v>
      </c>
    </row>
    <row r="1161" spans="1:26">
      <c r="A1161" t="s">
        <v>2214</v>
      </c>
      <c r="B1161" t="s">
        <v>27</v>
      </c>
      <c r="C1161" t="s">
        <v>76</v>
      </c>
      <c r="D1161" t="s">
        <v>77</v>
      </c>
      <c r="E1161" t="s">
        <v>168</v>
      </c>
      <c r="F1161" t="s">
        <v>149</v>
      </c>
      <c r="G1161" t="s">
        <v>32</v>
      </c>
      <c r="H1161">
        <v>3.6</v>
      </c>
      <c r="I1161">
        <v>5.2</v>
      </c>
      <c r="J1161" t="s">
        <v>156</v>
      </c>
      <c r="K1161" t="s">
        <v>704</v>
      </c>
      <c r="L1161" t="s">
        <v>126</v>
      </c>
      <c r="M1161" t="s">
        <v>125</v>
      </c>
      <c r="N1161" t="s">
        <v>71</v>
      </c>
      <c r="O1161">
        <v>161</v>
      </c>
      <c r="P1161" t="s">
        <v>89</v>
      </c>
      <c r="Q1161">
        <v>6640</v>
      </c>
      <c r="R1161">
        <v>2000</v>
      </c>
      <c r="S1161" t="s">
        <v>90</v>
      </c>
      <c r="T1161" t="s">
        <v>136</v>
      </c>
      <c r="U1161" t="s">
        <v>39</v>
      </c>
      <c r="V1161" t="s">
        <v>39</v>
      </c>
      <c r="W1161" t="s">
        <v>52</v>
      </c>
      <c r="X1161">
        <v>2024</v>
      </c>
      <c r="Y1161" t="s">
        <v>153</v>
      </c>
      <c r="Z1161" t="s">
        <v>54</v>
      </c>
    </row>
    <row r="1162" spans="1:26">
      <c r="A1162" t="s">
        <v>2215</v>
      </c>
      <c r="B1162" t="s">
        <v>66</v>
      </c>
      <c r="C1162" t="s">
        <v>121</v>
      </c>
      <c r="D1162" t="s">
        <v>77</v>
      </c>
      <c r="E1162" t="s">
        <v>94</v>
      </c>
      <c r="F1162" t="s">
        <v>160</v>
      </c>
      <c r="G1162" t="s">
        <v>32</v>
      </c>
      <c r="H1162">
        <v>7.2</v>
      </c>
      <c r="I1162">
        <v>11.1</v>
      </c>
      <c r="J1162" t="s">
        <v>156</v>
      </c>
      <c r="K1162" t="s">
        <v>657</v>
      </c>
      <c r="L1162" t="s">
        <v>140</v>
      </c>
      <c r="M1162" t="s">
        <v>849</v>
      </c>
      <c r="N1162" t="s">
        <v>71</v>
      </c>
      <c r="O1162">
        <v>6</v>
      </c>
      <c r="P1162" t="s">
        <v>105</v>
      </c>
      <c r="Q1162">
        <v>7532</v>
      </c>
      <c r="R1162">
        <v>5000</v>
      </c>
      <c r="S1162" t="s">
        <v>152</v>
      </c>
      <c r="T1162" t="s">
        <v>136</v>
      </c>
      <c r="U1162" t="s">
        <v>39</v>
      </c>
      <c r="V1162" t="s">
        <v>39</v>
      </c>
      <c r="W1162" t="s">
        <v>52</v>
      </c>
      <c r="X1162">
        <v>2024</v>
      </c>
      <c r="Y1162" t="s">
        <v>114</v>
      </c>
      <c r="Z1162" t="s">
        <v>41</v>
      </c>
    </row>
    <row r="1163" spans="1:26">
      <c r="A1163" t="s">
        <v>2216</v>
      </c>
      <c r="B1163" t="s">
        <v>66</v>
      </c>
      <c r="C1163" t="s">
        <v>67</v>
      </c>
      <c r="D1163" t="s">
        <v>77</v>
      </c>
      <c r="E1163" t="s">
        <v>168</v>
      </c>
      <c r="F1163" t="s">
        <v>124</v>
      </c>
      <c r="G1163" t="s">
        <v>32</v>
      </c>
      <c r="H1163">
        <v>3.5</v>
      </c>
      <c r="I1163">
        <v>16.3</v>
      </c>
      <c r="J1163" t="s">
        <v>156</v>
      </c>
      <c r="K1163" t="s">
        <v>2217</v>
      </c>
      <c r="L1163" t="s">
        <v>140</v>
      </c>
      <c r="M1163" t="s">
        <v>463</v>
      </c>
      <c r="N1163" t="s">
        <v>50</v>
      </c>
      <c r="O1163">
        <v>106</v>
      </c>
      <c r="P1163" t="s">
        <v>2265</v>
      </c>
      <c r="Q1163">
        <v>0</v>
      </c>
      <c r="R1163">
        <v>0</v>
      </c>
      <c r="S1163" t="s">
        <v>2265</v>
      </c>
      <c r="T1163" t="s">
        <v>62</v>
      </c>
      <c r="U1163" t="s">
        <v>39</v>
      </c>
      <c r="V1163" t="s">
        <v>52</v>
      </c>
      <c r="W1163" t="s">
        <v>52</v>
      </c>
      <c r="X1163">
        <v>2022</v>
      </c>
      <c r="Y1163" t="s">
        <v>211</v>
      </c>
      <c r="Z1163" t="s">
        <v>41</v>
      </c>
    </row>
    <row r="1164" spans="1:26">
      <c r="A1164" t="s">
        <v>2218</v>
      </c>
      <c r="B1164" t="s">
        <v>66</v>
      </c>
      <c r="C1164" t="s">
        <v>44</v>
      </c>
      <c r="D1164" t="s">
        <v>77</v>
      </c>
      <c r="E1164" t="s">
        <v>220</v>
      </c>
      <c r="F1164" t="s">
        <v>238</v>
      </c>
      <c r="G1164" t="s">
        <v>32</v>
      </c>
      <c r="H1164">
        <v>0.2</v>
      </c>
      <c r="I1164">
        <v>21.4</v>
      </c>
      <c r="J1164" t="s">
        <v>33</v>
      </c>
      <c r="K1164" t="s">
        <v>150</v>
      </c>
      <c r="L1164" t="s">
        <v>35</v>
      </c>
      <c r="M1164" t="s">
        <v>290</v>
      </c>
      <c r="N1164" t="s">
        <v>171</v>
      </c>
      <c r="O1164">
        <v>75</v>
      </c>
      <c r="P1164" t="s">
        <v>2265</v>
      </c>
      <c r="Q1164">
        <v>0</v>
      </c>
      <c r="R1164">
        <v>0</v>
      </c>
      <c r="S1164" t="s">
        <v>2265</v>
      </c>
      <c r="T1164" t="s">
        <v>38</v>
      </c>
      <c r="U1164" t="s">
        <v>39</v>
      </c>
      <c r="V1164" t="s">
        <v>52</v>
      </c>
      <c r="W1164" t="s">
        <v>52</v>
      </c>
      <c r="X1164">
        <v>2023</v>
      </c>
      <c r="Y1164" t="s">
        <v>153</v>
      </c>
      <c r="Z1164" t="s">
        <v>54</v>
      </c>
    </row>
    <row r="1165" spans="1:26">
      <c r="A1165" t="s">
        <v>2219</v>
      </c>
      <c r="B1165" t="s">
        <v>116</v>
      </c>
      <c r="C1165" t="s">
        <v>164</v>
      </c>
      <c r="D1165" t="s">
        <v>77</v>
      </c>
      <c r="E1165" t="s">
        <v>220</v>
      </c>
      <c r="F1165" t="s">
        <v>160</v>
      </c>
      <c r="G1165" t="s">
        <v>32</v>
      </c>
      <c r="H1165">
        <v>6.7</v>
      </c>
      <c r="I1165">
        <v>31.6</v>
      </c>
      <c r="J1165" t="s">
        <v>33</v>
      </c>
      <c r="K1165" t="s">
        <v>1192</v>
      </c>
      <c r="L1165" t="s">
        <v>140</v>
      </c>
      <c r="M1165" t="s">
        <v>1753</v>
      </c>
      <c r="N1165" t="s">
        <v>61</v>
      </c>
      <c r="O1165">
        <v>103</v>
      </c>
      <c r="P1165" t="s">
        <v>2265</v>
      </c>
      <c r="Q1165">
        <v>0</v>
      </c>
      <c r="R1165">
        <v>0</v>
      </c>
      <c r="S1165" t="s">
        <v>2265</v>
      </c>
      <c r="T1165" t="s">
        <v>38</v>
      </c>
      <c r="U1165" t="s">
        <v>39</v>
      </c>
      <c r="V1165" t="s">
        <v>39</v>
      </c>
      <c r="W1165" t="s">
        <v>52</v>
      </c>
      <c r="X1165">
        <v>2024</v>
      </c>
      <c r="Y1165" t="s">
        <v>312</v>
      </c>
      <c r="Z1165" t="s">
        <v>83</v>
      </c>
    </row>
    <row r="1166" spans="1:26">
      <c r="A1166" t="s">
        <v>2220</v>
      </c>
      <c r="B1166" t="s">
        <v>116</v>
      </c>
      <c r="C1166" t="s">
        <v>67</v>
      </c>
      <c r="D1166" t="s">
        <v>77</v>
      </c>
      <c r="E1166" t="s">
        <v>260</v>
      </c>
      <c r="F1166" t="s">
        <v>57</v>
      </c>
      <c r="G1166" t="s">
        <v>58</v>
      </c>
      <c r="H1166">
        <v>3.2</v>
      </c>
      <c r="I1166">
        <v>30</v>
      </c>
      <c r="J1166" t="s">
        <v>33</v>
      </c>
      <c r="K1166" t="s">
        <v>200</v>
      </c>
      <c r="L1166" t="s">
        <v>48</v>
      </c>
      <c r="M1166" t="s">
        <v>537</v>
      </c>
      <c r="N1166" t="s">
        <v>37</v>
      </c>
      <c r="O1166">
        <v>79</v>
      </c>
      <c r="P1166" t="s">
        <v>2265</v>
      </c>
      <c r="Q1166">
        <v>0</v>
      </c>
      <c r="R1166">
        <v>1000</v>
      </c>
      <c r="S1166" t="s">
        <v>2265</v>
      </c>
      <c r="T1166" t="s">
        <v>136</v>
      </c>
      <c r="U1166" t="s">
        <v>39</v>
      </c>
      <c r="V1166" t="s">
        <v>39</v>
      </c>
      <c r="W1166" t="s">
        <v>39</v>
      </c>
      <c r="X1166">
        <v>2024</v>
      </c>
      <c r="Y1166" t="s">
        <v>114</v>
      </c>
      <c r="Z1166" t="s">
        <v>41</v>
      </c>
    </row>
    <row r="1167" spans="1:26">
      <c r="A1167" t="s">
        <v>2221</v>
      </c>
      <c r="B1167" t="s">
        <v>108</v>
      </c>
      <c r="C1167" t="s">
        <v>28</v>
      </c>
      <c r="D1167" t="s">
        <v>77</v>
      </c>
      <c r="E1167" t="s">
        <v>363</v>
      </c>
      <c r="F1167" t="s">
        <v>31</v>
      </c>
      <c r="G1167" t="s">
        <v>32</v>
      </c>
      <c r="H1167">
        <v>8.6999999999999993</v>
      </c>
      <c r="I1167">
        <v>26.7</v>
      </c>
      <c r="J1167" t="s">
        <v>156</v>
      </c>
      <c r="K1167" t="s">
        <v>1294</v>
      </c>
      <c r="L1167" t="s">
        <v>48</v>
      </c>
      <c r="M1167" t="s">
        <v>1032</v>
      </c>
      <c r="N1167" t="s">
        <v>171</v>
      </c>
      <c r="O1167">
        <v>174</v>
      </c>
      <c r="P1167" t="s">
        <v>2265</v>
      </c>
      <c r="Q1167">
        <v>0</v>
      </c>
      <c r="R1167">
        <v>0</v>
      </c>
      <c r="S1167" t="s">
        <v>2265</v>
      </c>
      <c r="T1167" t="s">
        <v>38</v>
      </c>
      <c r="U1167" t="s">
        <v>39</v>
      </c>
      <c r="V1167" t="s">
        <v>52</v>
      </c>
      <c r="W1167" t="s">
        <v>52</v>
      </c>
      <c r="X1167">
        <v>2022</v>
      </c>
      <c r="Y1167" t="s">
        <v>74</v>
      </c>
      <c r="Z1167" t="s">
        <v>54</v>
      </c>
    </row>
    <row r="1168" spans="1:26">
      <c r="A1168" t="s">
        <v>2222</v>
      </c>
      <c r="B1168" t="s">
        <v>93</v>
      </c>
      <c r="C1168" t="s">
        <v>44</v>
      </c>
      <c r="D1168" t="s">
        <v>29</v>
      </c>
      <c r="E1168" t="s">
        <v>244</v>
      </c>
      <c r="F1168" t="s">
        <v>149</v>
      </c>
      <c r="G1168" t="s">
        <v>58</v>
      </c>
      <c r="H1168">
        <v>11.7</v>
      </c>
      <c r="I1168">
        <v>23.4</v>
      </c>
      <c r="J1168" t="s">
        <v>20</v>
      </c>
      <c r="K1168" t="s">
        <v>524</v>
      </c>
      <c r="L1168" t="s">
        <v>126</v>
      </c>
      <c r="M1168" t="s">
        <v>1346</v>
      </c>
      <c r="N1168" t="s">
        <v>37</v>
      </c>
      <c r="O1168">
        <v>145</v>
      </c>
      <c r="P1168" t="s">
        <v>2265</v>
      </c>
      <c r="Q1168">
        <v>0</v>
      </c>
      <c r="R1168">
        <v>1000</v>
      </c>
      <c r="S1168" t="s">
        <v>2265</v>
      </c>
      <c r="T1168" t="s">
        <v>38</v>
      </c>
      <c r="U1168" t="s">
        <v>39</v>
      </c>
      <c r="V1168" t="s">
        <v>52</v>
      </c>
      <c r="W1168" t="s">
        <v>52</v>
      </c>
      <c r="X1168">
        <v>2023</v>
      </c>
      <c r="Y1168" t="s">
        <v>153</v>
      </c>
      <c r="Z1168" t="s">
        <v>54</v>
      </c>
    </row>
    <row r="1169" spans="1:26">
      <c r="A1169" t="s">
        <v>2223</v>
      </c>
      <c r="B1169" t="s">
        <v>116</v>
      </c>
      <c r="C1169" t="s">
        <v>102</v>
      </c>
      <c r="D1169" t="s">
        <v>77</v>
      </c>
      <c r="E1169" t="s">
        <v>94</v>
      </c>
      <c r="F1169" t="s">
        <v>160</v>
      </c>
      <c r="G1169" t="s">
        <v>32</v>
      </c>
      <c r="H1169">
        <v>4.5</v>
      </c>
      <c r="I1169">
        <v>24.2</v>
      </c>
      <c r="J1169" t="s">
        <v>33</v>
      </c>
      <c r="K1169" t="s">
        <v>1776</v>
      </c>
      <c r="L1169" t="s">
        <v>60</v>
      </c>
      <c r="M1169" t="s">
        <v>1790</v>
      </c>
      <c r="N1169" t="s">
        <v>71</v>
      </c>
      <c r="O1169">
        <v>8</v>
      </c>
      <c r="P1169" t="s">
        <v>89</v>
      </c>
      <c r="Q1169">
        <v>4671</v>
      </c>
      <c r="R1169">
        <v>500</v>
      </c>
      <c r="S1169" t="s">
        <v>73</v>
      </c>
      <c r="T1169" t="s">
        <v>136</v>
      </c>
      <c r="U1169" t="s">
        <v>52</v>
      </c>
      <c r="V1169" t="s">
        <v>52</v>
      </c>
      <c r="W1169" t="s">
        <v>52</v>
      </c>
      <c r="X1169">
        <v>2022</v>
      </c>
      <c r="Y1169" t="s">
        <v>312</v>
      </c>
      <c r="Z1169" t="s">
        <v>83</v>
      </c>
    </row>
    <row r="1170" spans="1:26">
      <c r="A1170" t="s">
        <v>2224</v>
      </c>
      <c r="B1170" t="s">
        <v>43</v>
      </c>
      <c r="C1170" t="s">
        <v>28</v>
      </c>
      <c r="D1170" t="s">
        <v>85</v>
      </c>
      <c r="E1170" t="s">
        <v>138</v>
      </c>
      <c r="F1170" t="s">
        <v>46</v>
      </c>
      <c r="G1170" t="s">
        <v>32</v>
      </c>
      <c r="H1170">
        <v>4.5999999999999996</v>
      </c>
      <c r="I1170">
        <v>27.7</v>
      </c>
      <c r="J1170" t="s">
        <v>20</v>
      </c>
      <c r="K1170" t="s">
        <v>610</v>
      </c>
      <c r="L1170" t="s">
        <v>140</v>
      </c>
      <c r="M1170" t="s">
        <v>49</v>
      </c>
      <c r="N1170" t="s">
        <v>71</v>
      </c>
      <c r="O1170">
        <v>96</v>
      </c>
      <c r="P1170" t="s">
        <v>112</v>
      </c>
      <c r="Q1170">
        <v>1732</v>
      </c>
      <c r="R1170">
        <v>0</v>
      </c>
      <c r="S1170" t="s">
        <v>90</v>
      </c>
      <c r="T1170" t="s">
        <v>81</v>
      </c>
      <c r="U1170" t="s">
        <v>39</v>
      </c>
      <c r="V1170" t="s">
        <v>52</v>
      </c>
      <c r="W1170" t="s">
        <v>52</v>
      </c>
      <c r="X1170">
        <v>2024</v>
      </c>
      <c r="Y1170" t="s">
        <v>312</v>
      </c>
      <c r="Z1170" t="s">
        <v>83</v>
      </c>
    </row>
    <row r="1171" spans="1:26">
      <c r="A1171" t="s">
        <v>2225</v>
      </c>
      <c r="B1171" t="s">
        <v>66</v>
      </c>
      <c r="C1171" t="s">
        <v>173</v>
      </c>
      <c r="D1171" t="s">
        <v>77</v>
      </c>
      <c r="E1171" t="s">
        <v>216</v>
      </c>
      <c r="F1171" t="s">
        <v>149</v>
      </c>
      <c r="G1171" t="s">
        <v>58</v>
      </c>
      <c r="H1171">
        <v>2.7</v>
      </c>
      <c r="I1171">
        <v>22.4</v>
      </c>
      <c r="J1171" t="s">
        <v>33</v>
      </c>
      <c r="K1171" t="s">
        <v>1130</v>
      </c>
      <c r="L1171" t="s">
        <v>126</v>
      </c>
      <c r="M1171" t="s">
        <v>523</v>
      </c>
      <c r="N1171" t="s">
        <v>71</v>
      </c>
      <c r="O1171">
        <v>156</v>
      </c>
      <c r="P1171" t="s">
        <v>72</v>
      </c>
      <c r="Q1171">
        <v>5717</v>
      </c>
      <c r="R1171">
        <v>0</v>
      </c>
      <c r="S1171" t="s">
        <v>90</v>
      </c>
      <c r="T1171" t="s">
        <v>136</v>
      </c>
      <c r="U1171" t="s">
        <v>39</v>
      </c>
      <c r="V1171" t="s">
        <v>52</v>
      </c>
      <c r="W1171" t="s">
        <v>52</v>
      </c>
      <c r="X1171">
        <v>2022</v>
      </c>
      <c r="Y1171" t="s">
        <v>114</v>
      </c>
      <c r="Z1171" t="s">
        <v>41</v>
      </c>
    </row>
    <row r="1172" spans="1:26">
      <c r="A1172" t="s">
        <v>2226</v>
      </c>
      <c r="B1172" t="s">
        <v>43</v>
      </c>
      <c r="C1172" t="s">
        <v>102</v>
      </c>
      <c r="D1172" t="s">
        <v>122</v>
      </c>
      <c r="E1172" t="s">
        <v>155</v>
      </c>
      <c r="F1172" t="s">
        <v>46</v>
      </c>
      <c r="G1172" t="s">
        <v>58</v>
      </c>
      <c r="H1172">
        <v>4</v>
      </c>
      <c r="I1172">
        <v>3.8</v>
      </c>
      <c r="J1172" t="s">
        <v>144</v>
      </c>
      <c r="K1172" t="s">
        <v>2227</v>
      </c>
      <c r="L1172" t="s">
        <v>35</v>
      </c>
      <c r="M1172" t="s">
        <v>754</v>
      </c>
      <c r="N1172" t="s">
        <v>100</v>
      </c>
      <c r="O1172">
        <v>154</v>
      </c>
      <c r="P1172" t="s">
        <v>2265</v>
      </c>
      <c r="Q1172">
        <v>0</v>
      </c>
      <c r="R1172">
        <v>0</v>
      </c>
      <c r="S1172" t="s">
        <v>2265</v>
      </c>
      <c r="T1172" t="s">
        <v>81</v>
      </c>
      <c r="U1172" t="s">
        <v>39</v>
      </c>
      <c r="V1172" t="s">
        <v>52</v>
      </c>
      <c r="W1172" t="s">
        <v>52</v>
      </c>
      <c r="X1172">
        <v>2023</v>
      </c>
      <c r="Y1172" t="s">
        <v>74</v>
      </c>
      <c r="Z1172" t="s">
        <v>54</v>
      </c>
    </row>
    <row r="1173" spans="1:26">
      <c r="A1173" t="s">
        <v>2228</v>
      </c>
      <c r="B1173" t="s">
        <v>43</v>
      </c>
      <c r="C1173" t="s">
        <v>28</v>
      </c>
      <c r="D1173" t="s">
        <v>77</v>
      </c>
      <c r="E1173" t="s">
        <v>143</v>
      </c>
      <c r="F1173" t="s">
        <v>95</v>
      </c>
      <c r="G1173" t="s">
        <v>32</v>
      </c>
      <c r="H1173">
        <v>3.1</v>
      </c>
      <c r="I1173">
        <v>4.9000000000000004</v>
      </c>
      <c r="J1173" t="s">
        <v>33</v>
      </c>
      <c r="K1173" t="s">
        <v>1005</v>
      </c>
      <c r="L1173" t="s">
        <v>98</v>
      </c>
      <c r="M1173" t="s">
        <v>288</v>
      </c>
      <c r="N1173" t="s">
        <v>71</v>
      </c>
      <c r="O1173">
        <v>180</v>
      </c>
      <c r="P1173" t="s">
        <v>89</v>
      </c>
      <c r="Q1173">
        <v>3027</v>
      </c>
      <c r="R1173">
        <v>2000</v>
      </c>
      <c r="S1173" t="s">
        <v>90</v>
      </c>
      <c r="T1173" t="s">
        <v>136</v>
      </c>
      <c r="U1173" t="s">
        <v>39</v>
      </c>
      <c r="V1173" t="s">
        <v>52</v>
      </c>
      <c r="W1173" t="s">
        <v>52</v>
      </c>
      <c r="X1173">
        <v>2022</v>
      </c>
      <c r="Y1173" t="s">
        <v>63</v>
      </c>
      <c r="Z1173" t="s">
        <v>64</v>
      </c>
    </row>
    <row r="1174" spans="1:26">
      <c r="A1174" t="s">
        <v>2229</v>
      </c>
      <c r="B1174" t="s">
        <v>93</v>
      </c>
      <c r="C1174" t="s">
        <v>67</v>
      </c>
      <c r="D1174" t="s">
        <v>29</v>
      </c>
      <c r="E1174" t="s">
        <v>94</v>
      </c>
      <c r="F1174" t="s">
        <v>68</v>
      </c>
      <c r="G1174" t="s">
        <v>58</v>
      </c>
      <c r="H1174">
        <v>6.7</v>
      </c>
      <c r="I1174">
        <v>25.1</v>
      </c>
      <c r="J1174" t="s">
        <v>20</v>
      </c>
      <c r="K1174" t="s">
        <v>2230</v>
      </c>
      <c r="L1174" t="s">
        <v>98</v>
      </c>
      <c r="M1174" t="s">
        <v>2231</v>
      </c>
      <c r="N1174" t="s">
        <v>171</v>
      </c>
      <c r="O1174">
        <v>159</v>
      </c>
      <c r="P1174" t="s">
        <v>2265</v>
      </c>
      <c r="Q1174">
        <v>0</v>
      </c>
      <c r="R1174">
        <v>0</v>
      </c>
      <c r="S1174" t="s">
        <v>2265</v>
      </c>
      <c r="T1174" t="s">
        <v>51</v>
      </c>
      <c r="U1174" t="s">
        <v>39</v>
      </c>
      <c r="V1174" t="s">
        <v>52</v>
      </c>
      <c r="W1174" t="s">
        <v>52</v>
      </c>
      <c r="X1174">
        <v>2023</v>
      </c>
      <c r="Y1174" t="s">
        <v>53</v>
      </c>
      <c r="Z1174" t="s">
        <v>54</v>
      </c>
    </row>
    <row r="1175" spans="1:26">
      <c r="A1175" t="s">
        <v>2232</v>
      </c>
      <c r="B1175" t="s">
        <v>108</v>
      </c>
      <c r="C1175" t="s">
        <v>28</v>
      </c>
      <c r="D1175" t="s">
        <v>77</v>
      </c>
      <c r="E1175" t="s">
        <v>260</v>
      </c>
      <c r="F1175" t="s">
        <v>238</v>
      </c>
      <c r="G1175" t="s">
        <v>32</v>
      </c>
      <c r="H1175">
        <v>5.9</v>
      </c>
      <c r="I1175">
        <v>21.7</v>
      </c>
      <c r="J1175" t="s">
        <v>33</v>
      </c>
      <c r="K1175" t="s">
        <v>249</v>
      </c>
      <c r="L1175" t="s">
        <v>140</v>
      </c>
      <c r="M1175" t="s">
        <v>1364</v>
      </c>
      <c r="N1175" t="s">
        <v>71</v>
      </c>
      <c r="O1175">
        <v>104</v>
      </c>
      <c r="P1175" t="s">
        <v>230</v>
      </c>
      <c r="Q1175">
        <v>7115</v>
      </c>
      <c r="R1175">
        <v>0</v>
      </c>
      <c r="S1175" t="s">
        <v>152</v>
      </c>
      <c r="T1175" t="s">
        <v>51</v>
      </c>
      <c r="U1175" t="s">
        <v>39</v>
      </c>
      <c r="V1175" t="s">
        <v>52</v>
      </c>
      <c r="W1175" t="s">
        <v>52</v>
      </c>
      <c r="X1175">
        <v>2022</v>
      </c>
      <c r="Y1175" t="s">
        <v>40</v>
      </c>
      <c r="Z1175" t="s">
        <v>41</v>
      </c>
    </row>
    <row r="1176" spans="1:26">
      <c r="A1176" t="s">
        <v>2233</v>
      </c>
      <c r="B1176" t="s">
        <v>43</v>
      </c>
      <c r="C1176" t="s">
        <v>173</v>
      </c>
      <c r="D1176" t="s">
        <v>77</v>
      </c>
      <c r="E1176" t="s">
        <v>168</v>
      </c>
      <c r="F1176" t="s">
        <v>149</v>
      </c>
      <c r="G1176" t="s">
        <v>32</v>
      </c>
      <c r="H1176">
        <v>7.7</v>
      </c>
      <c r="I1176">
        <v>12.8</v>
      </c>
      <c r="J1176" t="s">
        <v>33</v>
      </c>
      <c r="K1176" t="s">
        <v>1325</v>
      </c>
      <c r="L1176" t="s">
        <v>126</v>
      </c>
      <c r="M1176" t="s">
        <v>1856</v>
      </c>
      <c r="N1176" t="s">
        <v>37</v>
      </c>
      <c r="O1176">
        <v>121</v>
      </c>
      <c r="P1176" t="s">
        <v>2265</v>
      </c>
      <c r="Q1176">
        <v>0</v>
      </c>
      <c r="R1176">
        <v>500</v>
      </c>
      <c r="S1176" t="s">
        <v>2265</v>
      </c>
      <c r="T1176" t="s">
        <v>38</v>
      </c>
      <c r="U1176" t="s">
        <v>39</v>
      </c>
      <c r="V1176" t="s">
        <v>52</v>
      </c>
      <c r="W1176" t="s">
        <v>52</v>
      </c>
      <c r="X1176">
        <v>2023</v>
      </c>
      <c r="Y1176" t="s">
        <v>40</v>
      </c>
      <c r="Z1176" t="s">
        <v>41</v>
      </c>
    </row>
    <row r="1177" spans="1:26">
      <c r="A1177" t="s">
        <v>2234</v>
      </c>
      <c r="B1177" t="s">
        <v>116</v>
      </c>
      <c r="C1177" t="s">
        <v>67</v>
      </c>
      <c r="D1177" t="s">
        <v>77</v>
      </c>
      <c r="E1177" t="s">
        <v>78</v>
      </c>
      <c r="F1177" t="s">
        <v>124</v>
      </c>
      <c r="G1177" t="s">
        <v>32</v>
      </c>
      <c r="H1177">
        <v>10.199999999999999</v>
      </c>
      <c r="I1177">
        <v>21.3</v>
      </c>
      <c r="J1177" t="s">
        <v>20</v>
      </c>
      <c r="K1177" t="s">
        <v>2235</v>
      </c>
      <c r="L1177" t="s">
        <v>140</v>
      </c>
      <c r="M1177" t="s">
        <v>881</v>
      </c>
      <c r="N1177" t="s">
        <v>61</v>
      </c>
      <c r="O1177">
        <v>67</v>
      </c>
      <c r="P1177" t="s">
        <v>2265</v>
      </c>
      <c r="Q1177">
        <v>0</v>
      </c>
      <c r="R1177">
        <v>0</v>
      </c>
      <c r="S1177" t="s">
        <v>2265</v>
      </c>
      <c r="T1177" t="s">
        <v>38</v>
      </c>
      <c r="U1177" t="s">
        <v>39</v>
      </c>
      <c r="V1177" t="s">
        <v>39</v>
      </c>
      <c r="W1177" t="s">
        <v>39</v>
      </c>
      <c r="X1177">
        <v>2023</v>
      </c>
      <c r="Y1177" t="s">
        <v>82</v>
      </c>
      <c r="Z1177" t="s">
        <v>83</v>
      </c>
    </row>
    <row r="1178" spans="1:26">
      <c r="A1178" t="s">
        <v>2236</v>
      </c>
      <c r="B1178" t="s">
        <v>27</v>
      </c>
      <c r="C1178" t="s">
        <v>164</v>
      </c>
      <c r="D1178" t="s">
        <v>29</v>
      </c>
      <c r="E1178" t="s">
        <v>45</v>
      </c>
      <c r="F1178" t="s">
        <v>57</v>
      </c>
      <c r="G1178" t="s">
        <v>58</v>
      </c>
      <c r="H1178">
        <v>3</v>
      </c>
      <c r="I1178">
        <v>22.7</v>
      </c>
      <c r="J1178" t="s">
        <v>20</v>
      </c>
      <c r="K1178" t="s">
        <v>2237</v>
      </c>
      <c r="L1178" t="s">
        <v>126</v>
      </c>
      <c r="M1178" t="s">
        <v>1691</v>
      </c>
      <c r="N1178" t="s">
        <v>71</v>
      </c>
      <c r="O1178">
        <v>22</v>
      </c>
      <c r="P1178" t="s">
        <v>105</v>
      </c>
      <c r="Q1178">
        <v>4319</v>
      </c>
      <c r="R1178">
        <v>0</v>
      </c>
      <c r="S1178" t="s">
        <v>113</v>
      </c>
      <c r="T1178" t="s">
        <v>62</v>
      </c>
      <c r="U1178" t="s">
        <v>39</v>
      </c>
      <c r="V1178" t="s">
        <v>52</v>
      </c>
      <c r="W1178" t="s">
        <v>52</v>
      </c>
      <c r="X1178">
        <v>2024</v>
      </c>
      <c r="Y1178" t="s">
        <v>53</v>
      </c>
      <c r="Z1178" t="s">
        <v>54</v>
      </c>
    </row>
    <row r="1179" spans="1:26">
      <c r="A1179" t="s">
        <v>2238</v>
      </c>
      <c r="B1179" t="s">
        <v>93</v>
      </c>
      <c r="C1179" t="s">
        <v>28</v>
      </c>
      <c r="D1179" t="s">
        <v>77</v>
      </c>
      <c r="E1179" t="s">
        <v>78</v>
      </c>
      <c r="F1179" t="s">
        <v>46</v>
      </c>
      <c r="G1179" t="s">
        <v>58</v>
      </c>
      <c r="H1179">
        <v>9.9</v>
      </c>
      <c r="I1179">
        <v>15.5</v>
      </c>
      <c r="J1179" t="s">
        <v>33</v>
      </c>
      <c r="K1179" t="s">
        <v>1342</v>
      </c>
      <c r="L1179" t="s">
        <v>126</v>
      </c>
      <c r="M1179" t="s">
        <v>1456</v>
      </c>
      <c r="N1179" t="s">
        <v>61</v>
      </c>
      <c r="O1179">
        <v>3</v>
      </c>
      <c r="P1179" t="s">
        <v>2265</v>
      </c>
      <c r="Q1179">
        <v>0</v>
      </c>
      <c r="R1179">
        <v>0</v>
      </c>
      <c r="S1179" t="s">
        <v>2265</v>
      </c>
      <c r="T1179" t="s">
        <v>51</v>
      </c>
      <c r="U1179" t="s">
        <v>52</v>
      </c>
      <c r="V1179" t="s">
        <v>52</v>
      </c>
      <c r="W1179" t="s">
        <v>52</v>
      </c>
      <c r="X1179">
        <v>2023</v>
      </c>
      <c r="Y1179" t="s">
        <v>82</v>
      </c>
      <c r="Z1179" t="s">
        <v>83</v>
      </c>
    </row>
    <row r="1180" spans="1:26">
      <c r="A1180" t="s">
        <v>2239</v>
      </c>
      <c r="B1180" t="s">
        <v>108</v>
      </c>
      <c r="C1180" t="s">
        <v>121</v>
      </c>
      <c r="D1180" t="s">
        <v>122</v>
      </c>
      <c r="E1180" t="s">
        <v>148</v>
      </c>
      <c r="F1180" t="s">
        <v>124</v>
      </c>
      <c r="G1180" t="s">
        <v>32</v>
      </c>
      <c r="H1180">
        <v>6.8</v>
      </c>
      <c r="I1180">
        <v>4.2</v>
      </c>
      <c r="J1180" t="s">
        <v>33</v>
      </c>
      <c r="K1180" t="s">
        <v>200</v>
      </c>
      <c r="L1180" t="s">
        <v>126</v>
      </c>
      <c r="M1180" t="s">
        <v>127</v>
      </c>
      <c r="N1180" t="s">
        <v>71</v>
      </c>
      <c r="O1180">
        <v>132</v>
      </c>
      <c r="P1180" t="s">
        <v>112</v>
      </c>
      <c r="Q1180">
        <v>915</v>
      </c>
      <c r="R1180">
        <v>1000</v>
      </c>
      <c r="S1180" t="s">
        <v>73</v>
      </c>
      <c r="T1180" t="s">
        <v>136</v>
      </c>
      <c r="U1180" t="s">
        <v>52</v>
      </c>
      <c r="V1180" t="s">
        <v>52</v>
      </c>
      <c r="W1180" t="s">
        <v>52</v>
      </c>
      <c r="X1180">
        <v>2024</v>
      </c>
      <c r="Y1180" t="s">
        <v>114</v>
      </c>
      <c r="Z1180" t="s">
        <v>41</v>
      </c>
    </row>
    <row r="1181" spans="1:26">
      <c r="A1181" t="s">
        <v>2240</v>
      </c>
      <c r="B1181" t="s">
        <v>27</v>
      </c>
      <c r="C1181" t="s">
        <v>173</v>
      </c>
      <c r="D1181" t="s">
        <v>77</v>
      </c>
      <c r="E1181" t="s">
        <v>94</v>
      </c>
      <c r="F1181" t="s">
        <v>57</v>
      </c>
      <c r="G1181" t="s">
        <v>32</v>
      </c>
      <c r="H1181">
        <v>9.8000000000000007</v>
      </c>
      <c r="I1181">
        <v>5.2</v>
      </c>
      <c r="J1181" t="s">
        <v>33</v>
      </c>
      <c r="K1181" t="s">
        <v>2241</v>
      </c>
      <c r="L1181" t="s">
        <v>60</v>
      </c>
      <c r="M1181" t="s">
        <v>135</v>
      </c>
      <c r="N1181" t="s">
        <v>37</v>
      </c>
      <c r="O1181">
        <v>80</v>
      </c>
      <c r="P1181" t="s">
        <v>2265</v>
      </c>
      <c r="Q1181">
        <v>0</v>
      </c>
      <c r="R1181">
        <v>0</v>
      </c>
      <c r="S1181" t="s">
        <v>2265</v>
      </c>
      <c r="T1181" t="s">
        <v>38</v>
      </c>
      <c r="U1181" t="s">
        <v>39</v>
      </c>
      <c r="V1181" t="s">
        <v>52</v>
      </c>
      <c r="W1181" t="s">
        <v>39</v>
      </c>
      <c r="X1181">
        <v>2022</v>
      </c>
      <c r="Y1181" t="s">
        <v>53</v>
      </c>
      <c r="Z1181" t="s">
        <v>54</v>
      </c>
    </row>
    <row r="1182" spans="1:26">
      <c r="A1182" t="s">
        <v>2242</v>
      </c>
      <c r="B1182" t="s">
        <v>27</v>
      </c>
      <c r="C1182" t="s">
        <v>102</v>
      </c>
      <c r="D1182" t="s">
        <v>29</v>
      </c>
      <c r="E1182" t="s">
        <v>30</v>
      </c>
      <c r="F1182" t="s">
        <v>46</v>
      </c>
      <c r="G1182" t="s">
        <v>58</v>
      </c>
      <c r="H1182">
        <v>5.8</v>
      </c>
      <c r="I1182">
        <v>20.399999999999999</v>
      </c>
      <c r="J1182" t="s">
        <v>33</v>
      </c>
      <c r="K1182" t="s">
        <v>1101</v>
      </c>
      <c r="L1182" t="s">
        <v>98</v>
      </c>
      <c r="M1182" t="s">
        <v>127</v>
      </c>
      <c r="N1182" t="s">
        <v>171</v>
      </c>
      <c r="O1182">
        <v>153</v>
      </c>
      <c r="P1182" t="s">
        <v>2265</v>
      </c>
      <c r="Q1182">
        <v>0</v>
      </c>
      <c r="R1182">
        <v>0</v>
      </c>
      <c r="S1182" t="s">
        <v>2265</v>
      </c>
      <c r="T1182" t="s">
        <v>38</v>
      </c>
      <c r="U1182" t="s">
        <v>52</v>
      </c>
      <c r="V1182" t="s">
        <v>52</v>
      </c>
      <c r="W1182" t="s">
        <v>52</v>
      </c>
      <c r="X1182">
        <v>2024</v>
      </c>
      <c r="Y1182" t="s">
        <v>63</v>
      </c>
      <c r="Z1182" t="s">
        <v>64</v>
      </c>
    </row>
    <row r="1183" spans="1:26">
      <c r="A1183" t="s">
        <v>2243</v>
      </c>
      <c r="B1183" t="s">
        <v>27</v>
      </c>
      <c r="C1183" t="s">
        <v>173</v>
      </c>
      <c r="D1183" t="s">
        <v>29</v>
      </c>
      <c r="E1183" t="s">
        <v>45</v>
      </c>
      <c r="F1183" t="s">
        <v>31</v>
      </c>
      <c r="G1183" t="s">
        <v>32</v>
      </c>
      <c r="H1183">
        <v>8.9</v>
      </c>
      <c r="I1183">
        <v>18.3</v>
      </c>
      <c r="J1183" t="s">
        <v>20</v>
      </c>
      <c r="K1183" t="s">
        <v>1634</v>
      </c>
      <c r="L1183" t="s">
        <v>60</v>
      </c>
      <c r="M1183" t="s">
        <v>1650</v>
      </c>
      <c r="N1183" t="s">
        <v>61</v>
      </c>
      <c r="O1183">
        <v>100</v>
      </c>
      <c r="P1183" t="s">
        <v>2265</v>
      </c>
      <c r="Q1183">
        <v>0</v>
      </c>
      <c r="R1183">
        <v>0</v>
      </c>
      <c r="S1183" t="s">
        <v>2265</v>
      </c>
      <c r="T1183" t="s">
        <v>136</v>
      </c>
      <c r="U1183" t="s">
        <v>39</v>
      </c>
      <c r="V1183" t="s">
        <v>52</v>
      </c>
      <c r="W1183" t="s">
        <v>52</v>
      </c>
      <c r="X1183">
        <v>2023</v>
      </c>
      <c r="Y1183" t="s">
        <v>211</v>
      </c>
      <c r="Z1183" t="s">
        <v>41</v>
      </c>
    </row>
    <row r="1184" spans="1:26">
      <c r="A1184" t="s">
        <v>2244</v>
      </c>
      <c r="B1184" t="s">
        <v>43</v>
      </c>
      <c r="C1184" t="s">
        <v>164</v>
      </c>
      <c r="D1184" t="s">
        <v>77</v>
      </c>
      <c r="E1184" t="s">
        <v>260</v>
      </c>
      <c r="F1184" t="s">
        <v>95</v>
      </c>
      <c r="G1184" t="s">
        <v>32</v>
      </c>
      <c r="H1184">
        <v>1.4</v>
      </c>
      <c r="I1184">
        <v>20.9</v>
      </c>
      <c r="J1184" t="s">
        <v>156</v>
      </c>
      <c r="K1184" t="s">
        <v>1375</v>
      </c>
      <c r="L1184" t="s">
        <v>140</v>
      </c>
      <c r="M1184" t="s">
        <v>80</v>
      </c>
      <c r="N1184" t="s">
        <v>71</v>
      </c>
      <c r="O1184">
        <v>134</v>
      </c>
      <c r="P1184" t="s">
        <v>112</v>
      </c>
      <c r="Q1184">
        <v>7246</v>
      </c>
      <c r="R1184">
        <v>2000</v>
      </c>
      <c r="S1184" t="s">
        <v>73</v>
      </c>
      <c r="T1184" t="s">
        <v>81</v>
      </c>
      <c r="U1184" t="s">
        <v>39</v>
      </c>
      <c r="V1184" t="s">
        <v>52</v>
      </c>
      <c r="W1184" t="s">
        <v>52</v>
      </c>
      <c r="X1184">
        <v>2023</v>
      </c>
      <c r="Y1184" t="s">
        <v>63</v>
      </c>
      <c r="Z1184" t="s">
        <v>64</v>
      </c>
    </row>
    <row r="1185" spans="1:26">
      <c r="A1185" t="s">
        <v>2245</v>
      </c>
      <c r="B1185" t="s">
        <v>93</v>
      </c>
      <c r="C1185" t="s">
        <v>67</v>
      </c>
      <c r="D1185" t="s">
        <v>77</v>
      </c>
      <c r="E1185" t="s">
        <v>78</v>
      </c>
      <c r="F1185" t="s">
        <v>95</v>
      </c>
      <c r="G1185" t="s">
        <v>32</v>
      </c>
      <c r="H1185">
        <v>7</v>
      </c>
      <c r="I1185">
        <v>10.8</v>
      </c>
      <c r="J1185" t="s">
        <v>96</v>
      </c>
      <c r="K1185" t="s">
        <v>378</v>
      </c>
      <c r="L1185" t="s">
        <v>48</v>
      </c>
      <c r="M1185" t="s">
        <v>1317</v>
      </c>
      <c r="N1185" t="s">
        <v>71</v>
      </c>
      <c r="O1185">
        <v>119</v>
      </c>
      <c r="P1185" t="s">
        <v>112</v>
      </c>
      <c r="Q1185">
        <v>5688</v>
      </c>
      <c r="R1185">
        <v>5000</v>
      </c>
      <c r="S1185" t="s">
        <v>90</v>
      </c>
      <c r="T1185" t="s">
        <v>81</v>
      </c>
      <c r="U1185" t="s">
        <v>52</v>
      </c>
      <c r="V1185" t="s">
        <v>52</v>
      </c>
      <c r="W1185" t="s">
        <v>39</v>
      </c>
      <c r="X1185">
        <v>2022</v>
      </c>
      <c r="Y1185" t="s">
        <v>153</v>
      </c>
      <c r="Z1185" t="s">
        <v>54</v>
      </c>
    </row>
    <row r="1186" spans="1:26">
      <c r="A1186" t="s">
        <v>2246</v>
      </c>
      <c r="B1186" t="s">
        <v>27</v>
      </c>
      <c r="C1186" t="s">
        <v>28</v>
      </c>
      <c r="D1186" t="s">
        <v>29</v>
      </c>
      <c r="E1186" t="s">
        <v>45</v>
      </c>
      <c r="F1186" t="s">
        <v>95</v>
      </c>
      <c r="G1186" t="s">
        <v>58</v>
      </c>
      <c r="H1186">
        <v>6.1</v>
      </c>
      <c r="I1186">
        <v>26.4</v>
      </c>
      <c r="J1186" t="s">
        <v>20</v>
      </c>
      <c r="K1186" t="s">
        <v>193</v>
      </c>
      <c r="L1186" t="s">
        <v>126</v>
      </c>
      <c r="M1186" t="s">
        <v>543</v>
      </c>
      <c r="N1186" t="s">
        <v>71</v>
      </c>
      <c r="O1186">
        <v>164</v>
      </c>
      <c r="P1186" t="s">
        <v>105</v>
      </c>
      <c r="Q1186">
        <v>2359</v>
      </c>
      <c r="R1186">
        <v>1000</v>
      </c>
      <c r="S1186" t="s">
        <v>73</v>
      </c>
      <c r="T1186" t="s">
        <v>51</v>
      </c>
      <c r="U1186" t="s">
        <v>39</v>
      </c>
      <c r="V1186" t="s">
        <v>52</v>
      </c>
      <c r="W1186" t="s">
        <v>39</v>
      </c>
      <c r="X1186">
        <v>2023</v>
      </c>
      <c r="Y1186" t="s">
        <v>312</v>
      </c>
      <c r="Z1186" t="s">
        <v>83</v>
      </c>
    </row>
    <row r="1187" spans="1:26">
      <c r="A1187" t="s">
        <v>2247</v>
      </c>
      <c r="B1187" t="s">
        <v>108</v>
      </c>
      <c r="C1187" t="s">
        <v>44</v>
      </c>
      <c r="D1187" t="s">
        <v>77</v>
      </c>
      <c r="E1187" t="s">
        <v>216</v>
      </c>
      <c r="F1187" t="s">
        <v>31</v>
      </c>
      <c r="G1187" t="s">
        <v>58</v>
      </c>
      <c r="H1187">
        <v>4.5</v>
      </c>
      <c r="I1187">
        <v>5.6</v>
      </c>
      <c r="J1187" t="s">
        <v>33</v>
      </c>
      <c r="K1187" t="s">
        <v>583</v>
      </c>
      <c r="L1187" t="s">
        <v>60</v>
      </c>
      <c r="M1187" t="s">
        <v>2248</v>
      </c>
      <c r="N1187" t="s">
        <v>50</v>
      </c>
      <c r="O1187">
        <v>114</v>
      </c>
      <c r="P1187" t="s">
        <v>2265</v>
      </c>
      <c r="Q1187">
        <v>0</v>
      </c>
      <c r="R1187">
        <v>0</v>
      </c>
      <c r="S1187" t="s">
        <v>2265</v>
      </c>
      <c r="T1187" t="s">
        <v>38</v>
      </c>
      <c r="U1187" t="s">
        <v>39</v>
      </c>
      <c r="V1187" t="s">
        <v>52</v>
      </c>
      <c r="W1187" t="s">
        <v>39</v>
      </c>
      <c r="X1187">
        <v>2022</v>
      </c>
      <c r="Y1187" t="s">
        <v>211</v>
      </c>
      <c r="Z1187" t="s">
        <v>41</v>
      </c>
    </row>
    <row r="1188" spans="1:26">
      <c r="A1188" t="s">
        <v>2249</v>
      </c>
      <c r="B1188" t="s">
        <v>27</v>
      </c>
      <c r="C1188" t="s">
        <v>102</v>
      </c>
      <c r="D1188" t="s">
        <v>77</v>
      </c>
      <c r="E1188" t="s">
        <v>220</v>
      </c>
      <c r="F1188" t="s">
        <v>31</v>
      </c>
      <c r="G1188" t="s">
        <v>58</v>
      </c>
      <c r="H1188">
        <v>9</v>
      </c>
      <c r="I1188">
        <v>4.7</v>
      </c>
      <c r="J1188" t="s">
        <v>33</v>
      </c>
      <c r="K1188" t="s">
        <v>879</v>
      </c>
      <c r="L1188" t="s">
        <v>48</v>
      </c>
      <c r="M1188" t="s">
        <v>972</v>
      </c>
      <c r="N1188" t="s">
        <v>71</v>
      </c>
      <c r="O1188">
        <v>50</v>
      </c>
      <c r="P1188" t="s">
        <v>105</v>
      </c>
      <c r="Q1188">
        <v>6232</v>
      </c>
      <c r="R1188">
        <v>0</v>
      </c>
      <c r="S1188" t="s">
        <v>113</v>
      </c>
      <c r="T1188" t="s">
        <v>62</v>
      </c>
      <c r="U1188" t="s">
        <v>52</v>
      </c>
      <c r="V1188" t="s">
        <v>52</v>
      </c>
      <c r="W1188" t="s">
        <v>52</v>
      </c>
      <c r="X1188">
        <v>2023</v>
      </c>
      <c r="Y1188" t="s">
        <v>91</v>
      </c>
      <c r="Z1188" t="s">
        <v>64</v>
      </c>
    </row>
    <row r="1189" spans="1:26">
      <c r="A1189" t="s">
        <v>2250</v>
      </c>
      <c r="B1189" t="s">
        <v>27</v>
      </c>
      <c r="C1189" t="s">
        <v>67</v>
      </c>
      <c r="D1189" t="s">
        <v>122</v>
      </c>
      <c r="E1189" t="s">
        <v>155</v>
      </c>
      <c r="F1189" t="s">
        <v>109</v>
      </c>
      <c r="G1189" t="s">
        <v>58</v>
      </c>
      <c r="H1189">
        <v>0.6</v>
      </c>
      <c r="I1189">
        <v>2.5</v>
      </c>
      <c r="J1189" t="s">
        <v>96</v>
      </c>
      <c r="K1189" t="s">
        <v>1540</v>
      </c>
      <c r="L1189" t="s">
        <v>140</v>
      </c>
      <c r="M1189" t="s">
        <v>1364</v>
      </c>
      <c r="N1189" t="s">
        <v>100</v>
      </c>
      <c r="O1189">
        <v>63</v>
      </c>
      <c r="P1189" t="s">
        <v>2265</v>
      </c>
      <c r="Q1189">
        <v>0</v>
      </c>
      <c r="R1189">
        <v>0</v>
      </c>
      <c r="S1189" t="s">
        <v>2265</v>
      </c>
      <c r="T1189" t="s">
        <v>38</v>
      </c>
      <c r="U1189" t="s">
        <v>39</v>
      </c>
      <c r="V1189" t="s">
        <v>52</v>
      </c>
      <c r="W1189" t="s">
        <v>52</v>
      </c>
      <c r="X1189">
        <v>2022</v>
      </c>
      <c r="Y1189" t="s">
        <v>114</v>
      </c>
      <c r="Z1189" t="s">
        <v>41</v>
      </c>
    </row>
    <row r="1190" spans="1:26">
      <c r="A1190" t="s">
        <v>2251</v>
      </c>
      <c r="B1190" t="s">
        <v>66</v>
      </c>
      <c r="C1190" t="s">
        <v>121</v>
      </c>
      <c r="D1190" t="s">
        <v>77</v>
      </c>
      <c r="E1190" t="s">
        <v>216</v>
      </c>
      <c r="F1190" t="s">
        <v>124</v>
      </c>
      <c r="G1190" t="s">
        <v>32</v>
      </c>
      <c r="H1190">
        <v>4.9000000000000004</v>
      </c>
      <c r="I1190">
        <v>31.7</v>
      </c>
      <c r="J1190" t="s">
        <v>96</v>
      </c>
      <c r="K1190" t="s">
        <v>2252</v>
      </c>
      <c r="L1190" t="s">
        <v>126</v>
      </c>
      <c r="M1190" t="s">
        <v>509</v>
      </c>
      <c r="N1190" t="s">
        <v>50</v>
      </c>
      <c r="O1190">
        <v>55</v>
      </c>
      <c r="P1190" t="s">
        <v>2265</v>
      </c>
      <c r="Q1190">
        <v>0</v>
      </c>
      <c r="R1190">
        <v>0</v>
      </c>
      <c r="S1190" t="s">
        <v>2265</v>
      </c>
      <c r="T1190" t="s">
        <v>81</v>
      </c>
      <c r="U1190" t="s">
        <v>52</v>
      </c>
      <c r="V1190" t="s">
        <v>39</v>
      </c>
      <c r="W1190" t="s">
        <v>52</v>
      </c>
      <c r="X1190">
        <v>2023</v>
      </c>
      <c r="Y1190" t="s">
        <v>114</v>
      </c>
      <c r="Z1190" t="s">
        <v>41</v>
      </c>
    </row>
    <row r="1191" spans="1:26">
      <c r="A1191" t="s">
        <v>2253</v>
      </c>
      <c r="B1191" t="s">
        <v>116</v>
      </c>
      <c r="C1191" t="s">
        <v>76</v>
      </c>
      <c r="D1191" t="s">
        <v>122</v>
      </c>
      <c r="E1191" t="s">
        <v>202</v>
      </c>
      <c r="F1191" t="s">
        <v>46</v>
      </c>
      <c r="G1191" t="s">
        <v>32</v>
      </c>
      <c r="H1191">
        <v>4.3</v>
      </c>
      <c r="I1191">
        <v>28</v>
      </c>
      <c r="J1191" t="s">
        <v>96</v>
      </c>
      <c r="K1191" t="s">
        <v>1755</v>
      </c>
      <c r="L1191" t="s">
        <v>126</v>
      </c>
      <c r="M1191" t="s">
        <v>1542</v>
      </c>
      <c r="N1191" t="s">
        <v>37</v>
      </c>
      <c r="O1191">
        <v>146</v>
      </c>
      <c r="P1191" t="s">
        <v>2265</v>
      </c>
      <c r="Q1191">
        <v>0</v>
      </c>
      <c r="R1191">
        <v>0</v>
      </c>
      <c r="S1191" t="s">
        <v>2265</v>
      </c>
      <c r="T1191" t="s">
        <v>38</v>
      </c>
      <c r="U1191" t="s">
        <v>39</v>
      </c>
      <c r="V1191" t="s">
        <v>52</v>
      </c>
      <c r="W1191" t="s">
        <v>52</v>
      </c>
      <c r="X1191">
        <v>2024</v>
      </c>
      <c r="Y1191" t="s">
        <v>74</v>
      </c>
      <c r="Z1191" t="s">
        <v>54</v>
      </c>
    </row>
    <row r="1192" spans="1:26">
      <c r="A1192" t="s">
        <v>2254</v>
      </c>
      <c r="B1192" t="s">
        <v>43</v>
      </c>
      <c r="C1192" t="s">
        <v>121</v>
      </c>
      <c r="D1192" t="s">
        <v>77</v>
      </c>
      <c r="E1192" t="s">
        <v>363</v>
      </c>
      <c r="F1192" t="s">
        <v>31</v>
      </c>
      <c r="G1192" t="s">
        <v>58</v>
      </c>
      <c r="H1192">
        <v>10.3</v>
      </c>
      <c r="I1192">
        <v>28.8</v>
      </c>
      <c r="J1192" t="s">
        <v>33</v>
      </c>
      <c r="K1192" t="s">
        <v>1529</v>
      </c>
      <c r="L1192" t="s">
        <v>60</v>
      </c>
      <c r="M1192" t="s">
        <v>770</v>
      </c>
      <c r="N1192" t="s">
        <v>171</v>
      </c>
      <c r="O1192">
        <v>167</v>
      </c>
      <c r="P1192" t="s">
        <v>2265</v>
      </c>
      <c r="Q1192">
        <v>0</v>
      </c>
      <c r="R1192">
        <v>0</v>
      </c>
      <c r="S1192" t="s">
        <v>2265</v>
      </c>
      <c r="T1192" t="s">
        <v>38</v>
      </c>
      <c r="U1192" t="s">
        <v>39</v>
      </c>
      <c r="V1192" t="s">
        <v>52</v>
      </c>
      <c r="W1192" t="s">
        <v>52</v>
      </c>
      <c r="X1192">
        <v>2022</v>
      </c>
      <c r="Y1192" t="s">
        <v>153</v>
      </c>
      <c r="Z1192" t="s">
        <v>54</v>
      </c>
    </row>
    <row r="1193" spans="1:26">
      <c r="A1193" t="s">
        <v>2255</v>
      </c>
      <c r="B1193" t="s">
        <v>116</v>
      </c>
      <c r="C1193" t="s">
        <v>164</v>
      </c>
      <c r="D1193" t="s">
        <v>77</v>
      </c>
      <c r="E1193" t="s">
        <v>94</v>
      </c>
      <c r="F1193" t="s">
        <v>109</v>
      </c>
      <c r="G1193" t="s">
        <v>32</v>
      </c>
      <c r="H1193">
        <v>5.7</v>
      </c>
      <c r="I1193">
        <v>6.8</v>
      </c>
      <c r="J1193" t="s">
        <v>96</v>
      </c>
      <c r="K1193" t="s">
        <v>759</v>
      </c>
      <c r="L1193" t="s">
        <v>98</v>
      </c>
      <c r="M1193" t="s">
        <v>1034</v>
      </c>
      <c r="N1193" t="s">
        <v>71</v>
      </c>
      <c r="O1193">
        <v>169</v>
      </c>
      <c r="P1193" t="s">
        <v>112</v>
      </c>
      <c r="Q1193">
        <v>7162</v>
      </c>
      <c r="R1193">
        <v>0</v>
      </c>
      <c r="S1193" t="s">
        <v>90</v>
      </c>
      <c r="T1193" t="s">
        <v>38</v>
      </c>
      <c r="U1193" t="s">
        <v>39</v>
      </c>
      <c r="V1193" t="s">
        <v>39</v>
      </c>
      <c r="W1193" t="s">
        <v>52</v>
      </c>
      <c r="X1193">
        <v>2022</v>
      </c>
      <c r="Y1193" t="s">
        <v>312</v>
      </c>
      <c r="Z1193" t="s">
        <v>83</v>
      </c>
    </row>
    <row r="1194" spans="1:26">
      <c r="A1194" t="s">
        <v>2256</v>
      </c>
      <c r="B1194" t="s">
        <v>108</v>
      </c>
      <c r="C1194" t="s">
        <v>28</v>
      </c>
      <c r="D1194" t="s">
        <v>77</v>
      </c>
      <c r="E1194" t="s">
        <v>143</v>
      </c>
      <c r="F1194" t="s">
        <v>238</v>
      </c>
      <c r="G1194" t="s">
        <v>58</v>
      </c>
      <c r="H1194">
        <v>0.9</v>
      </c>
      <c r="I1194">
        <v>24.8</v>
      </c>
      <c r="J1194" t="s">
        <v>20</v>
      </c>
      <c r="K1194" t="s">
        <v>299</v>
      </c>
      <c r="L1194" t="s">
        <v>98</v>
      </c>
      <c r="M1194" t="s">
        <v>1523</v>
      </c>
      <c r="N1194" t="s">
        <v>61</v>
      </c>
      <c r="O1194">
        <v>66</v>
      </c>
      <c r="P1194" t="s">
        <v>2265</v>
      </c>
      <c r="Q1194">
        <v>0</v>
      </c>
      <c r="R1194">
        <v>0</v>
      </c>
      <c r="S1194" t="s">
        <v>2265</v>
      </c>
      <c r="T1194" t="s">
        <v>136</v>
      </c>
      <c r="U1194" t="s">
        <v>39</v>
      </c>
      <c r="V1194" t="s">
        <v>52</v>
      </c>
      <c r="W1194" t="s">
        <v>52</v>
      </c>
      <c r="X1194">
        <v>2024</v>
      </c>
      <c r="Y1194" t="s">
        <v>82</v>
      </c>
      <c r="Z1194" t="s">
        <v>83</v>
      </c>
    </row>
    <row r="1195" spans="1:26">
      <c r="A1195" t="s">
        <v>2257</v>
      </c>
      <c r="B1195" t="s">
        <v>116</v>
      </c>
      <c r="C1195" t="s">
        <v>76</v>
      </c>
      <c r="D1195" t="s">
        <v>122</v>
      </c>
      <c r="E1195" t="s">
        <v>202</v>
      </c>
      <c r="F1195" t="s">
        <v>124</v>
      </c>
      <c r="G1195" t="s">
        <v>58</v>
      </c>
      <c r="H1195">
        <v>0.6</v>
      </c>
      <c r="I1195">
        <v>13.4</v>
      </c>
      <c r="J1195" t="s">
        <v>33</v>
      </c>
      <c r="K1195" t="s">
        <v>2252</v>
      </c>
      <c r="L1195" t="s">
        <v>126</v>
      </c>
      <c r="M1195" t="s">
        <v>1562</v>
      </c>
      <c r="N1195" t="s">
        <v>61</v>
      </c>
      <c r="O1195">
        <v>105</v>
      </c>
      <c r="P1195" t="s">
        <v>2265</v>
      </c>
      <c r="Q1195">
        <v>0</v>
      </c>
      <c r="R1195">
        <v>0</v>
      </c>
      <c r="S1195" t="s">
        <v>2265</v>
      </c>
      <c r="T1195" t="s">
        <v>81</v>
      </c>
      <c r="U1195" t="s">
        <v>39</v>
      </c>
      <c r="V1195" t="s">
        <v>52</v>
      </c>
      <c r="W1195" t="s">
        <v>52</v>
      </c>
      <c r="X1195">
        <v>2023</v>
      </c>
      <c r="Y1195" t="s">
        <v>114</v>
      </c>
      <c r="Z1195" t="s">
        <v>41</v>
      </c>
    </row>
    <row r="1196" spans="1:26">
      <c r="A1196" t="s">
        <v>2258</v>
      </c>
      <c r="B1196" t="s">
        <v>66</v>
      </c>
      <c r="C1196" t="s">
        <v>173</v>
      </c>
      <c r="D1196" t="s">
        <v>77</v>
      </c>
      <c r="E1196" t="s">
        <v>94</v>
      </c>
      <c r="F1196" t="s">
        <v>149</v>
      </c>
      <c r="G1196" t="s">
        <v>58</v>
      </c>
      <c r="H1196">
        <v>1.3</v>
      </c>
      <c r="I1196">
        <v>22.4</v>
      </c>
      <c r="J1196" t="s">
        <v>20</v>
      </c>
      <c r="K1196" t="s">
        <v>2259</v>
      </c>
      <c r="L1196" t="s">
        <v>140</v>
      </c>
      <c r="M1196" t="s">
        <v>165</v>
      </c>
      <c r="N1196" t="s">
        <v>71</v>
      </c>
      <c r="O1196">
        <v>109</v>
      </c>
      <c r="P1196" t="s">
        <v>89</v>
      </c>
      <c r="Q1196">
        <v>7170</v>
      </c>
      <c r="R1196">
        <v>5000</v>
      </c>
      <c r="S1196" t="s">
        <v>152</v>
      </c>
      <c r="T1196" t="s">
        <v>81</v>
      </c>
      <c r="U1196" t="s">
        <v>39</v>
      </c>
      <c r="V1196" t="s">
        <v>52</v>
      </c>
      <c r="W1196" t="s">
        <v>52</v>
      </c>
      <c r="X1196">
        <v>2023</v>
      </c>
      <c r="Y1196" t="s">
        <v>312</v>
      </c>
      <c r="Z1196" t="s">
        <v>83</v>
      </c>
    </row>
    <row r="1197" spans="1:26">
      <c r="A1197" t="s">
        <v>2260</v>
      </c>
      <c r="B1197" t="s">
        <v>66</v>
      </c>
      <c r="C1197" t="s">
        <v>76</v>
      </c>
      <c r="D1197" t="s">
        <v>77</v>
      </c>
      <c r="E1197" t="s">
        <v>220</v>
      </c>
      <c r="F1197" t="s">
        <v>31</v>
      </c>
      <c r="G1197" t="s">
        <v>58</v>
      </c>
      <c r="H1197">
        <v>3.2</v>
      </c>
      <c r="I1197">
        <v>26.6</v>
      </c>
      <c r="J1197" t="s">
        <v>33</v>
      </c>
      <c r="K1197" t="s">
        <v>1413</v>
      </c>
      <c r="L1197" t="s">
        <v>140</v>
      </c>
      <c r="M1197" t="s">
        <v>1234</v>
      </c>
      <c r="N1197" t="s">
        <v>100</v>
      </c>
      <c r="O1197">
        <v>127</v>
      </c>
      <c r="P1197" t="s">
        <v>2265</v>
      </c>
      <c r="Q1197">
        <v>0</v>
      </c>
      <c r="R1197">
        <v>0</v>
      </c>
      <c r="S1197" t="s">
        <v>2265</v>
      </c>
      <c r="T1197" t="s">
        <v>62</v>
      </c>
      <c r="U1197" t="s">
        <v>39</v>
      </c>
      <c r="V1197" t="s">
        <v>52</v>
      </c>
      <c r="W1197" t="s">
        <v>52</v>
      </c>
      <c r="X1197">
        <v>2024</v>
      </c>
      <c r="Y1197" t="s">
        <v>53</v>
      </c>
      <c r="Z1197" t="s">
        <v>54</v>
      </c>
    </row>
    <row r="1198" spans="1:26">
      <c r="A1198" t="s">
        <v>2261</v>
      </c>
      <c r="B1198" t="s">
        <v>27</v>
      </c>
      <c r="C1198" t="s">
        <v>121</v>
      </c>
      <c r="D1198" t="s">
        <v>29</v>
      </c>
      <c r="E1198" t="s">
        <v>195</v>
      </c>
      <c r="F1198" t="s">
        <v>68</v>
      </c>
      <c r="G1198" t="s">
        <v>32</v>
      </c>
      <c r="H1198">
        <v>10</v>
      </c>
      <c r="I1198">
        <v>27</v>
      </c>
      <c r="J1198" t="s">
        <v>33</v>
      </c>
      <c r="K1198" t="s">
        <v>1708</v>
      </c>
      <c r="L1198" t="s">
        <v>126</v>
      </c>
      <c r="M1198" t="s">
        <v>1221</v>
      </c>
      <c r="N1198" t="s">
        <v>71</v>
      </c>
      <c r="O1198">
        <v>90</v>
      </c>
      <c r="P1198" t="s">
        <v>72</v>
      </c>
      <c r="Q1198">
        <v>4395</v>
      </c>
      <c r="R1198">
        <v>0</v>
      </c>
      <c r="S1198" t="s">
        <v>113</v>
      </c>
      <c r="T1198" t="s">
        <v>38</v>
      </c>
      <c r="U1198" t="s">
        <v>52</v>
      </c>
      <c r="V1198" t="s">
        <v>52</v>
      </c>
      <c r="W1198" t="s">
        <v>39</v>
      </c>
      <c r="X1198">
        <v>2023</v>
      </c>
      <c r="Y1198" t="s">
        <v>91</v>
      </c>
      <c r="Z1198" t="s">
        <v>64</v>
      </c>
    </row>
    <row r="1199" spans="1:26">
      <c r="A1199" t="s">
        <v>2262</v>
      </c>
      <c r="B1199" t="s">
        <v>27</v>
      </c>
      <c r="C1199" t="s">
        <v>28</v>
      </c>
      <c r="D1199" t="s">
        <v>29</v>
      </c>
      <c r="E1199" t="s">
        <v>195</v>
      </c>
      <c r="F1199" t="s">
        <v>109</v>
      </c>
      <c r="G1199" t="s">
        <v>32</v>
      </c>
      <c r="H1199">
        <v>11.4</v>
      </c>
      <c r="I1199">
        <v>20.9</v>
      </c>
      <c r="J1199" t="s">
        <v>33</v>
      </c>
      <c r="K1199" t="s">
        <v>240</v>
      </c>
      <c r="L1199" t="s">
        <v>140</v>
      </c>
      <c r="M1199" t="s">
        <v>491</v>
      </c>
      <c r="N1199" t="s">
        <v>71</v>
      </c>
      <c r="O1199">
        <v>70</v>
      </c>
      <c r="P1199" t="s">
        <v>112</v>
      </c>
      <c r="Q1199">
        <v>2331</v>
      </c>
      <c r="R1199">
        <v>0</v>
      </c>
      <c r="S1199" t="s">
        <v>90</v>
      </c>
      <c r="T1199" t="s">
        <v>51</v>
      </c>
      <c r="U1199" t="s">
        <v>39</v>
      </c>
      <c r="V1199" t="s">
        <v>52</v>
      </c>
      <c r="W1199" t="s">
        <v>52</v>
      </c>
      <c r="X1199">
        <v>2024</v>
      </c>
      <c r="Y1199" t="s">
        <v>82</v>
      </c>
      <c r="Z1199" t="s">
        <v>83</v>
      </c>
    </row>
    <row r="1200" spans="1:26">
      <c r="A1200" t="s">
        <v>2263</v>
      </c>
      <c r="B1200" t="s">
        <v>66</v>
      </c>
      <c r="C1200" t="s">
        <v>76</v>
      </c>
      <c r="D1200" t="s">
        <v>77</v>
      </c>
      <c r="E1200" t="s">
        <v>94</v>
      </c>
      <c r="F1200" t="s">
        <v>31</v>
      </c>
      <c r="G1200" t="s">
        <v>58</v>
      </c>
      <c r="H1200">
        <v>10</v>
      </c>
      <c r="I1200">
        <v>3.8</v>
      </c>
      <c r="J1200" t="s">
        <v>20</v>
      </c>
      <c r="K1200" t="s">
        <v>2119</v>
      </c>
      <c r="L1200" t="s">
        <v>35</v>
      </c>
      <c r="M1200" t="s">
        <v>1650</v>
      </c>
      <c r="N1200" t="s">
        <v>50</v>
      </c>
      <c r="O1200">
        <v>122</v>
      </c>
      <c r="P1200" t="s">
        <v>2265</v>
      </c>
      <c r="Q1200">
        <v>0</v>
      </c>
      <c r="R1200">
        <v>0</v>
      </c>
      <c r="S1200" t="s">
        <v>2265</v>
      </c>
      <c r="T1200" t="s">
        <v>51</v>
      </c>
      <c r="U1200" t="s">
        <v>39</v>
      </c>
      <c r="V1200" t="s">
        <v>52</v>
      </c>
      <c r="W1200" t="s">
        <v>52</v>
      </c>
      <c r="X1200">
        <v>2023</v>
      </c>
      <c r="Y1200" t="s">
        <v>211</v>
      </c>
      <c r="Z1200" t="s">
        <v>41</v>
      </c>
    </row>
    <row r="1201" spans="1:26">
      <c r="A1201" t="s">
        <v>2264</v>
      </c>
      <c r="B1201" t="s">
        <v>93</v>
      </c>
      <c r="C1201" t="s">
        <v>28</v>
      </c>
      <c r="D1201" t="s">
        <v>77</v>
      </c>
      <c r="E1201" t="s">
        <v>216</v>
      </c>
      <c r="F1201" t="s">
        <v>68</v>
      </c>
      <c r="G1201" t="s">
        <v>58</v>
      </c>
      <c r="H1201">
        <v>9.5</v>
      </c>
      <c r="I1201">
        <v>34</v>
      </c>
      <c r="J1201" t="s">
        <v>33</v>
      </c>
      <c r="K1201" t="s">
        <v>935</v>
      </c>
      <c r="L1201" t="s">
        <v>140</v>
      </c>
      <c r="M1201" t="s">
        <v>348</v>
      </c>
      <c r="N1201" t="s">
        <v>71</v>
      </c>
      <c r="O1201">
        <v>102</v>
      </c>
      <c r="P1201" t="s">
        <v>230</v>
      </c>
      <c r="Q1201">
        <v>5856</v>
      </c>
      <c r="R1201">
        <v>0</v>
      </c>
      <c r="S1201" t="s">
        <v>152</v>
      </c>
      <c r="T1201" t="s">
        <v>136</v>
      </c>
      <c r="U1201" t="s">
        <v>52</v>
      </c>
      <c r="V1201" t="s">
        <v>39</v>
      </c>
      <c r="W1201" t="s">
        <v>39</v>
      </c>
      <c r="X1201">
        <v>2022</v>
      </c>
      <c r="Y1201" t="s">
        <v>114</v>
      </c>
      <c r="Z1201" t="s">
        <v>41</v>
      </c>
    </row>
  </sheetData>
  <conditionalFormatting sqref="N1:N1048576">
    <cfRule type="containsText" dxfId="1151" priority="11" operator="containsText" text="Fostered">
      <formula>NOT(ISERROR(SEARCH("Fostered",N1)))</formula>
    </cfRule>
    <cfRule type="containsText" dxfId="1150" priority="12" operator="containsText" text="Adopted">
      <formula>NOT(ISERROR(SEARCH("Adopted",N1)))</formula>
    </cfRule>
    <cfRule type="containsText" dxfId="1149" priority="13" operator="containsText" text="Returned to Owner">
      <formula>NOT(ISERROR(SEARCH("Returned to Owner",N1)))</formula>
    </cfRule>
  </conditionalFormatting>
  <conditionalFormatting sqref="O1:O1048576">
    <cfRule type="dataBar" priority="1">
      <dataBar>
        <cfvo type="min"/>
        <cfvo type="max"/>
        <color rgb="FF638EC6"/>
      </dataBar>
      <extLst>
        <ext xmlns:x14="http://schemas.microsoft.com/office/spreadsheetml/2009/9/main" uri="{B025F937-C7B1-47D3-B67F-A62EFF666E3E}">
          <x14:id>{02A6A09D-49F6-48FC-AA85-7786062F1037}</x14:id>
        </ext>
      </extLst>
    </cfRule>
  </conditionalFormatting>
  <conditionalFormatting sqref="Q1:Q1048576">
    <cfRule type="dataBar" priority="10">
      <dataBar>
        <cfvo type="min"/>
        <cfvo type="max"/>
        <color rgb="FF63C384"/>
      </dataBar>
      <extLst>
        <ext xmlns:x14="http://schemas.microsoft.com/office/spreadsheetml/2009/9/main" uri="{B025F937-C7B1-47D3-B67F-A62EFF666E3E}">
          <x14:id>{3869CD61-4C4C-420D-8539-0C93A5359B5A}</x14:id>
        </ext>
      </extLst>
    </cfRule>
  </conditionalFormatting>
  <conditionalFormatting sqref="R1:R1048576">
    <cfRule type="dataBar" priority="8">
      <dataBar>
        <cfvo type="min"/>
        <cfvo type="max"/>
        <color rgb="FF63C384"/>
      </dataBar>
      <extLst>
        <ext xmlns:x14="http://schemas.microsoft.com/office/spreadsheetml/2009/9/main" uri="{B025F937-C7B1-47D3-B67F-A62EFF666E3E}">
          <x14:id>{B268FD4E-8BB6-4D80-BAD9-EF4E9D209879}</x14:id>
        </ext>
      </extLst>
    </cfRule>
  </conditionalFormatting>
  <conditionalFormatting sqref="U1:W1048576">
    <cfRule type="containsText" dxfId="1148" priority="2" operator="containsText" text="No">
      <formula>NOT(ISERROR(SEARCH("No",U1)))</formula>
    </cfRule>
    <cfRule type="containsText" dxfId="1147" priority="3" operator="containsText" text="Yes">
      <formula>NOT(ISERROR(SEARCH("Yes",U1)))</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02A6A09D-49F6-48FC-AA85-7786062F1037}">
            <x14:dataBar minLength="0" maxLength="100" border="1" negativeBarBorderColorSameAsPositive="0">
              <x14:cfvo type="autoMin"/>
              <x14:cfvo type="autoMax"/>
              <x14:borderColor rgb="FF638EC6"/>
              <x14:negativeFillColor rgb="FFFF0000"/>
              <x14:negativeBorderColor rgb="FFFF0000"/>
              <x14:axisColor rgb="FF000000"/>
            </x14:dataBar>
          </x14:cfRule>
          <xm:sqref>O1:O1048576</xm:sqref>
        </x14:conditionalFormatting>
        <x14:conditionalFormatting xmlns:xm="http://schemas.microsoft.com/office/excel/2006/main">
          <x14:cfRule type="dataBar" id="{3869CD61-4C4C-420D-8539-0C93A5359B5A}">
            <x14:dataBar minLength="0" maxLength="100" border="1" negativeBarBorderColorSameAsPositive="0">
              <x14:cfvo type="autoMin"/>
              <x14:cfvo type="autoMax"/>
              <x14:borderColor rgb="FF63C384"/>
              <x14:negativeFillColor rgb="FFFF0000"/>
              <x14:negativeBorderColor rgb="FFFF0000"/>
              <x14:axisColor rgb="FF000000"/>
            </x14:dataBar>
          </x14:cfRule>
          <xm:sqref>Q1:Q1048576</xm:sqref>
        </x14:conditionalFormatting>
        <x14:conditionalFormatting xmlns:xm="http://schemas.microsoft.com/office/excel/2006/main">
          <x14:cfRule type="dataBar" id="{B268FD4E-8BB6-4D80-BAD9-EF4E9D209879}">
            <x14:dataBar minLength="0" maxLength="100" border="1" negativeBarBorderColorSameAsPositive="0">
              <x14:cfvo type="autoMin"/>
              <x14:cfvo type="autoMax"/>
              <x14:borderColor rgb="FF63C384"/>
              <x14:negativeFillColor rgb="FFFF0000"/>
              <x14:negativeBorderColor rgb="FFFF0000"/>
              <x14:axisColor rgb="FF000000"/>
            </x14:dataBar>
          </x14:cfRule>
          <xm:sqref>R1:R1048576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375FB-521F-4982-B692-CBE56182AC6F}">
  <sheetPr>
    <tabColor theme="4" tint="-0.249977111117893"/>
  </sheetPr>
  <dimension ref="A1:M19"/>
  <sheetViews>
    <sheetView zoomScale="92" workbookViewId="0">
      <selection activeCell="K24" sqref="K24"/>
    </sheetView>
  </sheetViews>
  <sheetFormatPr defaultRowHeight="14.4"/>
  <cols>
    <col min="1" max="1" width="21.5546875" customWidth="1"/>
    <col min="2" max="2" width="16.6640625" customWidth="1"/>
    <col min="3" max="4" width="21.88671875" customWidth="1"/>
    <col min="8" max="8" width="35.44140625" bestFit="1" customWidth="1"/>
    <col min="9" max="9" width="10.5546875" customWidth="1"/>
    <col min="10" max="10" width="13.88671875" bestFit="1" customWidth="1"/>
    <col min="13" max="13" width="8.77734375" customWidth="1"/>
  </cols>
  <sheetData>
    <row r="1" spans="1:13" ht="25.8">
      <c r="A1" s="38" t="s">
        <v>2270</v>
      </c>
      <c r="B1" s="38"/>
      <c r="C1" s="38"/>
      <c r="D1" s="38"/>
      <c r="E1" s="38"/>
      <c r="F1" s="38"/>
      <c r="G1" s="38"/>
      <c r="H1" s="38"/>
      <c r="I1" s="38"/>
      <c r="J1" s="38"/>
      <c r="K1" s="38"/>
      <c r="L1" s="38"/>
      <c r="M1" s="2"/>
    </row>
    <row r="2" spans="1:13" ht="15.6">
      <c r="A2" s="39" t="s">
        <v>2266</v>
      </c>
      <c r="B2" s="39" t="s">
        <v>4</v>
      </c>
      <c r="C2" s="39" t="s">
        <v>2267</v>
      </c>
      <c r="D2" s="39" t="s">
        <v>2268</v>
      </c>
      <c r="E2" s="39" t="s">
        <v>2269</v>
      </c>
      <c r="F2" s="3"/>
      <c r="G2" s="3"/>
      <c r="H2" s="3"/>
      <c r="I2" s="3"/>
      <c r="J2" s="3"/>
      <c r="K2" s="3"/>
      <c r="L2" s="3"/>
    </row>
    <row r="3" spans="1:13" ht="25.8">
      <c r="A3" t="s">
        <v>55</v>
      </c>
      <c r="B3" t="str">
        <f>VLOOKUP(A3,'Cleaned data'!$A:$Y,5,0)</f>
        <v>Bengal</v>
      </c>
      <c r="C3" t="str">
        <f>VLOOKUP(A3,'Cleaned data'!$A:$Y,10,0)</f>
        <v>Vaccinated</v>
      </c>
      <c r="D3" t="str">
        <f>VLOOKUP(A3,'Cleaned data'!$A:$Y,10,0)</f>
        <v>Vaccinated</v>
      </c>
      <c r="E3">
        <f>_xlfn.XLOOKUP(A3,'Cleaned data'!$A:$A,'Cleaned data'!$H:$H,"Not Found")</f>
        <v>9.6999999999999993</v>
      </c>
      <c r="H3" s="10" t="s">
        <v>2292</v>
      </c>
      <c r="I3" t="s">
        <v>2293</v>
      </c>
      <c r="J3" s="8" t="s">
        <v>2281</v>
      </c>
    </row>
    <row r="4" spans="1:13" ht="18">
      <c r="A4" t="s">
        <v>65</v>
      </c>
      <c r="B4" t="str">
        <f>VLOOKUP(A4,'Cleaned data'!$A:$Y,5,0)</f>
        <v>Persian</v>
      </c>
      <c r="C4" t="str">
        <f>VLOOKUP(A4,'Cleaned data'!$A:$Y,10,0)</f>
        <v>Healthy</v>
      </c>
      <c r="D4" t="str">
        <f>VLOOKUP(A4,'Cleaned data'!$A:$Y,10,0)</f>
        <v>Healthy</v>
      </c>
      <c r="E4">
        <f>_xlfn.XLOOKUP(A4,'Cleaned data'!$A:$A,'Cleaned data'!$H:$H,"Not Found")</f>
        <v>1.3</v>
      </c>
      <c r="H4" s="4" t="s">
        <v>2272</v>
      </c>
      <c r="I4">
        <f>SUM('Cleaned data'!Q:Q)</f>
        <v>1870835</v>
      </c>
      <c r="J4" s="9" t="s">
        <v>2278</v>
      </c>
      <c r="K4" s="5"/>
    </row>
    <row r="5" spans="1:13" ht="18">
      <c r="A5" t="s">
        <v>75</v>
      </c>
      <c r="B5" t="str">
        <f>VLOOKUP(A5,'Cleaned data'!$A:$Y,5,0)</f>
        <v>Husky</v>
      </c>
      <c r="C5" t="str">
        <f>VLOOKUP(A5,'Cleaned data'!$A:$Y,10,0)</f>
        <v>Healthy</v>
      </c>
      <c r="D5" t="str">
        <f>VLOOKUP(A5,'Cleaned data'!$A:$Y,10,0)</f>
        <v>Healthy</v>
      </c>
      <c r="E5">
        <f>_xlfn.XLOOKUP(A5,'Cleaned data'!$A:$A,'Cleaned data'!$H:$H,"Not Found")</f>
        <v>10.1</v>
      </c>
      <c r="H5" s="4" t="s">
        <v>2274</v>
      </c>
      <c r="I5">
        <f>SUM('Cleaned data'!R:R)</f>
        <v>687500</v>
      </c>
      <c r="J5" s="9"/>
    </row>
    <row r="6" spans="1:13" ht="18">
      <c r="A6" t="s">
        <v>84</v>
      </c>
      <c r="B6" t="str">
        <f>VLOOKUP(A6,'Cleaned data'!$A:$Y,5,0)</f>
        <v>Lovebird</v>
      </c>
      <c r="C6" t="str">
        <f>VLOOKUP(A6,'Cleaned data'!$A:$Y,10,0)</f>
        <v>Healthy</v>
      </c>
      <c r="D6" t="str">
        <f>VLOOKUP(A6,'Cleaned data'!$A:$Y,10,0)</f>
        <v>Healthy</v>
      </c>
      <c r="E6">
        <f>_xlfn.XLOOKUP(A6,'Cleaned data'!$A:$A,'Cleaned data'!$H:$H,"Not Found")</f>
        <v>6.8</v>
      </c>
      <c r="H6" s="4" t="s">
        <v>2273</v>
      </c>
      <c r="I6">
        <f>COUNTIF('Cleaned data'!J:J, "Healthy")</f>
        <v>560</v>
      </c>
      <c r="J6" s="9" t="s">
        <v>2278</v>
      </c>
    </row>
    <row r="7" spans="1:13" ht="18">
      <c r="A7" t="s">
        <v>92</v>
      </c>
      <c r="B7" t="str">
        <f>VLOOKUP(A7,'Cleaned data'!$A:$Y,5,0)</f>
        <v>Mixed Breed</v>
      </c>
      <c r="C7" t="str">
        <f>VLOOKUP(A7,'Cleaned data'!$A:$Y,10,0)</f>
        <v>Recovering</v>
      </c>
      <c r="D7" t="str">
        <f>VLOOKUP(A7,'Cleaned data'!$A:$Y,10,0)</f>
        <v>Recovering</v>
      </c>
      <c r="E7">
        <f>_xlfn.XLOOKUP(A7,'Cleaned data'!$A:$A,'Cleaned data'!$H:$H,"Not Found")</f>
        <v>7.2</v>
      </c>
      <c r="H7" s="4" t="s">
        <v>2271</v>
      </c>
      <c r="I7">
        <f>COUNTIF('Cleaned data'!N:N, "Adopted")</f>
        <v>459</v>
      </c>
      <c r="J7" s="9" t="s">
        <v>2279</v>
      </c>
    </row>
    <row r="8" spans="1:13" ht="18">
      <c r="A8" t="s">
        <v>101</v>
      </c>
      <c r="B8" t="str">
        <f>VLOOKUP(A8,'Cleaned data'!$A:$Y,5,0)</f>
        <v>Husky</v>
      </c>
      <c r="C8" t="str">
        <f>VLOOKUP(A8,'Cleaned data'!$A:$Y,10,0)</f>
        <v>Recovering</v>
      </c>
      <c r="D8" t="str">
        <f>VLOOKUP(A8,'Cleaned data'!$A:$Y,10,0)</f>
        <v>Recovering</v>
      </c>
      <c r="E8">
        <f>_xlfn.XLOOKUP(A8,'Cleaned data'!$A:$A,'Cleaned data'!$H:$H,"Not Found")</f>
        <v>10.5</v>
      </c>
      <c r="H8" s="4" t="s">
        <v>2275</v>
      </c>
      <c r="I8">
        <f>COUNTIF('Cleaned data'!N:N, "Returned to Owner")</f>
        <v>173</v>
      </c>
      <c r="J8" s="9" t="s">
        <v>2278</v>
      </c>
    </row>
    <row r="9" spans="1:13" ht="18">
      <c r="A9" t="s">
        <v>107</v>
      </c>
      <c r="B9" t="str">
        <f>VLOOKUP(A9,'Cleaned data'!$A:$Y,5,0)</f>
        <v>Bengal</v>
      </c>
      <c r="C9" t="str">
        <f>VLOOKUP(A9,'Cleaned data'!$A:$Y,10,0)</f>
        <v>Healthy</v>
      </c>
      <c r="D9" t="str">
        <f>VLOOKUP(A9,'Cleaned data'!$A:$Y,10,0)</f>
        <v>Healthy</v>
      </c>
      <c r="E9">
        <f>_xlfn.XLOOKUP(A9,'Cleaned data'!$A:$A,'Cleaned data'!$H:$H,"Not Found")</f>
        <v>11.4</v>
      </c>
      <c r="H9" s="4" t="s">
        <v>2277</v>
      </c>
      <c r="I9">
        <f>COUNTIFS('Cleaned data'!P:P, "Couple", 'Cleaned data'!N:N,"Adopted")</f>
        <v>101</v>
      </c>
      <c r="J9" s="9" t="s">
        <v>2280</v>
      </c>
    </row>
    <row r="10" spans="1:13" ht="18">
      <c r="A10" t="s">
        <v>115</v>
      </c>
      <c r="B10" t="str">
        <f>VLOOKUP(A10,'Cleaned data'!$A:$Y,5,0)</f>
        <v>Domestic Shorthair</v>
      </c>
      <c r="C10" t="str">
        <f>VLOOKUP(A10,'Cleaned data'!$A:$Y,10,0)</f>
        <v>Healthy</v>
      </c>
      <c r="D10" t="str">
        <f>VLOOKUP(A10,'Cleaned data'!$A:$Y,10,0)</f>
        <v>Healthy</v>
      </c>
      <c r="E10">
        <f>_xlfn.XLOOKUP(A10,'Cleaned data'!$A:$A,'Cleaned data'!$H:$H,"Not Found")</f>
        <v>3.1</v>
      </c>
      <c r="H10" s="4" t="s">
        <v>2276</v>
      </c>
      <c r="I10">
        <f>COUNTIFS('Cleaned data'!C:C,"Lahore",'Cleaned data'!N:N, "Adopted")</f>
        <v>71</v>
      </c>
      <c r="J10" s="9" t="s">
        <v>2280</v>
      </c>
    </row>
    <row r="11" spans="1:13">
      <c r="A11" t="s">
        <v>120</v>
      </c>
      <c r="B11" t="str">
        <f>VLOOKUP(A11,'Cleaned data'!$A:$Y,5,0)</f>
        <v>Holland Lop</v>
      </c>
      <c r="C11" t="str">
        <f>VLOOKUP(A11,'Cleaned data'!$A:$Y,10,0)</f>
        <v>Recovering</v>
      </c>
      <c r="D11" t="str">
        <f>VLOOKUP(A11,'Cleaned data'!$A:$Y,10,0)</f>
        <v>Recovering</v>
      </c>
      <c r="E11">
        <f>_xlfn.XLOOKUP(A11,'Cleaned data'!$A:$A,'Cleaned data'!$H:$H,"Not Found")</f>
        <v>8.1</v>
      </c>
    </row>
    <row r="12" spans="1:13">
      <c r="A12" t="s">
        <v>129</v>
      </c>
      <c r="B12" t="str">
        <f>VLOOKUP(A12,'Cleaned data'!$A:$Y,5,0)</f>
        <v>Dutch</v>
      </c>
      <c r="C12" t="str">
        <f>VLOOKUP(A12,'Cleaned data'!$A:$Y,10,0)</f>
        <v>Vaccinated</v>
      </c>
      <c r="D12" t="str">
        <f>VLOOKUP(A12,'Cleaned data'!$A:$Y,10,0)</f>
        <v>Vaccinated</v>
      </c>
      <c r="E12">
        <f>_xlfn.XLOOKUP(A12,'Cleaned data'!$A:$A,'Cleaned data'!$H:$H,"Not Found")</f>
        <v>4.9000000000000004</v>
      </c>
    </row>
    <row r="13" spans="1:13">
      <c r="A13" t="s">
        <v>133</v>
      </c>
      <c r="B13" t="str">
        <f>VLOOKUP(A13,'Cleaned data'!$A:$Y,5,0)</f>
        <v>Domestic Shorthair</v>
      </c>
      <c r="C13" t="str">
        <f>VLOOKUP(A13,'Cleaned data'!$A:$Y,10,0)</f>
        <v>Healthy</v>
      </c>
      <c r="D13" t="str">
        <f>VLOOKUP(A13,'Cleaned data'!$A:$Y,10,0)</f>
        <v>Healthy</v>
      </c>
      <c r="E13">
        <f>_xlfn.XLOOKUP(A13,'Cleaned data'!$A:$A,'Cleaned data'!$H:$H,"Not Found")</f>
        <v>10.199999999999999</v>
      </c>
    </row>
    <row r="14" spans="1:13">
      <c r="A14" t="s">
        <v>137</v>
      </c>
      <c r="B14" t="str">
        <f>VLOOKUP(A14,'Cleaned data'!$A:$Y,5,0)</f>
        <v>Finch</v>
      </c>
      <c r="C14" t="str">
        <f>VLOOKUP(A14,'Cleaned data'!$A:$Y,10,0)</f>
        <v>Healthy</v>
      </c>
      <c r="D14" t="str">
        <f>VLOOKUP(A14,'Cleaned data'!$A:$Y,10,0)</f>
        <v>Healthy</v>
      </c>
      <c r="E14">
        <f>_xlfn.XLOOKUP(A14,'Cleaned data'!$A:$A,'Cleaned data'!$H:$H,"Not Found")</f>
        <v>2.7</v>
      </c>
    </row>
    <row r="15" spans="1:13">
      <c r="A15" t="s">
        <v>142</v>
      </c>
      <c r="B15" t="str">
        <f>VLOOKUP(A15,'Cleaned data'!$A:$Y,5,0)</f>
        <v>German Shepherd</v>
      </c>
      <c r="C15" t="str">
        <f>VLOOKUP(A15,'Cleaned data'!$A:$Y,10,0)</f>
        <v>Minor Treatment Needed</v>
      </c>
      <c r="D15" t="str">
        <f>VLOOKUP(A15,'Cleaned data'!$A:$Y,10,0)</f>
        <v>Minor Treatment Needed</v>
      </c>
      <c r="E15">
        <f>_xlfn.XLOOKUP(A15,'Cleaned data'!$A:$A,'Cleaned data'!$H:$H,"Not Found")</f>
        <v>1.5</v>
      </c>
    </row>
    <row r="16" spans="1:13">
      <c r="A16" t="s">
        <v>147</v>
      </c>
      <c r="B16" t="str">
        <f>VLOOKUP(A16,'Cleaned data'!$A:$Y,5,0)</f>
        <v>Mini Rex</v>
      </c>
      <c r="C16" t="str">
        <f>VLOOKUP(A16,'Cleaned data'!$A:$Y,10,0)</f>
        <v>Healthy</v>
      </c>
      <c r="D16" t="str">
        <f>VLOOKUP(A16,'Cleaned data'!$A:$Y,10,0)</f>
        <v>Healthy</v>
      </c>
      <c r="E16">
        <f>_xlfn.XLOOKUP(A16,'Cleaned data'!$A:$A,'Cleaned data'!$H:$H,"Not Found")</f>
        <v>3.9</v>
      </c>
    </row>
    <row r="17" spans="1:5">
      <c r="A17" t="s">
        <v>154</v>
      </c>
      <c r="B17" t="str">
        <f>VLOOKUP(A17,'Cleaned data'!$A:$Y,5,0)</f>
        <v>Flemish Giant</v>
      </c>
      <c r="C17" t="str">
        <f>VLOOKUP(A17,'Cleaned data'!$A:$Y,10,0)</f>
        <v>Neutered/Spayed</v>
      </c>
      <c r="D17" t="str">
        <f>VLOOKUP(A17,'Cleaned data'!$A:$Y,10,0)</f>
        <v>Neutered/Spayed</v>
      </c>
      <c r="E17">
        <f>_xlfn.XLOOKUP(A17,'Cleaned data'!$A:$A,'Cleaned data'!$H:$H,"Not Found")</f>
        <v>7.4</v>
      </c>
    </row>
    <row r="18" spans="1:5">
      <c r="A18" t="s">
        <v>159</v>
      </c>
      <c r="B18" t="str">
        <f>VLOOKUP(A18,'Cleaned data'!$A:$Y,5,0)</f>
        <v>Siamese</v>
      </c>
      <c r="C18" t="str">
        <f>VLOOKUP(A18,'Cleaned data'!$A:$Y,10,0)</f>
        <v>Healthy</v>
      </c>
      <c r="D18" t="str">
        <f>VLOOKUP(A18,'Cleaned data'!$A:$Y,10,0)</f>
        <v>Healthy</v>
      </c>
      <c r="E18">
        <f>_xlfn.XLOOKUP(A18,'Cleaned data'!$A:$A,'Cleaned data'!$H:$H,"Not Found")</f>
        <v>2.5</v>
      </c>
    </row>
    <row r="19" spans="1:5">
      <c r="A19" t="s">
        <v>163</v>
      </c>
      <c r="B19" t="str">
        <f>VLOOKUP(A19,'Cleaned data'!$A:$Y,5,0)</f>
        <v>Mini Rex</v>
      </c>
      <c r="C19" t="str">
        <f>VLOOKUP(A19,'Cleaned data'!$A:$Y,10,0)</f>
        <v>Recovering</v>
      </c>
      <c r="D19" t="str">
        <f>VLOOKUP(A19,'Cleaned data'!$A:$Y,10,0)</f>
        <v>Recovering</v>
      </c>
      <c r="E19">
        <f>_xlfn.XLOOKUP(A19,'Cleaned data'!$A:$A,'Cleaned data'!$H:$H,"Not Found")</f>
        <v>6.8</v>
      </c>
    </row>
  </sheetData>
  <mergeCells count="1">
    <mergeCell ref="A1:L1"/>
  </mergeCells>
  <phoneticPr fontId="3" type="noConversion"/>
  <hyperlinks>
    <hyperlink ref="J4" r:id="rId1" xr:uid="{81EAA21F-EF0E-4B97-91AE-D2DDBB28D1FD}"/>
    <hyperlink ref="J6" r:id="rId2" xr:uid="{78700969-13D9-4371-9E93-7CB5FCB7F158}"/>
    <hyperlink ref="J7" r:id="rId3" xr:uid="{D1C1752B-7A1F-4D5F-8D2E-12B97AAA393D}"/>
    <hyperlink ref="J8" r:id="rId4" xr:uid="{CF133FD7-D98E-41A2-AB10-AC2A7B844EA9}"/>
    <hyperlink ref="J9" r:id="rId5" xr:uid="{EBEC00F3-8D39-48B5-AE96-BEE4FE778A96}"/>
    <hyperlink ref="J10" r:id="rId6" xr:uid="{4D7848CE-54FB-4722-965B-C735D5E01485}"/>
  </hyperlinks>
  <pageMargins left="0.7" right="0.7" top="0.75" bottom="0.75" header="0.3" footer="0.3"/>
  <tableParts count="2">
    <tablePart r:id="rId7"/>
    <tablePart r:id="rId8"/>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82F62-3D70-41D9-AF87-16BB3CE6EEEB}">
  <sheetPr>
    <tabColor rgb="FFFFC000"/>
  </sheetPr>
  <dimension ref="A1:C171"/>
  <sheetViews>
    <sheetView zoomScale="30" workbookViewId="0">
      <selection activeCell="P32" sqref="P32"/>
    </sheetView>
  </sheetViews>
  <sheetFormatPr defaultRowHeight="14.4"/>
  <cols>
    <col min="1" max="1" width="14.88671875" style="6" bestFit="1" customWidth="1"/>
    <col min="2" max="2" width="24.5546875" style="6" bestFit="1" customWidth="1"/>
    <col min="3" max="3" width="28.5546875" style="6" bestFit="1" customWidth="1"/>
    <col min="4" max="4" width="5.21875" style="6" bestFit="1" customWidth="1"/>
    <col min="5" max="5" width="11" style="6" bestFit="1" customWidth="1"/>
    <col min="6" max="6" width="15.109375" style="6" bestFit="1" customWidth="1"/>
    <col min="7" max="7" width="13.77734375" style="6" bestFit="1" customWidth="1"/>
    <col min="8" max="8" width="20.109375" style="6" bestFit="1" customWidth="1"/>
    <col min="9" max="9" width="18.77734375" style="6" bestFit="1" customWidth="1"/>
    <col min="10" max="10" width="12.88671875" style="6" bestFit="1" customWidth="1"/>
    <col min="11" max="11" width="16.5546875" style="6" bestFit="1" customWidth="1"/>
    <col min="12" max="12" width="15.6640625" style="6" bestFit="1" customWidth="1"/>
    <col min="13" max="13" width="11" style="6" bestFit="1" customWidth="1"/>
    <col min="14" max="14" width="6.44140625" style="6" bestFit="1" customWidth="1"/>
    <col min="15" max="15" width="8.5546875" style="6" bestFit="1" customWidth="1"/>
    <col min="16" max="16" width="8.77734375" style="6" bestFit="1" customWidth="1"/>
    <col min="17" max="17" width="8.33203125" style="6" bestFit="1" customWidth="1"/>
    <col min="18" max="18" width="11.21875" style="6" bestFit="1" customWidth="1"/>
    <col min="19" max="19" width="8.6640625" style="6" bestFit="1" customWidth="1"/>
    <col min="20" max="20" width="11.88671875" style="6" bestFit="1" customWidth="1"/>
    <col min="21" max="21" width="8.6640625" style="6" bestFit="1" customWidth="1"/>
    <col min="22" max="22" width="7.33203125" style="6" bestFit="1" customWidth="1"/>
    <col min="23" max="23" width="6.88671875" style="6" bestFit="1" customWidth="1"/>
    <col min="24" max="24" width="7.44140625" style="6" bestFit="1" customWidth="1"/>
    <col min="25" max="25" width="8.33203125" style="6" bestFit="1" customWidth="1"/>
    <col min="26" max="26" width="11" style="6" bestFit="1" customWidth="1"/>
    <col min="27" max="16384" width="8.88671875" style="6"/>
  </cols>
  <sheetData>
    <row r="1" spans="1:2">
      <c r="A1" s="6" t="s">
        <v>2282</v>
      </c>
      <c r="B1" s="6" t="s">
        <v>2286</v>
      </c>
    </row>
    <row r="2" spans="1:2">
      <c r="A2" s="11" t="s">
        <v>44</v>
      </c>
      <c r="B2" s="13">
        <v>143</v>
      </c>
    </row>
    <row r="3" spans="1:2">
      <c r="A3" s="11" t="s">
        <v>76</v>
      </c>
      <c r="B3" s="13">
        <v>154</v>
      </c>
    </row>
    <row r="4" spans="1:2">
      <c r="A4" s="11" t="s">
        <v>164</v>
      </c>
      <c r="B4" s="13">
        <v>128</v>
      </c>
    </row>
    <row r="5" spans="1:2">
      <c r="A5" s="11" t="s">
        <v>28</v>
      </c>
      <c r="B5" s="13">
        <v>166</v>
      </c>
    </row>
    <row r="6" spans="1:2">
      <c r="A6" s="11" t="s">
        <v>67</v>
      </c>
      <c r="B6" s="13">
        <v>164</v>
      </c>
    </row>
    <row r="7" spans="1:2">
      <c r="A7" s="11" t="s">
        <v>102</v>
      </c>
      <c r="B7" s="13">
        <v>141</v>
      </c>
    </row>
    <row r="8" spans="1:2">
      <c r="A8" s="11" t="s">
        <v>173</v>
      </c>
      <c r="B8" s="13">
        <v>157</v>
      </c>
    </row>
    <row r="9" spans="1:2">
      <c r="A9" s="11" t="s">
        <v>121</v>
      </c>
      <c r="B9" s="13">
        <v>147</v>
      </c>
    </row>
    <row r="10" spans="1:2">
      <c r="A10" s="11" t="s">
        <v>2283</v>
      </c>
      <c r="B10" s="13">
        <v>1200</v>
      </c>
    </row>
    <row r="18" spans="1:2">
      <c r="A18" s="6" t="s">
        <v>2282</v>
      </c>
      <c r="B18" s="6" t="s">
        <v>2284</v>
      </c>
    </row>
    <row r="19" spans="1:2">
      <c r="A19" s="11" t="s">
        <v>238</v>
      </c>
      <c r="B19" s="13">
        <v>117</v>
      </c>
    </row>
    <row r="20" spans="1:2">
      <c r="A20" s="12" t="s">
        <v>85</v>
      </c>
      <c r="B20" s="13">
        <v>12</v>
      </c>
    </row>
    <row r="21" spans="1:2">
      <c r="A21" s="12" t="s">
        <v>29</v>
      </c>
      <c r="B21" s="13">
        <v>29</v>
      </c>
    </row>
    <row r="22" spans="1:2">
      <c r="A22" s="12" t="s">
        <v>77</v>
      </c>
      <c r="B22" s="13">
        <v>58</v>
      </c>
    </row>
    <row r="23" spans="1:2">
      <c r="A23" s="12" t="s">
        <v>122</v>
      </c>
      <c r="B23" s="13">
        <v>18</v>
      </c>
    </row>
    <row r="24" spans="1:2">
      <c r="A24" s="11" t="s">
        <v>46</v>
      </c>
      <c r="B24" s="13">
        <v>121</v>
      </c>
    </row>
    <row r="25" spans="1:2">
      <c r="A25" s="12" t="s">
        <v>85</v>
      </c>
      <c r="B25" s="13">
        <v>15</v>
      </c>
    </row>
    <row r="26" spans="1:2">
      <c r="A26" s="12" t="s">
        <v>29</v>
      </c>
      <c r="B26" s="13">
        <v>35</v>
      </c>
    </row>
    <row r="27" spans="1:2">
      <c r="A27" s="12" t="s">
        <v>77</v>
      </c>
      <c r="B27" s="13">
        <v>56</v>
      </c>
    </row>
    <row r="28" spans="1:2">
      <c r="A28" s="12" t="s">
        <v>122</v>
      </c>
      <c r="B28" s="13">
        <v>15</v>
      </c>
    </row>
    <row r="29" spans="1:2">
      <c r="A29" s="11" t="s">
        <v>68</v>
      </c>
      <c r="B29" s="13">
        <v>129</v>
      </c>
    </row>
    <row r="30" spans="1:2">
      <c r="A30" s="12" t="s">
        <v>85</v>
      </c>
      <c r="B30" s="13">
        <v>17</v>
      </c>
    </row>
    <row r="31" spans="1:2">
      <c r="A31" s="12" t="s">
        <v>29</v>
      </c>
      <c r="B31" s="13">
        <v>43</v>
      </c>
    </row>
    <row r="32" spans="1:2">
      <c r="A32" s="12" t="s">
        <v>77</v>
      </c>
      <c r="B32" s="13">
        <v>56</v>
      </c>
    </row>
    <row r="33" spans="1:2">
      <c r="A33" s="12" t="s">
        <v>122</v>
      </c>
      <c r="B33" s="13">
        <v>13</v>
      </c>
    </row>
    <row r="34" spans="1:2">
      <c r="A34" s="11" t="s">
        <v>109</v>
      </c>
      <c r="B34" s="13">
        <v>143</v>
      </c>
    </row>
    <row r="35" spans="1:2">
      <c r="A35" s="12" t="s">
        <v>85</v>
      </c>
      <c r="B35" s="13">
        <v>11</v>
      </c>
    </row>
    <row r="36" spans="1:2">
      <c r="A36" s="12" t="s">
        <v>29</v>
      </c>
      <c r="B36" s="13">
        <v>34</v>
      </c>
    </row>
    <row r="37" spans="1:2">
      <c r="A37" s="12" t="s">
        <v>77</v>
      </c>
      <c r="B37" s="13">
        <v>83</v>
      </c>
    </row>
    <row r="38" spans="1:2">
      <c r="A38" s="12" t="s">
        <v>122</v>
      </c>
      <c r="B38" s="13">
        <v>15</v>
      </c>
    </row>
    <row r="39" spans="1:2">
      <c r="A39" s="11" t="s">
        <v>124</v>
      </c>
      <c r="B39" s="13">
        <v>109</v>
      </c>
    </row>
    <row r="40" spans="1:2">
      <c r="A40" s="12" t="s">
        <v>85</v>
      </c>
      <c r="B40" s="13">
        <v>8</v>
      </c>
    </row>
    <row r="41" spans="1:2">
      <c r="A41" s="12" t="s">
        <v>29</v>
      </c>
      <c r="B41" s="13">
        <v>27</v>
      </c>
    </row>
    <row r="42" spans="1:2">
      <c r="A42" s="12" t="s">
        <v>77</v>
      </c>
      <c r="B42" s="13">
        <v>61</v>
      </c>
    </row>
    <row r="43" spans="1:2">
      <c r="A43" s="12" t="s">
        <v>122</v>
      </c>
      <c r="B43" s="13">
        <v>13</v>
      </c>
    </row>
    <row r="44" spans="1:2">
      <c r="A44" s="11" t="s">
        <v>160</v>
      </c>
      <c r="B44" s="13">
        <v>113</v>
      </c>
    </row>
    <row r="45" spans="1:2">
      <c r="A45" s="12" t="s">
        <v>85</v>
      </c>
      <c r="B45" s="13">
        <v>10</v>
      </c>
    </row>
    <row r="46" spans="1:2">
      <c r="A46" s="12" t="s">
        <v>29</v>
      </c>
      <c r="B46" s="13">
        <v>31</v>
      </c>
    </row>
    <row r="47" spans="1:2">
      <c r="A47" s="12" t="s">
        <v>77</v>
      </c>
      <c r="B47" s="13">
        <v>59</v>
      </c>
    </row>
    <row r="48" spans="1:2">
      <c r="A48" s="12" t="s">
        <v>122</v>
      </c>
      <c r="B48" s="13">
        <v>13</v>
      </c>
    </row>
    <row r="49" spans="1:2">
      <c r="A49" s="11" t="s">
        <v>149</v>
      </c>
      <c r="B49" s="13">
        <v>114</v>
      </c>
    </row>
    <row r="50" spans="1:2">
      <c r="A50" s="12" t="s">
        <v>85</v>
      </c>
      <c r="B50" s="13">
        <v>8</v>
      </c>
    </row>
    <row r="51" spans="1:2">
      <c r="A51" s="12" t="s">
        <v>29</v>
      </c>
      <c r="B51" s="13">
        <v>32</v>
      </c>
    </row>
    <row r="52" spans="1:2">
      <c r="A52" s="12" t="s">
        <v>77</v>
      </c>
      <c r="B52" s="13">
        <v>60</v>
      </c>
    </row>
    <row r="53" spans="1:2">
      <c r="A53" s="12" t="s">
        <v>122</v>
      </c>
      <c r="B53" s="13">
        <v>14</v>
      </c>
    </row>
    <row r="54" spans="1:2">
      <c r="A54" s="11" t="s">
        <v>31</v>
      </c>
      <c r="B54" s="13">
        <v>113</v>
      </c>
    </row>
    <row r="55" spans="1:2">
      <c r="A55" s="12" t="s">
        <v>85</v>
      </c>
      <c r="B55" s="13">
        <v>14</v>
      </c>
    </row>
    <row r="56" spans="1:2">
      <c r="A56" s="12" t="s">
        <v>29</v>
      </c>
      <c r="B56" s="13">
        <v>34</v>
      </c>
    </row>
    <row r="57" spans="1:2">
      <c r="A57" s="12" t="s">
        <v>77</v>
      </c>
      <c r="B57" s="13">
        <v>56</v>
      </c>
    </row>
    <row r="58" spans="1:2">
      <c r="A58" s="12" t="s">
        <v>122</v>
      </c>
      <c r="B58" s="13">
        <v>9</v>
      </c>
    </row>
    <row r="59" spans="1:2">
      <c r="A59" s="11" t="s">
        <v>57</v>
      </c>
      <c r="B59" s="13">
        <v>116</v>
      </c>
    </row>
    <row r="60" spans="1:2">
      <c r="A60" s="12" t="s">
        <v>85</v>
      </c>
      <c r="B60" s="13">
        <v>16</v>
      </c>
    </row>
    <row r="61" spans="1:2">
      <c r="A61" s="12" t="s">
        <v>29</v>
      </c>
      <c r="B61" s="13">
        <v>28</v>
      </c>
    </row>
    <row r="62" spans="1:2">
      <c r="A62" s="12" t="s">
        <v>77</v>
      </c>
      <c r="B62" s="13">
        <v>62</v>
      </c>
    </row>
    <row r="63" spans="1:2">
      <c r="A63" s="12" t="s">
        <v>122</v>
      </c>
      <c r="B63" s="13">
        <v>10</v>
      </c>
    </row>
    <row r="64" spans="1:2">
      <c r="A64" s="11" t="s">
        <v>95</v>
      </c>
      <c r="B64" s="13">
        <v>125</v>
      </c>
    </row>
    <row r="65" spans="1:2">
      <c r="A65" s="12" t="s">
        <v>85</v>
      </c>
      <c r="B65" s="13">
        <v>16</v>
      </c>
    </row>
    <row r="66" spans="1:2">
      <c r="A66" s="12" t="s">
        <v>29</v>
      </c>
      <c r="B66" s="13">
        <v>37</v>
      </c>
    </row>
    <row r="67" spans="1:2">
      <c r="A67" s="12" t="s">
        <v>77</v>
      </c>
      <c r="B67" s="13">
        <v>63</v>
      </c>
    </row>
    <row r="68" spans="1:2">
      <c r="A68" s="12" t="s">
        <v>122</v>
      </c>
      <c r="B68" s="13">
        <v>9</v>
      </c>
    </row>
    <row r="69" spans="1:2">
      <c r="A69" s="11" t="s">
        <v>2283</v>
      </c>
      <c r="B69" s="13">
        <v>1200</v>
      </c>
    </row>
    <row r="70" spans="1:2">
      <c r="A70"/>
      <c r="B70"/>
    </row>
    <row r="71" spans="1:2">
      <c r="A71"/>
      <c r="B71"/>
    </row>
    <row r="74" spans="1:2">
      <c r="A74" s="6" t="s">
        <v>2282</v>
      </c>
      <c r="B74" s="6" t="s">
        <v>2287</v>
      </c>
    </row>
    <row r="75" spans="1:2">
      <c r="A75" s="11" t="s">
        <v>105</v>
      </c>
      <c r="B75" s="13">
        <v>101</v>
      </c>
    </row>
    <row r="76" spans="1:2">
      <c r="A76" s="11" t="s">
        <v>89</v>
      </c>
      <c r="B76" s="13">
        <v>94</v>
      </c>
    </row>
    <row r="77" spans="1:2">
      <c r="A77" s="11" t="s">
        <v>230</v>
      </c>
      <c r="B77" s="13">
        <v>91</v>
      </c>
    </row>
    <row r="78" spans="1:2">
      <c r="A78" s="11" t="s">
        <v>2265</v>
      </c>
      <c r="B78" s="13">
        <v>741</v>
      </c>
    </row>
    <row r="79" spans="1:2">
      <c r="A79" s="11" t="s">
        <v>72</v>
      </c>
      <c r="B79" s="13">
        <v>83</v>
      </c>
    </row>
    <row r="80" spans="1:2">
      <c r="A80" s="11" t="s">
        <v>112</v>
      </c>
      <c r="B80" s="13">
        <v>90</v>
      </c>
    </row>
    <row r="81" spans="1:2">
      <c r="A81" s="11" t="s">
        <v>2283</v>
      </c>
      <c r="B81" s="13">
        <v>1200</v>
      </c>
    </row>
    <row r="87" spans="1:2">
      <c r="A87" s="6" t="s">
        <v>2282</v>
      </c>
      <c r="B87" s="6" t="s">
        <v>2288</v>
      </c>
    </row>
    <row r="88" spans="1:2">
      <c r="A88" s="11" t="s">
        <v>90</v>
      </c>
      <c r="B88" s="13">
        <v>117</v>
      </c>
    </row>
    <row r="89" spans="1:2">
      <c r="A89" s="12" t="s">
        <v>44</v>
      </c>
      <c r="B89" s="13">
        <v>11</v>
      </c>
    </row>
    <row r="90" spans="1:2">
      <c r="A90" s="12" t="s">
        <v>76</v>
      </c>
      <c r="B90" s="13">
        <v>15</v>
      </c>
    </row>
    <row r="91" spans="1:2">
      <c r="A91" s="12" t="s">
        <v>164</v>
      </c>
      <c r="B91" s="13">
        <v>9</v>
      </c>
    </row>
    <row r="92" spans="1:2">
      <c r="A92" s="12" t="s">
        <v>28</v>
      </c>
      <c r="B92" s="13">
        <v>14</v>
      </c>
    </row>
    <row r="93" spans="1:2">
      <c r="A93" s="12" t="s">
        <v>67</v>
      </c>
      <c r="B93" s="13">
        <v>22</v>
      </c>
    </row>
    <row r="94" spans="1:2">
      <c r="A94" s="12" t="s">
        <v>102</v>
      </c>
      <c r="B94" s="13">
        <v>14</v>
      </c>
    </row>
    <row r="95" spans="1:2">
      <c r="A95" s="12" t="s">
        <v>173</v>
      </c>
      <c r="B95" s="13">
        <v>17</v>
      </c>
    </row>
    <row r="96" spans="1:2">
      <c r="A96" s="12" t="s">
        <v>121</v>
      </c>
      <c r="B96" s="13">
        <v>15</v>
      </c>
    </row>
    <row r="97" spans="1:2">
      <c r="A97" s="11" t="s">
        <v>113</v>
      </c>
      <c r="B97" s="13">
        <v>103</v>
      </c>
    </row>
    <row r="98" spans="1:2">
      <c r="A98" s="12" t="s">
        <v>44</v>
      </c>
      <c r="B98" s="13">
        <v>11</v>
      </c>
    </row>
    <row r="99" spans="1:2">
      <c r="A99" s="12" t="s">
        <v>76</v>
      </c>
      <c r="B99" s="13">
        <v>10</v>
      </c>
    </row>
    <row r="100" spans="1:2">
      <c r="A100" s="12" t="s">
        <v>164</v>
      </c>
      <c r="B100" s="13">
        <v>20</v>
      </c>
    </row>
    <row r="101" spans="1:2">
      <c r="A101" s="12" t="s">
        <v>28</v>
      </c>
      <c r="B101" s="13">
        <v>21</v>
      </c>
    </row>
    <row r="102" spans="1:2">
      <c r="A102" s="12" t="s">
        <v>67</v>
      </c>
      <c r="B102" s="13">
        <v>10</v>
      </c>
    </row>
    <row r="103" spans="1:2">
      <c r="A103" s="12" t="s">
        <v>102</v>
      </c>
      <c r="B103" s="13">
        <v>13</v>
      </c>
    </row>
    <row r="104" spans="1:2">
      <c r="A104" s="12" t="s">
        <v>173</v>
      </c>
      <c r="B104" s="13">
        <v>9</v>
      </c>
    </row>
    <row r="105" spans="1:2">
      <c r="A105" s="12" t="s">
        <v>121</v>
      </c>
      <c r="B105" s="13">
        <v>9</v>
      </c>
    </row>
    <row r="106" spans="1:2">
      <c r="A106" s="11" t="s">
        <v>73</v>
      </c>
      <c r="B106" s="13">
        <v>122</v>
      </c>
    </row>
    <row r="107" spans="1:2">
      <c r="A107" s="12" t="s">
        <v>44</v>
      </c>
      <c r="B107" s="13">
        <v>17</v>
      </c>
    </row>
    <row r="108" spans="1:2">
      <c r="A108" s="12" t="s">
        <v>76</v>
      </c>
      <c r="B108" s="13">
        <v>24</v>
      </c>
    </row>
    <row r="109" spans="1:2">
      <c r="A109" s="12" t="s">
        <v>164</v>
      </c>
      <c r="B109" s="13">
        <v>11</v>
      </c>
    </row>
    <row r="110" spans="1:2">
      <c r="A110" s="12" t="s">
        <v>28</v>
      </c>
      <c r="B110" s="13">
        <v>16</v>
      </c>
    </row>
    <row r="111" spans="1:2">
      <c r="A111" s="12" t="s">
        <v>67</v>
      </c>
      <c r="B111" s="13">
        <v>12</v>
      </c>
    </row>
    <row r="112" spans="1:2">
      <c r="A112" s="12" t="s">
        <v>102</v>
      </c>
      <c r="B112" s="13">
        <v>17</v>
      </c>
    </row>
    <row r="113" spans="1:2">
      <c r="A113" s="12" t="s">
        <v>173</v>
      </c>
      <c r="B113" s="13">
        <v>10</v>
      </c>
    </row>
    <row r="114" spans="1:2">
      <c r="A114" s="12" t="s">
        <v>121</v>
      </c>
      <c r="B114" s="13">
        <v>15</v>
      </c>
    </row>
    <row r="115" spans="1:2">
      <c r="A115" s="11" t="s">
        <v>2265</v>
      </c>
      <c r="B115" s="13">
        <v>741</v>
      </c>
    </row>
    <row r="116" spans="1:2">
      <c r="A116" s="12" t="s">
        <v>44</v>
      </c>
      <c r="B116" s="13">
        <v>88</v>
      </c>
    </row>
    <row r="117" spans="1:2">
      <c r="A117" s="12" t="s">
        <v>76</v>
      </c>
      <c r="B117" s="13">
        <v>87</v>
      </c>
    </row>
    <row r="118" spans="1:2">
      <c r="A118" s="12" t="s">
        <v>164</v>
      </c>
      <c r="B118" s="13">
        <v>85</v>
      </c>
    </row>
    <row r="119" spans="1:2">
      <c r="A119" s="12" t="s">
        <v>28</v>
      </c>
      <c r="B119" s="13">
        <v>95</v>
      </c>
    </row>
    <row r="120" spans="1:2">
      <c r="A120" s="12" t="s">
        <v>67</v>
      </c>
      <c r="B120" s="13">
        <v>103</v>
      </c>
    </row>
    <row r="121" spans="1:2">
      <c r="A121" s="12" t="s">
        <v>102</v>
      </c>
      <c r="B121" s="13">
        <v>86</v>
      </c>
    </row>
    <row r="122" spans="1:2">
      <c r="A122" s="12" t="s">
        <v>173</v>
      </c>
      <c r="B122" s="13">
        <v>107</v>
      </c>
    </row>
    <row r="123" spans="1:2">
      <c r="A123" s="12" t="s">
        <v>121</v>
      </c>
      <c r="B123" s="13">
        <v>90</v>
      </c>
    </row>
    <row r="124" spans="1:2">
      <c r="A124" s="11" t="s">
        <v>152</v>
      </c>
      <c r="B124" s="13">
        <v>117</v>
      </c>
    </row>
    <row r="125" spans="1:2">
      <c r="A125" s="12" t="s">
        <v>44</v>
      </c>
      <c r="B125" s="13">
        <v>16</v>
      </c>
    </row>
    <row r="126" spans="1:2">
      <c r="A126" s="12" t="s">
        <v>76</v>
      </c>
      <c r="B126" s="13">
        <v>18</v>
      </c>
    </row>
    <row r="127" spans="1:2">
      <c r="A127" s="12" t="s">
        <v>164</v>
      </c>
      <c r="B127" s="13">
        <v>3</v>
      </c>
    </row>
    <row r="128" spans="1:2">
      <c r="A128" s="12" t="s">
        <v>28</v>
      </c>
      <c r="B128" s="13">
        <v>20</v>
      </c>
    </row>
    <row r="129" spans="1:2">
      <c r="A129" s="12" t="s">
        <v>67</v>
      </c>
      <c r="B129" s="13">
        <v>17</v>
      </c>
    </row>
    <row r="130" spans="1:2">
      <c r="A130" s="12" t="s">
        <v>102</v>
      </c>
      <c r="B130" s="13">
        <v>11</v>
      </c>
    </row>
    <row r="131" spans="1:2">
      <c r="A131" s="12" t="s">
        <v>173</v>
      </c>
      <c r="B131" s="13">
        <v>14</v>
      </c>
    </row>
    <row r="132" spans="1:2">
      <c r="A132" s="12" t="s">
        <v>121</v>
      </c>
      <c r="B132" s="13">
        <v>18</v>
      </c>
    </row>
    <row r="133" spans="1:2">
      <c r="A133" s="11" t="s">
        <v>2283</v>
      </c>
      <c r="B133" s="13">
        <v>1200</v>
      </c>
    </row>
    <row r="135" spans="1:2">
      <c r="A135" s="6" t="s">
        <v>2282</v>
      </c>
      <c r="B135" s="6" t="s">
        <v>2289</v>
      </c>
    </row>
    <row r="136" spans="1:2">
      <c r="A136" s="11" t="s">
        <v>33</v>
      </c>
      <c r="B136" s="13">
        <v>560</v>
      </c>
    </row>
    <row r="137" spans="1:2">
      <c r="A137" s="12" t="s">
        <v>85</v>
      </c>
      <c r="B137" s="13">
        <v>59</v>
      </c>
    </row>
    <row r="138" spans="1:2">
      <c r="A138" s="12" t="s">
        <v>29</v>
      </c>
      <c r="B138" s="13">
        <v>156</v>
      </c>
    </row>
    <row r="139" spans="1:2">
      <c r="A139" s="12" t="s">
        <v>77</v>
      </c>
      <c r="B139" s="13">
        <v>286</v>
      </c>
    </row>
    <row r="140" spans="1:2">
      <c r="A140" s="12" t="s">
        <v>122</v>
      </c>
      <c r="B140" s="13">
        <v>59</v>
      </c>
    </row>
    <row r="141" spans="1:2">
      <c r="A141" s="11" t="s">
        <v>144</v>
      </c>
      <c r="B141" s="13">
        <v>172</v>
      </c>
    </row>
    <row r="142" spans="1:2">
      <c r="A142" s="12" t="s">
        <v>85</v>
      </c>
      <c r="B142" s="13">
        <v>21</v>
      </c>
    </row>
    <row r="143" spans="1:2">
      <c r="A143" s="12" t="s">
        <v>29</v>
      </c>
      <c r="B143" s="13">
        <v>48</v>
      </c>
    </row>
    <row r="144" spans="1:2">
      <c r="A144" s="12" t="s">
        <v>77</v>
      </c>
      <c r="B144" s="13">
        <v>88</v>
      </c>
    </row>
    <row r="145" spans="1:2">
      <c r="A145" s="12" t="s">
        <v>122</v>
      </c>
      <c r="B145" s="13">
        <v>15</v>
      </c>
    </row>
    <row r="146" spans="1:2">
      <c r="A146" s="11" t="s">
        <v>156</v>
      </c>
      <c r="B146" s="13">
        <v>156</v>
      </c>
    </row>
    <row r="147" spans="1:2">
      <c r="A147" s="12" t="s">
        <v>85</v>
      </c>
      <c r="B147" s="13">
        <v>18</v>
      </c>
    </row>
    <row r="148" spans="1:2">
      <c r="A148" s="12" t="s">
        <v>29</v>
      </c>
      <c r="B148" s="13">
        <v>34</v>
      </c>
    </row>
    <row r="149" spans="1:2">
      <c r="A149" s="12" t="s">
        <v>77</v>
      </c>
      <c r="B149" s="13">
        <v>85</v>
      </c>
    </row>
    <row r="150" spans="1:2">
      <c r="A150" s="12" t="s">
        <v>122</v>
      </c>
      <c r="B150" s="13">
        <v>19</v>
      </c>
    </row>
    <row r="151" spans="1:2">
      <c r="A151" s="11" t="s">
        <v>96</v>
      </c>
      <c r="B151" s="13">
        <v>167</v>
      </c>
    </row>
    <row r="152" spans="1:2">
      <c r="A152" s="12" t="s">
        <v>85</v>
      </c>
      <c r="B152" s="13">
        <v>16</v>
      </c>
    </row>
    <row r="153" spans="1:2">
      <c r="A153" s="12" t="s">
        <v>29</v>
      </c>
      <c r="B153" s="13">
        <v>51</v>
      </c>
    </row>
    <row r="154" spans="1:2">
      <c r="A154" s="12" t="s">
        <v>77</v>
      </c>
      <c r="B154" s="13">
        <v>82</v>
      </c>
    </row>
    <row r="155" spans="1:2">
      <c r="A155" s="12" t="s">
        <v>122</v>
      </c>
      <c r="B155" s="13">
        <v>18</v>
      </c>
    </row>
    <row r="156" spans="1:2">
      <c r="A156" s="11" t="s">
        <v>20</v>
      </c>
      <c r="B156" s="13">
        <v>145</v>
      </c>
    </row>
    <row r="157" spans="1:2">
      <c r="A157" s="12" t="s">
        <v>85</v>
      </c>
      <c r="B157" s="13">
        <v>13</v>
      </c>
    </row>
    <row r="158" spans="1:2">
      <c r="A158" s="12" t="s">
        <v>29</v>
      </c>
      <c r="B158" s="13">
        <v>41</v>
      </c>
    </row>
    <row r="159" spans="1:2">
      <c r="A159" s="12" t="s">
        <v>77</v>
      </c>
      <c r="B159" s="13">
        <v>73</v>
      </c>
    </row>
    <row r="160" spans="1:2">
      <c r="A160" s="12" t="s">
        <v>122</v>
      </c>
      <c r="B160" s="13">
        <v>18</v>
      </c>
    </row>
    <row r="161" spans="1:3">
      <c r="A161" s="11" t="s">
        <v>2283</v>
      </c>
      <c r="B161" s="13">
        <v>1200</v>
      </c>
    </row>
    <row r="165" spans="1:3">
      <c r="A165" s="6" t="s">
        <v>2282</v>
      </c>
      <c r="B165" s="6" t="s">
        <v>2290</v>
      </c>
      <c r="C165" s="6" t="s">
        <v>2285</v>
      </c>
    </row>
    <row r="166" spans="1:3">
      <c r="A166" s="11" t="s">
        <v>90</v>
      </c>
      <c r="B166" s="13">
        <v>500959</v>
      </c>
      <c r="C166" s="13">
        <v>127500</v>
      </c>
    </row>
    <row r="167" spans="1:3">
      <c r="A167" s="11" t="s">
        <v>113</v>
      </c>
      <c r="B167" s="13">
        <v>406581</v>
      </c>
      <c r="C167" s="13">
        <v>110000</v>
      </c>
    </row>
    <row r="168" spans="1:3">
      <c r="A168" s="11" t="s">
        <v>73</v>
      </c>
      <c r="B168" s="13">
        <v>471532</v>
      </c>
      <c r="C168" s="13">
        <v>158500</v>
      </c>
    </row>
    <row r="169" spans="1:3">
      <c r="A169" s="11" t="s">
        <v>2265</v>
      </c>
      <c r="B169" s="13">
        <v>0</v>
      </c>
      <c r="C169" s="13">
        <v>110500</v>
      </c>
    </row>
    <row r="170" spans="1:3">
      <c r="A170" s="11" t="s">
        <v>152</v>
      </c>
      <c r="B170" s="13">
        <v>491763</v>
      </c>
      <c r="C170" s="13">
        <v>181000</v>
      </c>
    </row>
    <row r="171" spans="1:3">
      <c r="A171" s="11" t="s">
        <v>2283</v>
      </c>
      <c r="B171" s="13">
        <v>1870835</v>
      </c>
      <c r="C171" s="13">
        <v>687500</v>
      </c>
    </row>
  </sheetData>
  <pageMargins left="0.7" right="0.7" top="0.75" bottom="0.75" header="0.3" footer="0.3"/>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ACBE5-9D7C-4FD4-BECE-CDDEF695C5FA}">
  <sheetPr>
    <tabColor theme="2" tint="-0.749992370372631"/>
  </sheetPr>
  <dimension ref="A1:AM16"/>
  <sheetViews>
    <sheetView topLeftCell="A42" zoomScale="55" workbookViewId="0">
      <selection activeCell="AA7" sqref="AA7"/>
    </sheetView>
  </sheetViews>
  <sheetFormatPr defaultRowHeight="14.4"/>
  <cols>
    <col min="1" max="16384" width="8.88671875" style="15"/>
  </cols>
  <sheetData>
    <row r="1" spans="1:39" ht="14.4" customHeight="1">
      <c r="A1" s="16" t="s">
        <v>2291</v>
      </c>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4"/>
      <c r="AK1" s="14"/>
      <c r="AL1" s="14"/>
      <c r="AM1" s="14"/>
    </row>
    <row r="2" spans="1:39" ht="14.4" customHeight="1">
      <c r="A2" s="16"/>
      <c r="B2" s="16"/>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4"/>
      <c r="AK2" s="14"/>
      <c r="AL2" s="14"/>
      <c r="AM2" s="14"/>
    </row>
    <row r="3" spans="1:39" ht="14.4" customHeight="1">
      <c r="A3" s="16"/>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4"/>
      <c r="AK3" s="14"/>
      <c r="AL3" s="14"/>
      <c r="AM3" s="14"/>
    </row>
    <row r="4" spans="1:39" ht="14.4" customHeight="1">
      <c r="A4" s="16"/>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4"/>
      <c r="AK4" s="14"/>
      <c r="AL4" s="14"/>
      <c r="AM4" s="14"/>
    </row>
    <row r="9" spans="1:39" ht="14.4" customHeight="1">
      <c r="N9" s="17" t="s">
        <v>2294</v>
      </c>
      <c r="O9" s="18"/>
      <c r="P9" s="19"/>
      <c r="Q9" s="20" t="s">
        <v>2296</v>
      </c>
      <c r="R9" s="21"/>
      <c r="S9" s="22"/>
      <c r="T9" s="20" t="s">
        <v>2295</v>
      </c>
      <c r="U9" s="21"/>
      <c r="V9" s="22"/>
      <c r="W9" s="17" t="s">
        <v>2297</v>
      </c>
      <c r="X9" s="18"/>
      <c r="Y9" s="19"/>
    </row>
    <row r="10" spans="1:39" ht="14.4" customHeight="1">
      <c r="N10" s="23">
        <f>SUM('Cleaned data'!Q:Q)</f>
        <v>1870835</v>
      </c>
      <c r="O10" s="24"/>
      <c r="P10" s="25"/>
      <c r="Q10" s="26">
        <f>SUM('Cleaned data'!R:R)</f>
        <v>687500</v>
      </c>
      <c r="R10" s="27"/>
      <c r="S10" s="28"/>
      <c r="T10" s="26">
        <f>COUNTIF('Cleaned data'!J:J, "Healthy")</f>
        <v>560</v>
      </c>
      <c r="U10" s="27"/>
      <c r="V10" s="28"/>
      <c r="W10" s="23">
        <f>COUNTIF('Cleaned data'!N:N, "Adopted")</f>
        <v>459</v>
      </c>
      <c r="X10" s="24"/>
      <c r="Y10" s="25"/>
    </row>
    <row r="11" spans="1:39">
      <c r="N11" s="29"/>
      <c r="O11" s="30"/>
      <c r="P11" s="31"/>
      <c r="Q11" s="32"/>
      <c r="R11" s="33"/>
      <c r="S11" s="34"/>
      <c r="T11" s="32"/>
      <c r="U11" s="33"/>
      <c r="V11" s="34"/>
      <c r="W11" s="29"/>
      <c r="X11" s="30"/>
      <c r="Y11" s="31"/>
    </row>
    <row r="12" spans="1:39">
      <c r="N12" s="35"/>
      <c r="O12" s="35"/>
      <c r="P12" s="35"/>
      <c r="Q12" s="36"/>
      <c r="R12" s="37"/>
      <c r="S12" s="37"/>
      <c r="T12" s="36"/>
      <c r="U12" s="37"/>
      <c r="V12" s="37"/>
      <c r="W12" s="35"/>
      <c r="X12" s="35"/>
      <c r="Y12" s="35"/>
    </row>
    <row r="13" spans="1:39" ht="14.4" customHeight="1"/>
    <row r="14" spans="1:39" ht="14.4" customHeight="1"/>
    <row r="15" spans="1:39" ht="14.4" customHeight="1"/>
    <row r="16" spans="1:39" ht="14.4" customHeight="1"/>
  </sheetData>
  <mergeCells count="13">
    <mergeCell ref="A1:AI4"/>
    <mergeCell ref="Q9:S9"/>
    <mergeCell ref="N9:P9"/>
    <mergeCell ref="W9:Y9"/>
    <mergeCell ref="T9:V9"/>
    <mergeCell ref="N12:P12"/>
    <mergeCell ref="Q12:S12"/>
    <mergeCell ref="T12:V12"/>
    <mergeCell ref="W12:Y12"/>
    <mergeCell ref="N10:P11"/>
    <mergeCell ref="Q10:S11"/>
    <mergeCell ref="T10:V11"/>
    <mergeCell ref="W10:Y1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Raw data</vt:lpstr>
      <vt:lpstr>Cleaned data</vt:lpstr>
      <vt:lpstr>Functions</vt:lpstr>
      <vt:lpstr>Pivot charts and tables</vt:lpstr>
      <vt:lpstr>Dashboard</vt:lpstr>
      <vt:lpstr>mydata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Rana Uzair</dc:creator>
  <dc:description/>
  <cp:lastModifiedBy>MUHAMMAD UZAIR</cp:lastModifiedBy>
  <cp:revision>0</cp:revision>
  <dcterms:created xsi:type="dcterms:W3CDTF">2026-05-13T14:40:34Z</dcterms:created>
  <dcterms:modified xsi:type="dcterms:W3CDTF">2026-05-13T22:46:29Z</dcterms:modified>
  <dc:language>en-US</dc:language>
</cp:coreProperties>
</file>